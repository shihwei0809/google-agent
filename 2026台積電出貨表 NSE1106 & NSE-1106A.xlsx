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台積電\台積-N系列出貨表\"/>
    </mc:Choice>
  </mc:AlternateContent>
  <bookViews>
    <workbookView xWindow="0" yWindow="0" windowWidth="25135" windowHeight="10433" activeTab="2"/>
  </bookViews>
  <sheets>
    <sheet name="2026 NSE-1106" sheetId="1" r:id="rId1"/>
    <sheet name="NSE-1106A 200L" sheetId="2" r:id="rId2"/>
    <sheet name="NSE-1106A 200L (T02)" sheetId="3" r:id="rId3"/>
    <sheet name="NSE-1106A 200L退貨" sheetId="4" r:id="rId4"/>
  </sheets>
  <definedNames>
    <definedName name="_xlnm._FilterDatabase" localSheetId="0" hidden="1">'2026 NSE-1106'!$A$2:$T$182</definedName>
    <definedName name="_xlnm._FilterDatabase" localSheetId="1" hidden="1">'NSE-1106A 200L'!$A$2:$Q$1046</definedName>
    <definedName name="_xlnm._FilterDatabase" localSheetId="2" hidden="1">'NSE-1106A 200L (T02)'!$A$2:$Q$470</definedName>
    <definedName name="_xlnm._FilterDatabase" localSheetId="3" hidden="1">'NSE-1106A 200L退貨'!$A$2:$F$21</definedName>
    <definedName name="_xlnm.Print_Area" localSheetId="0">'2026 NSE-1106'!$A$1:$P$2</definedName>
    <definedName name="_xlnm.Print_Area" localSheetId="1">'NSE-1106A 200L'!$A$1:$O$2</definedName>
    <definedName name="_xlnm.Print_Area" localSheetId="2">'NSE-1106A 200L (T02)'!$A$1:$O$2</definedName>
    <definedName name="_xlnm.Print_Area" localSheetId="3">'NSE-1106A 200L退貨'!$A$1:$F$2</definedName>
    <definedName name="Z_1294A7F5_7657_482B_891D_C4D15E6A1FDF_.wvu.FilterData" localSheetId="0" hidden="1">'2026 NSE-1106'!$A$2:$T$2</definedName>
    <definedName name="Z_1294A7F5_7657_482B_891D_C4D15E6A1FDF_.wvu.FilterData" localSheetId="1" hidden="1">'NSE-1106A 200L'!$A$2:$Q$2</definedName>
    <definedName name="Z_1294A7F5_7657_482B_891D_C4D15E6A1FDF_.wvu.FilterData" localSheetId="2" hidden="1">'NSE-1106A 200L (T02)'!$A$2:$Q$2</definedName>
    <definedName name="Z_1294A7F5_7657_482B_891D_C4D15E6A1FDF_.wvu.FilterData" localSheetId="3" hidden="1">'NSE-1106A 200L退貨'!$A$2:$F$2</definedName>
    <definedName name="Z_1294A7F5_7657_482B_891D_C4D15E6A1FDF_.wvu.PrintArea" localSheetId="0" hidden="1">'2026 NSE-1106'!$A$1:$P$2</definedName>
    <definedName name="Z_1294A7F5_7657_482B_891D_C4D15E6A1FDF_.wvu.PrintArea" localSheetId="1" hidden="1">'NSE-1106A 200L'!$A$1:$O$2</definedName>
    <definedName name="Z_1294A7F5_7657_482B_891D_C4D15E6A1FDF_.wvu.PrintArea" localSheetId="2" hidden="1">'NSE-1106A 200L (T02)'!$A$1:$O$2</definedName>
    <definedName name="Z_1294A7F5_7657_482B_891D_C4D15E6A1FDF_.wvu.PrintArea" localSheetId="3" hidden="1">'NSE-1106A 200L退貨'!$A$1:$F$2</definedName>
    <definedName name="Z_34E441CB_6330_48F0_B097_A4EDB111149A_.wvu.FilterData" localSheetId="0" hidden="1">'2026 NSE-1106'!$A$2:$T$2</definedName>
    <definedName name="Z_34E441CB_6330_48F0_B097_A4EDB111149A_.wvu.FilterData" localSheetId="1" hidden="1">'NSE-1106A 200L'!$A$2:$Q$2</definedName>
    <definedName name="Z_34E441CB_6330_48F0_B097_A4EDB111149A_.wvu.FilterData" localSheetId="2" hidden="1">'NSE-1106A 200L (T02)'!$A$2:$Q$2</definedName>
    <definedName name="Z_34E441CB_6330_48F0_B097_A4EDB111149A_.wvu.FilterData" localSheetId="3" hidden="1">'NSE-1106A 200L退貨'!$A$2:$F$2</definedName>
    <definedName name="Z_34E441CB_6330_48F0_B097_A4EDB111149A_.wvu.PrintArea" localSheetId="0" hidden="1">'2026 NSE-1106'!$A$1:$Q$2</definedName>
    <definedName name="Z_34E441CB_6330_48F0_B097_A4EDB111149A_.wvu.PrintArea" localSheetId="1" hidden="1">'NSE-1106A 200L'!$A$1:$O$2</definedName>
    <definedName name="Z_34E441CB_6330_48F0_B097_A4EDB111149A_.wvu.PrintArea" localSheetId="2" hidden="1">'NSE-1106A 200L (T02)'!$A$1:$O$2</definedName>
    <definedName name="Z_34E441CB_6330_48F0_B097_A4EDB111149A_.wvu.PrintArea" localSheetId="3" hidden="1">'NSE-1106A 200L退貨'!$A$1:$F$2</definedName>
    <definedName name="Z_672D5AB9_BC7D_4150_A9A0_388212000AF9_.wvu.FilterData" localSheetId="0" hidden="1">'2026 NSE-1106'!$A$2:$T$2</definedName>
    <definedName name="Z_672D5AB9_BC7D_4150_A9A0_388212000AF9_.wvu.FilterData" localSheetId="1" hidden="1">'NSE-1106A 200L'!$A$2:$Q$2</definedName>
    <definedName name="Z_672D5AB9_BC7D_4150_A9A0_388212000AF9_.wvu.FilterData" localSheetId="2" hidden="1">'NSE-1106A 200L (T02)'!$A$2:$Q$2</definedName>
    <definedName name="Z_672D5AB9_BC7D_4150_A9A0_388212000AF9_.wvu.FilterData" localSheetId="3" hidden="1">'NSE-1106A 200L退貨'!$A$2:$F$2</definedName>
    <definedName name="Z_672D5AB9_BC7D_4150_A9A0_388212000AF9_.wvu.PrintArea" localSheetId="0" hidden="1">'2026 NSE-1106'!$A$1:$R$2</definedName>
    <definedName name="Z_672D5AB9_BC7D_4150_A9A0_388212000AF9_.wvu.PrintArea" localSheetId="1" hidden="1">'NSE-1106A 200L'!$A$1:$O$2</definedName>
    <definedName name="Z_672D5AB9_BC7D_4150_A9A0_388212000AF9_.wvu.PrintArea" localSheetId="2" hidden="1">'NSE-1106A 200L (T02)'!$A$1:$O$2</definedName>
    <definedName name="Z_672D5AB9_BC7D_4150_A9A0_388212000AF9_.wvu.PrintArea" localSheetId="3" hidden="1">'NSE-1106A 200L退貨'!$A$1:$F$2</definedName>
    <definedName name="Z_675A23C9_E721_4072_B2B5_8259997EB71D_.wvu.FilterData" localSheetId="0" hidden="1">'2026 NSE-1106'!$A$2:$T$2</definedName>
    <definedName name="Z_675A23C9_E721_4072_B2B5_8259997EB71D_.wvu.FilterData" localSheetId="1" hidden="1">'NSE-1106A 200L'!$A$2:$Q$2</definedName>
    <definedName name="Z_675A23C9_E721_4072_B2B5_8259997EB71D_.wvu.FilterData" localSheetId="2" hidden="1">'NSE-1106A 200L (T02)'!$A$2:$Q$2</definedName>
    <definedName name="Z_675A23C9_E721_4072_B2B5_8259997EB71D_.wvu.FilterData" localSheetId="3" hidden="1">'NSE-1106A 200L退貨'!$A$2:$F$2</definedName>
    <definedName name="Z_675A23C9_E721_4072_B2B5_8259997EB71D_.wvu.PrintArea" localSheetId="0" hidden="1">'2026 NSE-1106'!$A$1:$P$2</definedName>
    <definedName name="Z_675A23C9_E721_4072_B2B5_8259997EB71D_.wvu.PrintArea" localSheetId="1" hidden="1">'NSE-1106A 200L'!$A$1:$O$2</definedName>
    <definedName name="Z_675A23C9_E721_4072_B2B5_8259997EB71D_.wvu.PrintArea" localSheetId="2" hidden="1">'NSE-1106A 200L (T02)'!$A$1:$O$2</definedName>
    <definedName name="Z_675A23C9_E721_4072_B2B5_8259997EB71D_.wvu.PrintArea" localSheetId="3" hidden="1">'NSE-1106A 200L退貨'!$A$1:$F$2</definedName>
    <definedName name="Z_BFA25B18_297D_408F_9F99_AB267F448C4D_.wvu.FilterData" localSheetId="0" hidden="1">'2026 NSE-1106'!$A$2:$T$2</definedName>
    <definedName name="Z_BFA25B18_297D_408F_9F99_AB267F448C4D_.wvu.FilterData" localSheetId="1" hidden="1">'NSE-1106A 200L'!$A$2:$Q$2</definedName>
    <definedName name="Z_BFA25B18_297D_408F_9F99_AB267F448C4D_.wvu.FilterData" localSheetId="2" hidden="1">'NSE-1106A 200L (T02)'!$A$2:$Q$2</definedName>
    <definedName name="Z_BFA25B18_297D_408F_9F99_AB267F448C4D_.wvu.FilterData" localSheetId="3" hidden="1">'NSE-1106A 200L退貨'!$A$2:$F$2</definedName>
    <definedName name="Z_BFA25B18_297D_408F_9F99_AB267F448C4D_.wvu.PrintArea" localSheetId="0" hidden="1">'2026 NSE-1106'!$A$1:$P$2</definedName>
    <definedName name="Z_BFA25B18_297D_408F_9F99_AB267F448C4D_.wvu.PrintArea" localSheetId="1" hidden="1">'NSE-1106A 200L'!$A$1:$O$2</definedName>
    <definedName name="Z_BFA25B18_297D_408F_9F99_AB267F448C4D_.wvu.PrintArea" localSheetId="2" hidden="1">'NSE-1106A 200L (T02)'!$A$1:$O$2</definedName>
    <definedName name="Z_BFA25B18_297D_408F_9F99_AB267F448C4D_.wvu.PrintArea" localSheetId="3" hidden="1">'NSE-1106A 200L退貨'!$A$1:$F$2</definedName>
  </definedNames>
  <calcPr calcId="152511"/>
  <fileRecoveryPr repairLoad="1"/>
</workbook>
</file>

<file path=xl/calcChain.xml><?xml version="1.0" encoding="utf-8"?>
<calcChain xmlns="http://schemas.openxmlformats.org/spreadsheetml/2006/main">
  <c r="N470" i="3" l="1"/>
  <c r="O470" i="3" s="1"/>
  <c r="N469" i="3"/>
  <c r="O469" i="3" s="1"/>
  <c r="N1041" i="2"/>
  <c r="O1041" i="2" s="1"/>
  <c r="N1042" i="2"/>
  <c r="O1042" i="2" s="1"/>
  <c r="N1043" i="2"/>
  <c r="O1043" i="2" s="1"/>
  <c r="N1044" i="2"/>
  <c r="O1044" i="2" s="1"/>
  <c r="N1045" i="2"/>
  <c r="O1045" i="2" s="1"/>
  <c r="N1046" i="2"/>
  <c r="O1046" i="2" s="1"/>
  <c r="N1040" i="2"/>
  <c r="O1040" i="2" s="1"/>
  <c r="O182" i="1"/>
  <c r="Q182" i="1" s="1"/>
  <c r="O181" i="1"/>
  <c r="Q181" i="1" s="1"/>
  <c r="R182" i="1" l="1"/>
  <c r="P182" i="1" s="1"/>
  <c r="R181" i="1"/>
  <c r="P181" i="1" s="1"/>
  <c r="E470" i="3"/>
  <c r="E469" i="3"/>
  <c r="H469" i="3" s="1"/>
  <c r="M1045" i="2"/>
  <c r="M1044" i="2"/>
  <c r="E1045" i="2"/>
  <c r="E1044" i="2"/>
  <c r="E1046" i="2"/>
  <c r="E1040" i="2"/>
  <c r="M1043" i="2"/>
  <c r="M1042" i="2"/>
  <c r="M1041" i="2"/>
  <c r="E1041" i="2"/>
  <c r="E1042" i="2"/>
  <c r="E1043" i="2"/>
  <c r="O467" i="3" l="1"/>
  <c r="O468" i="3"/>
  <c r="E467" i="3"/>
  <c r="H467" i="3" s="1"/>
  <c r="E468" i="3"/>
  <c r="O1037" i="2"/>
  <c r="O1038" i="2"/>
  <c r="O1039" i="2"/>
  <c r="E1038" i="2"/>
  <c r="E1039" i="2"/>
  <c r="E1037" i="2"/>
  <c r="G182" i="1"/>
  <c r="E182" i="1"/>
  <c r="H468" i="3" l="1"/>
  <c r="G181" i="1"/>
  <c r="E181" i="1"/>
  <c r="O1030" i="2" l="1"/>
  <c r="O1031" i="2"/>
  <c r="O1032" i="2"/>
  <c r="O1033" i="2"/>
  <c r="O1034" i="2"/>
  <c r="O1035" i="2"/>
  <c r="O1036" i="2"/>
  <c r="M1033" i="2"/>
  <c r="E1033" i="2"/>
  <c r="E1032" i="2"/>
  <c r="H1032" i="2" s="1"/>
  <c r="H1033" i="2" l="1"/>
  <c r="H1044" i="2" s="1"/>
  <c r="H1045" i="2" s="1"/>
  <c r="O462" i="3"/>
  <c r="O463" i="3"/>
  <c r="O464" i="3"/>
  <c r="O465" i="3"/>
  <c r="O466" i="3"/>
  <c r="E463" i="3"/>
  <c r="E464" i="3"/>
  <c r="E465" i="3"/>
  <c r="E466" i="3"/>
  <c r="E462" i="3"/>
  <c r="O1029" i="2"/>
  <c r="E1036" i="2"/>
  <c r="E1035" i="2"/>
  <c r="E1034" i="2"/>
  <c r="M1031" i="2"/>
  <c r="L1031" i="2"/>
  <c r="M1030" i="2"/>
  <c r="L1030" i="2"/>
  <c r="M1029" i="2"/>
  <c r="E1031" i="2"/>
  <c r="E1030" i="2"/>
  <c r="H1030" i="2" s="1"/>
  <c r="E1029" i="2"/>
  <c r="H1031" i="2" l="1"/>
  <c r="H1041" i="2" s="1"/>
  <c r="H1042" i="2" s="1"/>
  <c r="H1043" i="2" s="1"/>
  <c r="O1026" i="2"/>
  <c r="O1027" i="2"/>
  <c r="O1028" i="2"/>
  <c r="E1026" i="2"/>
  <c r="E1027" i="2"/>
  <c r="E1028" i="2"/>
  <c r="R179" i="1"/>
  <c r="P179" i="1" s="1"/>
  <c r="R180" i="1"/>
  <c r="P180" i="1" s="1"/>
  <c r="Q179" i="1"/>
  <c r="Q180" i="1"/>
  <c r="N180" i="1"/>
  <c r="N155" i="1"/>
  <c r="N179" i="1" s="1"/>
  <c r="N181" i="1" s="1"/>
  <c r="G179" i="1"/>
  <c r="G180" i="1"/>
  <c r="E179" i="1"/>
  <c r="E180" i="1"/>
  <c r="O461" i="3" l="1"/>
  <c r="M461" i="3"/>
  <c r="E461" i="3"/>
  <c r="H461" i="3" s="1"/>
  <c r="O459" i="3" l="1"/>
  <c r="O460" i="3"/>
  <c r="E459" i="3"/>
  <c r="E460" i="3"/>
  <c r="O1023" i="2"/>
  <c r="O1024" i="2"/>
  <c r="O1025" i="2"/>
  <c r="E1024" i="2"/>
  <c r="E1025" i="2"/>
  <c r="E1023" i="2"/>
  <c r="O1013" i="2" l="1"/>
  <c r="O1014" i="2"/>
  <c r="O1015" i="2"/>
  <c r="O1016" i="2"/>
  <c r="O1017" i="2"/>
  <c r="O1018" i="2"/>
  <c r="O1019" i="2"/>
  <c r="O1020" i="2"/>
  <c r="O1021" i="2"/>
  <c r="O1022" i="2"/>
  <c r="E1020" i="2"/>
  <c r="E1021" i="2"/>
  <c r="E1022" i="2"/>
  <c r="E1019" i="2"/>
  <c r="E1017" i="2"/>
  <c r="E1018" i="2"/>
  <c r="E1016" i="2"/>
  <c r="E1015" i="2"/>
  <c r="E1014" i="2"/>
  <c r="E1013" i="2" l="1"/>
  <c r="R178" i="1"/>
  <c r="P178" i="1" s="1"/>
  <c r="Q178" i="1"/>
  <c r="G178" i="1"/>
  <c r="E178" i="1"/>
  <c r="O453" i="3" l="1"/>
  <c r="O454" i="3"/>
  <c r="O455" i="3"/>
  <c r="O456" i="3"/>
  <c r="O457" i="3"/>
  <c r="O458" i="3"/>
  <c r="E457" i="3"/>
  <c r="E458" i="3"/>
  <c r="E455" i="3"/>
  <c r="E456" i="3"/>
  <c r="E453" i="3"/>
  <c r="E454" i="3"/>
  <c r="O451" i="3" l="1"/>
  <c r="O452" i="3"/>
  <c r="E452" i="3"/>
  <c r="E451" i="3"/>
  <c r="O1005" i="2"/>
  <c r="O1006" i="2"/>
  <c r="O1007" i="2"/>
  <c r="O1008" i="2"/>
  <c r="O1009" i="2"/>
  <c r="O1010" i="2"/>
  <c r="O1011" i="2"/>
  <c r="O1012" i="2"/>
  <c r="E1007" i="2"/>
  <c r="E1008" i="2"/>
  <c r="E1010" i="2"/>
  <c r="E1011" i="2"/>
  <c r="E1012" i="2"/>
  <c r="E1009" i="2"/>
  <c r="E1006" i="2"/>
  <c r="E1005" i="2"/>
  <c r="R176" i="1"/>
  <c r="P176" i="1" s="1"/>
  <c r="R177" i="1"/>
  <c r="P177" i="1" s="1"/>
  <c r="Q176" i="1"/>
  <c r="Q177" i="1"/>
  <c r="E177" i="1"/>
  <c r="G177" i="1"/>
  <c r="E176" i="1"/>
  <c r="G176" i="1"/>
  <c r="O1000" i="2" l="1"/>
  <c r="O1001" i="2"/>
  <c r="O1002" i="2"/>
  <c r="O1003" i="2"/>
  <c r="O1004" i="2"/>
  <c r="E1003" i="2"/>
  <c r="E1004" i="2"/>
  <c r="E1001" i="2"/>
  <c r="E1002" i="2"/>
  <c r="H1002" i="2" s="1"/>
  <c r="H1023" i="2" s="1"/>
  <c r="H1037" i="2" s="1"/>
  <c r="E1000" i="2"/>
  <c r="O449" i="3"/>
  <c r="O450" i="3"/>
  <c r="E450" i="3"/>
  <c r="E449" i="3"/>
  <c r="O445" i="3" l="1"/>
  <c r="O446" i="3"/>
  <c r="O447" i="3"/>
  <c r="O448" i="3"/>
  <c r="E448" i="3"/>
  <c r="M447" i="3"/>
  <c r="M446" i="3"/>
  <c r="E445" i="3"/>
  <c r="H445" i="3" s="1"/>
  <c r="H451" i="3" s="1"/>
  <c r="H457" i="3" s="1"/>
  <c r="E446" i="3"/>
  <c r="E447" i="3"/>
  <c r="O992" i="2"/>
  <c r="O993" i="2"/>
  <c r="O994" i="2"/>
  <c r="O995" i="2"/>
  <c r="O996" i="2"/>
  <c r="O997" i="2"/>
  <c r="O998" i="2"/>
  <c r="O999" i="2"/>
  <c r="E999" i="2"/>
  <c r="M998" i="2"/>
  <c r="L998" i="2"/>
  <c r="M997" i="2"/>
  <c r="L997" i="2"/>
  <c r="M996" i="2"/>
  <c r="L996" i="2"/>
  <c r="E998" i="2"/>
  <c r="E997" i="2"/>
  <c r="E996" i="2"/>
  <c r="M995" i="2"/>
  <c r="L995" i="2"/>
  <c r="M994" i="2"/>
  <c r="L994" i="2"/>
  <c r="M993" i="2"/>
  <c r="E993" i="2"/>
  <c r="E994" i="2"/>
  <c r="E995" i="2"/>
  <c r="E992" i="2"/>
  <c r="H462" i="3" l="1"/>
  <c r="H463" i="3" s="1"/>
  <c r="O444" i="3"/>
  <c r="E444" i="3"/>
  <c r="O989" i="2"/>
  <c r="O990" i="2"/>
  <c r="O991" i="2"/>
  <c r="E990" i="2"/>
  <c r="E991" i="2"/>
  <c r="E989" i="2"/>
  <c r="R175" i="1"/>
  <c r="P175" i="1" s="1"/>
  <c r="Q175" i="1"/>
  <c r="E175" i="1"/>
  <c r="G175" i="1"/>
  <c r="O439" i="3" l="1"/>
  <c r="O440" i="3"/>
  <c r="O441" i="3"/>
  <c r="O442" i="3"/>
  <c r="O443" i="3"/>
  <c r="E442" i="3"/>
  <c r="E443" i="3"/>
  <c r="E441" i="3"/>
  <c r="E439" i="3"/>
  <c r="E440" i="3"/>
  <c r="O983" i="2"/>
  <c r="O984" i="2"/>
  <c r="O985" i="2"/>
  <c r="O986" i="2"/>
  <c r="O987" i="2"/>
  <c r="O988" i="2"/>
  <c r="E986" i="2"/>
  <c r="E987" i="2"/>
  <c r="E988" i="2"/>
  <c r="E985" i="2"/>
  <c r="E984" i="2"/>
  <c r="E983" i="2"/>
  <c r="O980" i="2" l="1"/>
  <c r="O981" i="2"/>
  <c r="O982" i="2"/>
  <c r="E980" i="2"/>
  <c r="E981" i="2"/>
  <c r="E982" i="2"/>
  <c r="R172" i="1" l="1"/>
  <c r="P172" i="1" s="1"/>
  <c r="R173" i="1"/>
  <c r="P173" i="1" s="1"/>
  <c r="R174" i="1"/>
  <c r="P174" i="1" s="1"/>
  <c r="Q172" i="1"/>
  <c r="Q173" i="1"/>
  <c r="Q174" i="1"/>
  <c r="N174" i="1"/>
  <c r="G172" i="1"/>
  <c r="G173" i="1"/>
  <c r="G174" i="1"/>
  <c r="E172" i="1"/>
  <c r="E173" i="1"/>
  <c r="E174" i="1"/>
  <c r="O437" i="3" l="1"/>
  <c r="O438" i="3"/>
  <c r="E437" i="3"/>
  <c r="E438" i="3"/>
  <c r="O974" i="2"/>
  <c r="O975" i="2"/>
  <c r="O976" i="2"/>
  <c r="O977" i="2"/>
  <c r="O978" i="2"/>
  <c r="O979" i="2"/>
  <c r="E978" i="2"/>
  <c r="E979" i="2"/>
  <c r="E976" i="2"/>
  <c r="E977" i="2"/>
  <c r="E974" i="2"/>
  <c r="E975" i="2"/>
  <c r="O434" i="3" l="1"/>
  <c r="O435" i="3"/>
  <c r="O436" i="3"/>
  <c r="E435" i="3"/>
  <c r="E436" i="3"/>
  <c r="E434" i="3"/>
  <c r="O963" i="2" l="1"/>
  <c r="O964" i="2"/>
  <c r="O965" i="2"/>
  <c r="O966" i="2"/>
  <c r="O967" i="2"/>
  <c r="O968" i="2"/>
  <c r="O969" i="2"/>
  <c r="O970" i="2"/>
  <c r="O971" i="2"/>
  <c r="O972" i="2"/>
  <c r="O973" i="2"/>
  <c r="E973" i="2"/>
  <c r="E972" i="2"/>
  <c r="E971" i="2"/>
  <c r="E970" i="2"/>
  <c r="M969" i="2"/>
  <c r="M968" i="2"/>
  <c r="M967" i="2"/>
  <c r="E969" i="2"/>
  <c r="E968" i="2"/>
  <c r="E967" i="2"/>
  <c r="M966" i="2"/>
  <c r="M965" i="2"/>
  <c r="E965" i="2"/>
  <c r="E966" i="2"/>
  <c r="E964" i="2"/>
  <c r="E963" i="2"/>
  <c r="O960" i="2" l="1"/>
  <c r="O961" i="2"/>
  <c r="O962" i="2"/>
  <c r="E962" i="2"/>
  <c r="H962" i="2" s="1"/>
  <c r="H963" i="2" s="1"/>
  <c r="H978" i="2" s="1"/>
  <c r="H979" i="2" s="1"/>
  <c r="H990" i="2" s="1"/>
  <c r="H991" i="2" s="1"/>
  <c r="H992" i="2" s="1"/>
  <c r="H1003" i="2" s="1"/>
  <c r="H1004" i="2" s="1"/>
  <c r="H1014" i="2" s="1"/>
  <c r="H1015" i="2" s="1"/>
  <c r="H1016" i="2" s="1"/>
  <c r="H1024" i="2" s="1"/>
  <c r="H1025" i="2" s="1"/>
  <c r="H1038" i="2" s="1"/>
  <c r="H1039" i="2" s="1"/>
  <c r="H1040" i="2" s="1"/>
  <c r="O432" i="3" l="1"/>
  <c r="O433" i="3"/>
  <c r="E432" i="3"/>
  <c r="E433" i="3"/>
  <c r="O958" i="2"/>
  <c r="O959" i="2"/>
  <c r="E960" i="2"/>
  <c r="H960" i="2" s="1"/>
  <c r="E961" i="2"/>
  <c r="E959" i="2"/>
  <c r="E958" i="2"/>
  <c r="H961" i="2" l="1"/>
  <c r="R171" i="1"/>
  <c r="P171" i="1" s="1"/>
  <c r="Q171" i="1"/>
  <c r="G171" i="1"/>
  <c r="E171" i="1"/>
  <c r="O429" i="3" l="1"/>
  <c r="O430" i="3"/>
  <c r="O431" i="3"/>
  <c r="E431" i="3"/>
  <c r="E430" i="3"/>
  <c r="H430" i="3" s="1"/>
  <c r="H432" i="3" s="1"/>
  <c r="H433" i="3" s="1"/>
  <c r="H437" i="3" s="1"/>
  <c r="H438" i="3" s="1"/>
  <c r="H441" i="3" s="1"/>
  <c r="H444" i="3" s="1"/>
  <c r="H449" i="3" s="1"/>
  <c r="H450" i="3" s="1"/>
  <c r="H453" i="3" s="1"/>
  <c r="H454" i="3" s="1"/>
  <c r="H455" i="3" s="1"/>
  <c r="H456" i="3" s="1"/>
  <c r="H459" i="3" s="1"/>
  <c r="H460" i="3" s="1"/>
  <c r="H464" i="3" s="1"/>
  <c r="E429" i="3"/>
  <c r="O949" i="2"/>
  <c r="O950" i="2"/>
  <c r="O951" i="2"/>
  <c r="O952" i="2"/>
  <c r="O953" i="2"/>
  <c r="O954" i="2"/>
  <c r="O955" i="2"/>
  <c r="O956" i="2"/>
  <c r="O957" i="2"/>
  <c r="E955" i="2"/>
  <c r="H955" i="2" s="1"/>
  <c r="H971" i="2" s="1"/>
  <c r="H987" i="2" s="1"/>
  <c r="H1011" i="2" s="1"/>
  <c r="H1021" i="2" s="1"/>
  <c r="H1035" i="2" s="1"/>
  <c r="E956" i="2"/>
  <c r="E957" i="2"/>
  <c r="E954" i="2"/>
  <c r="E953" i="2"/>
  <c r="E952" i="2"/>
  <c r="E951" i="2"/>
  <c r="E950" i="2"/>
  <c r="E949" i="2"/>
  <c r="O428" i="3" l="1"/>
  <c r="M428" i="3"/>
  <c r="M440" i="3" s="1"/>
  <c r="E428" i="3"/>
  <c r="H428" i="3" s="1"/>
  <c r="L363" i="3" l="1"/>
  <c r="O946" i="2"/>
  <c r="O947" i="2"/>
  <c r="O948" i="2"/>
  <c r="R169" i="1"/>
  <c r="P169" i="1" s="1"/>
  <c r="R170" i="1"/>
  <c r="P170" i="1" s="1"/>
  <c r="Q169" i="1"/>
  <c r="Q170" i="1"/>
  <c r="G169" i="1"/>
  <c r="G170" i="1"/>
  <c r="E169" i="1"/>
  <c r="E170" i="1"/>
  <c r="E946" i="2"/>
  <c r="H946" i="2" s="1"/>
  <c r="E947" i="2"/>
  <c r="E948" i="2"/>
  <c r="H947" i="2" l="1"/>
  <c r="H980" i="2" s="1"/>
  <c r="H981" i="2" s="1"/>
  <c r="H982" i="2" s="1"/>
  <c r="H1007" i="2" s="1"/>
  <c r="H1008" i="2" s="1"/>
  <c r="H1026" i="2" s="1"/>
  <c r="H1027" i="2" s="1"/>
  <c r="H1028" i="2" s="1"/>
  <c r="O426" i="3"/>
  <c r="O427" i="3"/>
  <c r="E427" i="3"/>
  <c r="E426" i="3"/>
  <c r="O942" i="2"/>
  <c r="O943" i="2"/>
  <c r="O944" i="2"/>
  <c r="O945" i="2"/>
  <c r="E945" i="2"/>
  <c r="E943" i="2"/>
  <c r="E944" i="2"/>
  <c r="E942" i="2"/>
  <c r="O934" i="2" l="1"/>
  <c r="O935" i="2"/>
  <c r="O936" i="2"/>
  <c r="O937" i="2"/>
  <c r="O938" i="2"/>
  <c r="O939" i="2"/>
  <c r="O940" i="2"/>
  <c r="O941" i="2"/>
  <c r="O422" i="3" l="1"/>
  <c r="O423" i="3"/>
  <c r="O424" i="3"/>
  <c r="O425" i="3"/>
  <c r="E425" i="3"/>
  <c r="M424" i="3"/>
  <c r="M423" i="3"/>
  <c r="E422" i="3"/>
  <c r="E423" i="3"/>
  <c r="E424" i="3"/>
  <c r="O933" i="2"/>
  <c r="E941" i="2"/>
  <c r="E939" i="2"/>
  <c r="E938" i="2"/>
  <c r="M937" i="2"/>
  <c r="M936" i="2"/>
  <c r="M935" i="2"/>
  <c r="E937" i="2"/>
  <c r="E936" i="2"/>
  <c r="E935" i="2"/>
  <c r="E934" i="2"/>
  <c r="E940" i="2"/>
  <c r="E933" i="2"/>
  <c r="L821" i="2" l="1"/>
  <c r="L820" i="2"/>
  <c r="R167" i="1" l="1"/>
  <c r="P167" i="1" s="1"/>
  <c r="R168" i="1"/>
  <c r="P168" i="1" s="1"/>
  <c r="Q167" i="1"/>
  <c r="Q168" i="1"/>
  <c r="G168" i="1"/>
  <c r="E168" i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G167" i="1"/>
  <c r="E167" i="1"/>
  <c r="O420" i="3"/>
  <c r="O421" i="3"/>
  <c r="E420" i="3"/>
  <c r="E421" i="3"/>
  <c r="O930" i="2"/>
  <c r="O931" i="2"/>
  <c r="O932" i="2"/>
  <c r="E932" i="2"/>
  <c r="E930" i="2"/>
  <c r="E931" i="2"/>
  <c r="O416" i="3" l="1"/>
  <c r="O417" i="3"/>
  <c r="O418" i="3"/>
  <c r="O419" i="3"/>
  <c r="E419" i="3"/>
  <c r="E418" i="3"/>
  <c r="E417" i="3"/>
  <c r="E416" i="3"/>
  <c r="O924" i="2"/>
  <c r="O925" i="2"/>
  <c r="O926" i="2"/>
  <c r="O927" i="2"/>
  <c r="O928" i="2"/>
  <c r="O929" i="2"/>
  <c r="E927" i="2"/>
  <c r="H927" i="2" s="1"/>
  <c r="H938" i="2" s="1"/>
  <c r="H954" i="2" s="1"/>
  <c r="H970" i="2" s="1"/>
  <c r="H986" i="2" s="1"/>
  <c r="H1010" i="2" s="1"/>
  <c r="H1020" i="2" s="1"/>
  <c r="H1034" i="2" s="1"/>
  <c r="E926" i="2"/>
  <c r="E928" i="2"/>
  <c r="E929" i="2"/>
  <c r="E925" i="2"/>
  <c r="E924" i="2"/>
  <c r="R164" i="1" l="1"/>
  <c r="P164" i="1" s="1"/>
  <c r="R165" i="1"/>
  <c r="P165" i="1" s="1"/>
  <c r="R166" i="1"/>
  <c r="P166" i="1" s="1"/>
  <c r="Q164" i="1"/>
  <c r="Q165" i="1"/>
  <c r="Q166" i="1"/>
  <c r="N166" i="1"/>
  <c r="G164" i="1"/>
  <c r="G165" i="1"/>
  <c r="G166" i="1"/>
  <c r="E164" i="1"/>
  <c r="E165" i="1"/>
  <c r="E166" i="1"/>
  <c r="L309" i="3" l="1"/>
  <c r="M309" i="3" s="1"/>
  <c r="M407" i="3" s="1"/>
  <c r="L409" i="3" s="1"/>
  <c r="M409" i="3" s="1"/>
  <c r="M414" i="3" s="1"/>
  <c r="O415" i="3"/>
  <c r="E415" i="3"/>
  <c r="O918" i="2"/>
  <c r="O919" i="2"/>
  <c r="O920" i="2"/>
  <c r="O921" i="2"/>
  <c r="O922" i="2"/>
  <c r="O923" i="2"/>
  <c r="E920" i="2"/>
  <c r="E921" i="2"/>
  <c r="E922" i="2"/>
  <c r="E923" i="2"/>
  <c r="E919" i="2"/>
  <c r="E918" i="2"/>
  <c r="O411" i="3" l="1"/>
  <c r="O412" i="3"/>
  <c r="O413" i="3"/>
  <c r="O414" i="3"/>
  <c r="E414" i="3"/>
  <c r="M413" i="3"/>
  <c r="M412" i="3"/>
  <c r="M411" i="3"/>
  <c r="E411" i="3"/>
  <c r="E412" i="3"/>
  <c r="E413" i="3"/>
  <c r="O910" i="2"/>
  <c r="O911" i="2"/>
  <c r="O912" i="2"/>
  <c r="O913" i="2"/>
  <c r="O914" i="2"/>
  <c r="O915" i="2"/>
  <c r="O916" i="2"/>
  <c r="O917" i="2"/>
  <c r="E917" i="2"/>
  <c r="M916" i="2"/>
  <c r="M915" i="2"/>
  <c r="M914" i="2"/>
  <c r="E916" i="2"/>
  <c r="E915" i="2"/>
  <c r="E914" i="2"/>
  <c r="E910" i="2"/>
  <c r="M913" i="2"/>
  <c r="M912" i="2"/>
  <c r="M911" i="2"/>
  <c r="E911" i="2"/>
  <c r="E912" i="2"/>
  <c r="E913" i="2"/>
  <c r="O409" i="3" l="1"/>
  <c r="O410" i="3"/>
  <c r="E410" i="3"/>
  <c r="E409" i="3" l="1"/>
  <c r="O905" i="2"/>
  <c r="O906" i="2"/>
  <c r="O907" i="2"/>
  <c r="O908" i="2"/>
  <c r="O909" i="2"/>
  <c r="E908" i="2"/>
  <c r="E909" i="2"/>
  <c r="E907" i="2"/>
  <c r="E906" i="2"/>
  <c r="E905" i="2"/>
  <c r="R163" i="1"/>
  <c r="P163" i="1" s="1"/>
  <c r="Q163" i="1"/>
  <c r="G163" i="1"/>
  <c r="E163" i="1"/>
  <c r="O404" i="3" l="1"/>
  <c r="O405" i="3"/>
  <c r="O406" i="3"/>
  <c r="O407" i="3"/>
  <c r="O408" i="3"/>
  <c r="E408" i="3"/>
  <c r="E406" i="3"/>
  <c r="E407" i="3"/>
  <c r="E404" i="3"/>
  <c r="E405" i="3"/>
  <c r="O901" i="2"/>
  <c r="O902" i="2"/>
  <c r="O903" i="2"/>
  <c r="O904" i="2"/>
  <c r="E904" i="2"/>
  <c r="E902" i="2"/>
  <c r="E903" i="2"/>
  <c r="E901" i="2"/>
  <c r="O403" i="3" l="1"/>
  <c r="E403" i="3"/>
  <c r="O896" i="2" l="1"/>
  <c r="O897" i="2"/>
  <c r="O898" i="2"/>
  <c r="O899" i="2"/>
  <c r="O900" i="2"/>
  <c r="E900" i="2"/>
  <c r="L835" i="2"/>
  <c r="E899" i="2" l="1"/>
  <c r="R161" i="1"/>
  <c r="P161" i="1" s="1"/>
  <c r="R162" i="1"/>
  <c r="P162" i="1" s="1"/>
  <c r="Q161" i="1"/>
  <c r="Q162" i="1"/>
  <c r="G161" i="1"/>
  <c r="G162" i="1"/>
  <c r="E161" i="1"/>
  <c r="E162" i="1"/>
  <c r="E896" i="2"/>
  <c r="E897" i="2"/>
  <c r="E898" i="2"/>
  <c r="O401" i="3" l="1"/>
  <c r="O402" i="3"/>
  <c r="E402" i="3"/>
  <c r="E401" i="3"/>
  <c r="H401" i="3" s="1"/>
  <c r="O893" i="2"/>
  <c r="O894" i="2"/>
  <c r="O895" i="2"/>
  <c r="E895" i="2"/>
  <c r="E893" i="2"/>
  <c r="E894" i="2"/>
  <c r="H402" i="3" l="1"/>
  <c r="H406" i="3" s="1"/>
  <c r="H407" i="3" s="1"/>
  <c r="H409" i="3" s="1"/>
  <c r="H410" i="3" s="1"/>
  <c r="H415" i="3" s="1"/>
  <c r="H418" i="3" s="1"/>
  <c r="H420" i="3" s="1"/>
  <c r="H421" i="3" s="1"/>
  <c r="H426" i="3" s="1"/>
  <c r="H427" i="3" s="1"/>
  <c r="O892" i="2"/>
  <c r="E892" i="2"/>
  <c r="O397" i="3" l="1"/>
  <c r="O398" i="3"/>
  <c r="O399" i="3"/>
  <c r="O400" i="3"/>
  <c r="E400" i="3"/>
  <c r="M399" i="3"/>
  <c r="M398" i="3"/>
  <c r="E397" i="3"/>
  <c r="E398" i="3"/>
  <c r="E399" i="3"/>
  <c r="O889" i="2"/>
  <c r="O890" i="2"/>
  <c r="O891" i="2"/>
  <c r="E891" i="2"/>
  <c r="E889" i="2"/>
  <c r="E890" i="2"/>
  <c r="O886" i="2" l="1"/>
  <c r="O887" i="2"/>
  <c r="O888" i="2"/>
  <c r="E887" i="2"/>
  <c r="E888" i="2"/>
  <c r="O883" i="2" l="1"/>
  <c r="O884" i="2"/>
  <c r="O885" i="2"/>
  <c r="E884" i="2"/>
  <c r="E885" i="2"/>
  <c r="L302" i="3" l="1"/>
  <c r="O395" i="3" l="1"/>
  <c r="O396" i="3"/>
  <c r="E396" i="3"/>
  <c r="E395" i="3"/>
  <c r="E886" i="2"/>
  <c r="E883" i="2"/>
  <c r="R159" i="1"/>
  <c r="P159" i="1" s="1"/>
  <c r="R160" i="1"/>
  <c r="P160" i="1" s="1"/>
  <c r="Q159" i="1"/>
  <c r="Q160" i="1"/>
  <c r="G159" i="1"/>
  <c r="G160" i="1"/>
  <c r="E159" i="1"/>
  <c r="E160" i="1"/>
  <c r="N160" i="1"/>
  <c r="N182" i="1" s="1"/>
  <c r="O882" i="2"/>
  <c r="E882" i="2"/>
  <c r="O874" i="2" l="1"/>
  <c r="O875" i="2"/>
  <c r="O876" i="2"/>
  <c r="O877" i="2"/>
  <c r="O878" i="2"/>
  <c r="O879" i="2"/>
  <c r="O880" i="2"/>
  <c r="O881" i="2"/>
  <c r="M879" i="2"/>
  <c r="M878" i="2"/>
  <c r="M877" i="2"/>
  <c r="M876" i="2"/>
  <c r="M875" i="2"/>
  <c r="M874" i="2"/>
  <c r="E875" i="2"/>
  <c r="E876" i="2"/>
  <c r="E877" i="2"/>
  <c r="E878" i="2"/>
  <c r="E879" i="2"/>
  <c r="H879" i="2" s="1"/>
  <c r="H891" i="2" s="1"/>
  <c r="H902" i="2" s="1"/>
  <c r="H903" i="2" s="1"/>
  <c r="H914" i="2" s="1"/>
  <c r="H915" i="2" s="1"/>
  <c r="H916" i="2" s="1"/>
  <c r="H925" i="2" s="1"/>
  <c r="H935" i="2" s="1"/>
  <c r="H936" i="2" s="1"/>
  <c r="H937" i="2" s="1"/>
  <c r="H952" i="2" s="1"/>
  <c r="H953" i="2" s="1"/>
  <c r="H967" i="2" s="1"/>
  <c r="H968" i="2" s="1"/>
  <c r="H969" i="2" s="1"/>
  <c r="H985" i="2" s="1"/>
  <c r="H996" i="2" s="1"/>
  <c r="H997" i="2" s="1"/>
  <c r="H998" i="2" s="1"/>
  <c r="H1009" i="2" s="1"/>
  <c r="H1019" i="2" s="1"/>
  <c r="O388" i="3"/>
  <c r="O389" i="3"/>
  <c r="O390" i="3"/>
  <c r="O391" i="3"/>
  <c r="O392" i="3"/>
  <c r="O393" i="3"/>
  <c r="O394" i="3"/>
  <c r="O385" i="3"/>
  <c r="O386" i="3"/>
  <c r="O387" i="3"/>
  <c r="E391" i="3"/>
  <c r="E392" i="3"/>
  <c r="E393" i="3"/>
  <c r="E394" i="3"/>
  <c r="M387" i="3"/>
  <c r="M386" i="3"/>
  <c r="M385" i="3"/>
  <c r="E390" i="3"/>
  <c r="E389" i="3"/>
  <c r="E388" i="3"/>
  <c r="E385" i="3"/>
  <c r="E386" i="3"/>
  <c r="E387" i="3"/>
  <c r="E881" i="2" l="1"/>
  <c r="E880" i="2"/>
  <c r="E874" i="2"/>
  <c r="O871" i="2" l="1"/>
  <c r="O872" i="2"/>
  <c r="O873" i="2"/>
  <c r="R157" i="1"/>
  <c r="P157" i="1" s="1"/>
  <c r="R158" i="1"/>
  <c r="P158" i="1" s="1"/>
  <c r="Q157" i="1"/>
  <c r="Q158" i="1"/>
  <c r="G157" i="1"/>
  <c r="G158" i="1"/>
  <c r="E157" i="1"/>
  <c r="E158" i="1"/>
  <c r="E871" i="2"/>
  <c r="E872" i="2"/>
  <c r="E873" i="2"/>
  <c r="O382" i="3" l="1"/>
  <c r="O383" i="3"/>
  <c r="O384" i="3"/>
  <c r="E383" i="3"/>
  <c r="H383" i="3" s="1"/>
  <c r="E382" i="3"/>
  <c r="E384" i="3"/>
  <c r="O870" i="2"/>
  <c r="O869" i="2"/>
  <c r="O868" i="2"/>
  <c r="E870" i="2"/>
  <c r="E869" i="2"/>
  <c r="E868" i="2"/>
  <c r="O377" i="3" l="1"/>
  <c r="O378" i="3"/>
  <c r="O379" i="3"/>
  <c r="O380" i="3"/>
  <c r="O381" i="3"/>
  <c r="E381" i="3"/>
  <c r="E380" i="3"/>
  <c r="O862" i="2"/>
  <c r="O863" i="2"/>
  <c r="O864" i="2"/>
  <c r="O865" i="2"/>
  <c r="O866" i="2"/>
  <c r="O867" i="2"/>
  <c r="M867" i="2"/>
  <c r="M1040" i="2" s="1"/>
  <c r="M1046" i="2" s="1"/>
  <c r="M866" i="2"/>
  <c r="M1028" i="2" s="1"/>
  <c r="M1037" i="2" s="1"/>
  <c r="M1039" i="2" s="1"/>
  <c r="M865" i="2"/>
  <c r="M1027" i="2" s="1"/>
  <c r="M1032" i="2" s="1"/>
  <c r="M1034" i="2" s="1"/>
  <c r="M1038" i="2" s="1"/>
  <c r="E867" i="2"/>
  <c r="E866" i="2"/>
  <c r="E865" i="2"/>
  <c r="M864" i="2"/>
  <c r="M1025" i="2" s="1"/>
  <c r="M1026" i="2" s="1"/>
  <c r="M1035" i="2" s="1"/>
  <c r="M1036" i="2" s="1"/>
  <c r="M863" i="2"/>
  <c r="M1016" i="2" s="1"/>
  <c r="M1018" i="2" s="1"/>
  <c r="M1022" i="2" s="1"/>
  <c r="M1023" i="2" s="1"/>
  <c r="M1024" i="2" s="1"/>
  <c r="M862" i="2"/>
  <c r="M1015" i="2" s="1"/>
  <c r="M1017" i="2" s="1"/>
  <c r="M1019" i="2" s="1"/>
  <c r="M1021" i="2" s="1"/>
  <c r="E862" i="2"/>
  <c r="H862" i="2" s="1"/>
  <c r="E863" i="2"/>
  <c r="E864" i="2"/>
  <c r="M379" i="3"/>
  <c r="M378" i="3"/>
  <c r="M377" i="3"/>
  <c r="E377" i="3"/>
  <c r="E378" i="3"/>
  <c r="E379" i="3"/>
  <c r="H379" i="3" s="1"/>
  <c r="H385" i="3" s="1"/>
  <c r="H386" i="3" s="1"/>
  <c r="H387" i="3" s="1"/>
  <c r="H398" i="3" s="1"/>
  <c r="H399" i="3" s="1"/>
  <c r="H411" i="3" s="1"/>
  <c r="H412" i="3" s="1"/>
  <c r="H413" i="3" s="1"/>
  <c r="H423" i="3" s="1"/>
  <c r="H424" i="3" s="1"/>
  <c r="H440" i="3" s="1"/>
  <c r="H446" i="3" s="1"/>
  <c r="H447" i="3" s="1"/>
  <c r="H863" i="2" l="1"/>
  <c r="H864" i="2" s="1"/>
  <c r="H874" i="2" s="1"/>
  <c r="H875" i="2" s="1"/>
  <c r="H876" i="2" s="1"/>
  <c r="H889" i="2" s="1"/>
  <c r="H890" i="2" s="1"/>
  <c r="H901" i="2" s="1"/>
  <c r="H911" i="2" s="1"/>
  <c r="H912" i="2" s="1"/>
  <c r="H913" i="2" s="1"/>
  <c r="H924" i="2" s="1"/>
  <c r="H934" i="2" s="1"/>
  <c r="H949" i="2" s="1"/>
  <c r="H950" i="2" s="1"/>
  <c r="H951" i="2" s="1"/>
  <c r="H964" i="2" s="1"/>
  <c r="H965" i="2" s="1"/>
  <c r="H966" i="2" s="1"/>
  <c r="H983" i="2" s="1"/>
  <c r="H984" i="2" s="1"/>
  <c r="H993" i="2" s="1"/>
  <c r="H994" i="2" s="1"/>
  <c r="H995" i="2" s="1"/>
  <c r="H1005" i="2" s="1"/>
  <c r="H1006" i="2" s="1"/>
  <c r="H1017" i="2" s="1"/>
  <c r="H1018" i="2" s="1"/>
  <c r="H1029" i="2" s="1"/>
  <c r="O859" i="2"/>
  <c r="O860" i="2"/>
  <c r="O861" i="2"/>
  <c r="E861" i="2"/>
  <c r="R156" i="1" l="1"/>
  <c r="P156" i="1" s="1"/>
  <c r="Q156" i="1"/>
  <c r="E156" i="1"/>
  <c r="G156" i="1"/>
  <c r="O374" i="3"/>
  <c r="O375" i="3"/>
  <c r="O376" i="3"/>
  <c r="E376" i="3"/>
  <c r="E374" i="3"/>
  <c r="E375" i="3"/>
  <c r="E859" i="2"/>
  <c r="E860" i="2"/>
  <c r="O857" i="2" l="1"/>
  <c r="E857" i="2"/>
  <c r="O369" i="3" l="1"/>
  <c r="O370" i="3"/>
  <c r="O371" i="3"/>
  <c r="O372" i="3"/>
  <c r="O373" i="3"/>
  <c r="E373" i="3"/>
  <c r="E372" i="3"/>
  <c r="M371" i="3" l="1"/>
  <c r="M370" i="3"/>
  <c r="M369" i="3"/>
  <c r="E369" i="3"/>
  <c r="E370" i="3"/>
  <c r="E371" i="3"/>
  <c r="O853" i="2"/>
  <c r="O854" i="2"/>
  <c r="O855" i="2"/>
  <c r="O856" i="2"/>
  <c r="O858" i="2"/>
  <c r="E858" i="2"/>
  <c r="E856" i="2"/>
  <c r="E855" i="2"/>
  <c r="E853" i="2"/>
  <c r="E854" i="2"/>
  <c r="O851" i="2" l="1"/>
  <c r="O852" i="2"/>
  <c r="E851" i="2"/>
  <c r="E852" i="2"/>
  <c r="R152" i="1" l="1"/>
  <c r="P152" i="1" s="1"/>
  <c r="R153" i="1"/>
  <c r="P153" i="1" s="1"/>
  <c r="R154" i="1"/>
  <c r="P154" i="1" s="1"/>
  <c r="R155" i="1"/>
  <c r="P155" i="1" s="1"/>
  <c r="Q152" i="1"/>
  <c r="Q153" i="1"/>
  <c r="Q154" i="1"/>
  <c r="Q155" i="1"/>
  <c r="N154" i="1" l="1"/>
  <c r="N177" i="1" s="1"/>
  <c r="N178" i="1" s="1"/>
  <c r="G152" i="1"/>
  <c r="G153" i="1"/>
  <c r="G154" i="1"/>
  <c r="G155" i="1"/>
  <c r="E152" i="1"/>
  <c r="E153" i="1"/>
  <c r="E154" i="1"/>
  <c r="E155" i="1"/>
  <c r="O365" i="3" l="1"/>
  <c r="O366" i="3"/>
  <c r="O367" i="3"/>
  <c r="O368" i="3"/>
  <c r="E367" i="3"/>
  <c r="E368" i="3"/>
  <c r="E366" i="3"/>
  <c r="E365" i="3"/>
  <c r="O848" i="2"/>
  <c r="O849" i="2"/>
  <c r="O850" i="2"/>
  <c r="E850" i="2"/>
  <c r="H850" i="2" s="1"/>
  <c r="H859" i="2" s="1"/>
  <c r="H860" i="2" s="1"/>
  <c r="H868" i="2" s="1"/>
  <c r="H869" i="2" s="1"/>
  <c r="H884" i="2" s="1"/>
  <c r="H885" i="2" s="1"/>
  <c r="H893" i="2" s="1"/>
  <c r="H894" i="2" s="1"/>
  <c r="H906" i="2" s="1"/>
  <c r="H918" i="2" s="1"/>
  <c r="H919" i="2" s="1"/>
  <c r="H930" i="2" s="1"/>
  <c r="H931" i="2" s="1"/>
  <c r="H943" i="2" s="1"/>
  <c r="H944" i="2" s="1"/>
  <c r="H959" i="2" s="1"/>
  <c r="H976" i="2" s="1"/>
  <c r="H977" i="2" s="1"/>
  <c r="H989" i="2" s="1"/>
  <c r="H1000" i="2" s="1"/>
  <c r="H1001" i="2" s="1"/>
  <c r="E849" i="2"/>
  <c r="E848" i="2"/>
  <c r="O846" i="2"/>
  <c r="O847" i="2"/>
  <c r="O839" i="2" l="1"/>
  <c r="O840" i="2"/>
  <c r="O841" i="2"/>
  <c r="O842" i="2"/>
  <c r="O843" i="2"/>
  <c r="O844" i="2"/>
  <c r="O845" i="2"/>
  <c r="E847" i="2"/>
  <c r="E846" i="2"/>
  <c r="E845" i="2"/>
  <c r="O361" i="3"/>
  <c r="O362" i="3"/>
  <c r="O363" i="3"/>
  <c r="O364" i="3"/>
  <c r="E364" i="3"/>
  <c r="H364" i="3" s="1"/>
  <c r="H373" i="3" s="1"/>
  <c r="H380" i="3" s="1"/>
  <c r="H381" i="3" s="1"/>
  <c r="H390" i="3" s="1"/>
  <c r="H400" i="3" s="1"/>
  <c r="H408" i="3" s="1"/>
  <c r="H414" i="3" s="1"/>
  <c r="H419" i="3" s="1"/>
  <c r="H425" i="3" s="1"/>
  <c r="H431" i="3" s="1"/>
  <c r="H435" i="3" s="1"/>
  <c r="H436" i="3" s="1"/>
  <c r="H442" i="3" s="1"/>
  <c r="H443" i="3" s="1"/>
  <c r="H448" i="3" s="1"/>
  <c r="H452" i="3" s="1"/>
  <c r="H458" i="3" s="1"/>
  <c r="H465" i="3" s="1"/>
  <c r="H466" i="3" s="1"/>
  <c r="H470" i="3" s="1"/>
  <c r="M363" i="3"/>
  <c r="M362" i="3"/>
  <c r="M361" i="3"/>
  <c r="E361" i="3"/>
  <c r="E362" i="3"/>
  <c r="E363" i="3"/>
  <c r="M844" i="2"/>
  <c r="M1008" i="2" s="1"/>
  <c r="M1013" i="2" s="1"/>
  <c r="M1014" i="2" s="1"/>
  <c r="M1020" i="2" s="1"/>
  <c r="M843" i="2"/>
  <c r="M1006" i="2" s="1"/>
  <c r="M1007" i="2" s="1"/>
  <c r="M1009" i="2" s="1"/>
  <c r="M842" i="2"/>
  <c r="M1002" i="2" s="1"/>
  <c r="M1004" i="2" s="1"/>
  <c r="M1005" i="2" s="1"/>
  <c r="M1011" i="2" s="1"/>
  <c r="E844" i="2"/>
  <c r="E843" i="2"/>
  <c r="E842" i="2"/>
  <c r="M841" i="2"/>
  <c r="M992" i="2" s="1"/>
  <c r="M1001" i="2" s="1"/>
  <c r="M1003" i="2" s="1"/>
  <c r="M1010" i="2" s="1"/>
  <c r="M840" i="2"/>
  <c r="M991" i="2" s="1"/>
  <c r="M999" i="2" s="1"/>
  <c r="M1000" i="2" s="1"/>
  <c r="M1012" i="2" s="1"/>
  <c r="E839" i="2"/>
  <c r="E840" i="2"/>
  <c r="E841" i="2"/>
  <c r="O837" i="2" l="1"/>
  <c r="O838" i="2"/>
  <c r="E837" i="2"/>
  <c r="E838" i="2"/>
  <c r="O358" i="3" l="1"/>
  <c r="O359" i="3"/>
  <c r="O360" i="3"/>
  <c r="E360" i="3"/>
  <c r="H360" i="3" s="1"/>
  <c r="H367" i="3" s="1"/>
  <c r="H368" i="3" s="1"/>
  <c r="H372" i="3" s="1"/>
  <c r="H376" i="3" s="1"/>
  <c r="H384" i="3" s="1"/>
  <c r="H388" i="3" s="1"/>
  <c r="H389" i="3" s="1"/>
  <c r="H395" i="3" s="1"/>
  <c r="H396" i="3" s="1"/>
  <c r="E359" i="3"/>
  <c r="E358" i="3"/>
  <c r="R151" i="1"/>
  <c r="P151" i="1" s="1"/>
  <c r="Q151" i="1"/>
  <c r="G151" i="1"/>
  <c r="E151" i="1"/>
  <c r="O832" i="2" l="1"/>
  <c r="O833" i="2"/>
  <c r="O834" i="2"/>
  <c r="O835" i="2"/>
  <c r="O836" i="2"/>
  <c r="E836" i="2"/>
  <c r="O352" i="3" l="1"/>
  <c r="O353" i="3"/>
  <c r="O354" i="3"/>
  <c r="O355" i="3"/>
  <c r="O356" i="3"/>
  <c r="O357" i="3"/>
  <c r="E357" i="3"/>
  <c r="E356" i="3"/>
  <c r="E355" i="3"/>
  <c r="M354" i="3"/>
  <c r="M353" i="3"/>
  <c r="M468" i="3" s="1"/>
  <c r="M469" i="3" s="1"/>
  <c r="M470" i="3" s="1"/>
  <c r="M352" i="3"/>
  <c r="M460" i="3" s="1"/>
  <c r="M463" i="3" s="1"/>
  <c r="M464" i="3" s="1"/>
  <c r="M466" i="3" s="1"/>
  <c r="M467" i="3" s="1"/>
  <c r="E354" i="3"/>
  <c r="E353" i="3"/>
  <c r="E352" i="3"/>
  <c r="M835" i="2"/>
  <c r="M984" i="2" s="1"/>
  <c r="M985" i="2" s="1"/>
  <c r="M989" i="2" s="1"/>
  <c r="M990" i="2" s="1"/>
  <c r="L834" i="2"/>
  <c r="M834" i="2" s="1"/>
  <c r="M982" i="2" s="1"/>
  <c r="M983" i="2" s="1"/>
  <c r="L833" i="2"/>
  <c r="M833" i="2" s="1"/>
  <c r="M981" i="2" s="1"/>
  <c r="L832" i="2"/>
  <c r="M832" i="2" s="1"/>
  <c r="M977" i="2" s="1"/>
  <c r="M980" i="2" s="1"/>
  <c r="E834" i="2"/>
  <c r="E835" i="2"/>
  <c r="E833" i="2"/>
  <c r="E832" i="2"/>
  <c r="O351" i="3" l="1"/>
  <c r="O350" i="3"/>
  <c r="O349" i="3"/>
  <c r="O348" i="3"/>
  <c r="E348" i="3"/>
  <c r="E349" i="3"/>
  <c r="E350" i="3"/>
  <c r="E351" i="3"/>
  <c r="O828" i="2"/>
  <c r="O829" i="2"/>
  <c r="O830" i="2"/>
  <c r="O831" i="2"/>
  <c r="E831" i="2"/>
  <c r="E828" i="2"/>
  <c r="H828" i="2" s="1"/>
  <c r="E829" i="2"/>
  <c r="E830" i="2"/>
  <c r="H829" i="2" l="1"/>
  <c r="H830" i="2" s="1"/>
  <c r="H851" i="2" s="1"/>
  <c r="H852" i="2" s="1"/>
  <c r="H871" i="2" s="1"/>
  <c r="H872" i="2" s="1"/>
  <c r="H873" i="2" s="1"/>
  <c r="H896" i="2" s="1"/>
  <c r="H897" i="2" s="1"/>
  <c r="H898" i="2" s="1"/>
  <c r="H922" i="2" s="1"/>
  <c r="H923" i="2" s="1"/>
  <c r="H948" i="2" s="1"/>
  <c r="R148" i="1"/>
  <c r="P148" i="1" s="1"/>
  <c r="R149" i="1"/>
  <c r="P149" i="1" s="1"/>
  <c r="R150" i="1"/>
  <c r="P150" i="1" s="1"/>
  <c r="Q148" i="1"/>
  <c r="Q149" i="1"/>
  <c r="Q150" i="1"/>
  <c r="N150" i="1"/>
  <c r="N173" i="1" s="1"/>
  <c r="N175" i="1" s="1"/>
  <c r="N176" i="1" s="1"/>
  <c r="G148" i="1"/>
  <c r="G149" i="1"/>
  <c r="G150" i="1"/>
  <c r="E148" i="1"/>
  <c r="E149" i="1"/>
  <c r="E150" i="1"/>
  <c r="L714" i="2" l="1"/>
  <c r="O345" i="3" l="1"/>
  <c r="O346" i="3"/>
  <c r="O347" i="3"/>
  <c r="E347" i="3"/>
  <c r="E346" i="3"/>
  <c r="E345" i="3"/>
  <c r="O826" i="2"/>
  <c r="O827" i="2"/>
  <c r="E827" i="2"/>
  <c r="E826" i="2"/>
  <c r="O819" i="2" l="1"/>
  <c r="O820" i="2"/>
  <c r="O821" i="2"/>
  <c r="O822" i="2"/>
  <c r="O823" i="2"/>
  <c r="O824" i="2"/>
  <c r="O825" i="2"/>
  <c r="E825" i="2"/>
  <c r="O340" i="3" l="1"/>
  <c r="O341" i="3"/>
  <c r="O342" i="3"/>
  <c r="O343" i="3"/>
  <c r="O344" i="3"/>
  <c r="E344" i="3"/>
  <c r="M343" i="3"/>
  <c r="M456" i="3" s="1"/>
  <c r="M459" i="3" s="1"/>
  <c r="M462" i="3" s="1"/>
  <c r="M465" i="3" s="1"/>
  <c r="M342" i="3"/>
  <c r="M454" i="3" s="1"/>
  <c r="M455" i="3" s="1"/>
  <c r="M457" i="3" s="1"/>
  <c r="M458" i="3" s="1"/>
  <c r="M341" i="3"/>
  <c r="M450" i="3" s="1"/>
  <c r="M451" i="3" s="1"/>
  <c r="M452" i="3" s="1"/>
  <c r="M453" i="3" s="1"/>
  <c r="M340" i="3"/>
  <c r="M443" i="3" s="1"/>
  <c r="M444" i="3" s="1"/>
  <c r="M445" i="3" s="1"/>
  <c r="M448" i="3" s="1"/>
  <c r="M449" i="3" s="1"/>
  <c r="E340" i="3"/>
  <c r="E341" i="3"/>
  <c r="E342" i="3"/>
  <c r="E343" i="3"/>
  <c r="L824" i="2"/>
  <c r="M824" i="2" s="1"/>
  <c r="M976" i="2" s="1"/>
  <c r="M979" i="2" s="1"/>
  <c r="M986" i="2" s="1"/>
  <c r="M988" i="2" s="1"/>
  <c r="M823" i="2"/>
  <c r="M964" i="2" s="1"/>
  <c r="M971" i="2" s="1"/>
  <c r="M973" i="2" s="1"/>
  <c r="M975" i="2" s="1"/>
  <c r="M978" i="2" s="1"/>
  <c r="M987" i="2" s="1"/>
  <c r="M822" i="2"/>
  <c r="M961" i="2" s="1"/>
  <c r="M962" i="2" s="1"/>
  <c r="M963" i="2" s="1"/>
  <c r="M970" i="2" s="1"/>
  <c r="M972" i="2" s="1"/>
  <c r="E822" i="2"/>
  <c r="E823" i="2"/>
  <c r="E824" i="2"/>
  <c r="M821" i="2"/>
  <c r="M951" i="2" s="1"/>
  <c r="M958" i="2" s="1"/>
  <c r="M959" i="2" s="1"/>
  <c r="M974" i="2" s="1"/>
  <c r="M820" i="2"/>
  <c r="M948" i="2" s="1"/>
  <c r="M950" i="2" s="1"/>
  <c r="M957" i="2" s="1"/>
  <c r="M819" i="2"/>
  <c r="M947" i="2" s="1"/>
  <c r="M955" i="2" s="1"/>
  <c r="M956" i="2" s="1"/>
  <c r="M960" i="2" s="1"/>
  <c r="E819" i="2"/>
  <c r="E820" i="2"/>
  <c r="E821" i="2"/>
  <c r="E22" i="4" l="1"/>
  <c r="O338" i="3" l="1"/>
  <c r="O339" i="3"/>
  <c r="E339" i="3"/>
  <c r="E338" i="3"/>
  <c r="O817" i="2"/>
  <c r="O818" i="2"/>
  <c r="E818" i="2"/>
  <c r="E817" i="2"/>
  <c r="R146" i="1"/>
  <c r="P146" i="1" s="1"/>
  <c r="R147" i="1"/>
  <c r="P147" i="1" s="1"/>
  <c r="Q146" i="1"/>
  <c r="Q147" i="1"/>
  <c r="N147" i="1"/>
  <c r="N170" i="1" s="1"/>
  <c r="N171" i="1" s="1"/>
  <c r="N172" i="1" s="1"/>
  <c r="G146" i="1"/>
  <c r="G147" i="1"/>
  <c r="E146" i="1"/>
  <c r="E147" i="1"/>
  <c r="O809" i="2" l="1"/>
  <c r="O810" i="2"/>
  <c r="O811" i="2"/>
  <c r="O812" i="2"/>
  <c r="O813" i="2"/>
  <c r="O814" i="2"/>
  <c r="O815" i="2"/>
  <c r="O816" i="2"/>
  <c r="E816" i="2"/>
  <c r="E809" i="2"/>
  <c r="E810" i="2"/>
  <c r="E811" i="2"/>
  <c r="E812" i="2"/>
  <c r="E813" i="2"/>
  <c r="E814" i="2"/>
  <c r="E815" i="2"/>
  <c r="M812" i="2"/>
  <c r="M942" i="2" s="1"/>
  <c r="M944" i="2" s="1"/>
  <c r="M945" i="2" s="1"/>
  <c r="M949" i="2" s="1"/>
  <c r="M953" i="2" s="1"/>
  <c r="M954" i="2" s="1"/>
  <c r="O332" i="3"/>
  <c r="O333" i="3"/>
  <c r="O334" i="3"/>
  <c r="O335" i="3"/>
  <c r="O336" i="3"/>
  <c r="O337" i="3"/>
  <c r="E332" i="3"/>
  <c r="E337" i="3" l="1"/>
  <c r="E336" i="3"/>
  <c r="E335" i="3"/>
  <c r="E333" i="3"/>
  <c r="E334" i="3"/>
  <c r="M334" i="3"/>
  <c r="M438" i="3" s="1"/>
  <c r="M439" i="3" s="1"/>
  <c r="M441" i="3" s="1"/>
  <c r="M442" i="3" s="1"/>
  <c r="M333" i="3"/>
  <c r="M433" i="3" s="1"/>
  <c r="M434" i="3" s="1"/>
  <c r="M436" i="3" s="1"/>
  <c r="M437" i="3" s="1"/>
  <c r="Q145" i="1"/>
  <c r="O808" i="2" l="1"/>
  <c r="O807" i="2"/>
  <c r="E808" i="2"/>
  <c r="E807" i="2"/>
  <c r="R145" i="1"/>
  <c r="P145" i="1" s="1"/>
  <c r="G145" i="1"/>
  <c r="E145" i="1"/>
  <c r="O329" i="3" l="1"/>
  <c r="O330" i="3"/>
  <c r="O331" i="3"/>
  <c r="E331" i="3"/>
  <c r="E329" i="3"/>
  <c r="E330" i="3"/>
  <c r="O806" i="2"/>
  <c r="O805" i="2"/>
  <c r="E806" i="2"/>
  <c r="E805" i="2"/>
  <c r="O802" i="2" l="1"/>
  <c r="O803" i="2"/>
  <c r="O804" i="2"/>
  <c r="E804" i="2"/>
  <c r="E803" i="2" l="1"/>
  <c r="E802" i="2"/>
  <c r="O325" i="3"/>
  <c r="O326" i="3"/>
  <c r="O327" i="3"/>
  <c r="O328" i="3"/>
  <c r="E325" i="3"/>
  <c r="E328" i="3" l="1"/>
  <c r="E327" i="3"/>
  <c r="M326" i="3"/>
  <c r="M427" i="3" s="1"/>
  <c r="M429" i="3" s="1"/>
  <c r="M430" i="3" s="1"/>
  <c r="M432" i="3" s="1"/>
  <c r="M435" i="3" s="1"/>
  <c r="E326" i="3"/>
  <c r="O799" i="2" l="1"/>
  <c r="O800" i="2"/>
  <c r="O801" i="2"/>
  <c r="E801" i="2"/>
  <c r="L277" i="3" l="1"/>
  <c r="O321" i="3"/>
  <c r="O322" i="3"/>
  <c r="O323" i="3"/>
  <c r="O324" i="3"/>
  <c r="E323" i="3"/>
  <c r="E324" i="3"/>
  <c r="E321" i="3"/>
  <c r="E322" i="3"/>
  <c r="E799" i="2"/>
  <c r="E800" i="2"/>
  <c r="R144" i="1"/>
  <c r="P144" i="1" s="1"/>
  <c r="Q144" i="1"/>
  <c r="G144" i="1"/>
  <c r="E144" i="1"/>
  <c r="O793" i="2" l="1"/>
  <c r="O794" i="2"/>
  <c r="O795" i="2"/>
  <c r="O796" i="2"/>
  <c r="O797" i="2"/>
  <c r="O798" i="2"/>
  <c r="M796" i="2"/>
  <c r="M934" i="2" s="1"/>
  <c r="M946" i="2" s="1"/>
  <c r="M952" i="2" s="1"/>
  <c r="E796" i="2"/>
  <c r="E797" i="2"/>
  <c r="E798" i="2"/>
  <c r="E795" i="2"/>
  <c r="E793" i="2"/>
  <c r="E794" i="2"/>
  <c r="O315" i="3"/>
  <c r="O316" i="3"/>
  <c r="O317" i="3"/>
  <c r="O318" i="3"/>
  <c r="O319" i="3"/>
  <c r="O320" i="3"/>
  <c r="E320" i="3"/>
  <c r="E319" i="3"/>
  <c r="H319" i="3" s="1"/>
  <c r="H323" i="3" s="1"/>
  <c r="H324" i="3" s="1"/>
  <c r="H331" i="3" s="1"/>
  <c r="H335" i="3" s="1"/>
  <c r="H339" i="3" s="1"/>
  <c r="H346" i="3" s="1"/>
  <c r="H347" i="3" s="1"/>
  <c r="H355" i="3" s="1"/>
  <c r="H356" i="3" s="1"/>
  <c r="H359" i="3" s="1"/>
  <c r="E318" i="3"/>
  <c r="M317" i="3"/>
  <c r="M421" i="3" s="1"/>
  <c r="M422" i="3" s="1"/>
  <c r="M426" i="3" s="1"/>
  <c r="M431" i="3" s="1"/>
  <c r="E317" i="3"/>
  <c r="H317" i="3" s="1"/>
  <c r="H325" i="3" s="1"/>
  <c r="H326" i="3" s="1"/>
  <c r="H332" i="3" s="1"/>
  <c r="H333" i="3" s="1"/>
  <c r="H334" i="3" s="1"/>
  <c r="H340" i="3" s="1"/>
  <c r="H341" i="3" s="1"/>
  <c r="H342" i="3" s="1"/>
  <c r="H343" i="3" s="1"/>
  <c r="H352" i="3" s="1"/>
  <c r="H353" i="3" s="1"/>
  <c r="H354" i="3" s="1"/>
  <c r="H361" i="3" s="1"/>
  <c r="H362" i="3" s="1"/>
  <c r="H363" i="3" s="1"/>
  <c r="H369" i="3" s="1"/>
  <c r="H370" i="3" s="1"/>
  <c r="H371" i="3" s="1"/>
  <c r="H377" i="3" s="1"/>
  <c r="H378" i="3" s="1"/>
  <c r="H397" i="3" s="1"/>
  <c r="H404" i="3" s="1"/>
  <c r="H405" i="3" s="1"/>
  <c r="H416" i="3" s="1"/>
  <c r="H417" i="3" s="1"/>
  <c r="H422" i="3" s="1"/>
  <c r="H429" i="3" s="1"/>
  <c r="H434" i="3" s="1"/>
  <c r="H439" i="3" s="1"/>
  <c r="M316" i="3" l="1"/>
  <c r="M417" i="3" s="1"/>
  <c r="M418" i="3" s="1"/>
  <c r="M420" i="3" s="1"/>
  <c r="M315" i="3"/>
  <c r="M410" i="3" s="1"/>
  <c r="M415" i="3" s="1"/>
  <c r="M416" i="3" s="1"/>
  <c r="M419" i="3" s="1"/>
  <c r="E315" i="3"/>
  <c r="E316" i="3"/>
  <c r="R142" i="1" l="1"/>
  <c r="P142" i="1" s="1"/>
  <c r="R143" i="1"/>
  <c r="P143" i="1" s="1"/>
  <c r="Q142" i="1"/>
  <c r="Q143" i="1"/>
  <c r="E142" i="1"/>
  <c r="E143" i="1"/>
  <c r="G142" i="1"/>
  <c r="G143" i="1"/>
  <c r="O791" i="2"/>
  <c r="O792" i="2"/>
  <c r="E791" i="2"/>
  <c r="E792" i="2"/>
  <c r="O314" i="3" l="1"/>
  <c r="O313" i="3"/>
  <c r="O312" i="3"/>
  <c r="E314" i="3"/>
  <c r="E313" i="3"/>
  <c r="E312" i="3"/>
  <c r="H312" i="3" s="1"/>
  <c r="H321" i="3" s="1"/>
  <c r="H322" i="3" s="1"/>
  <c r="H329" i="3" s="1"/>
  <c r="H330" i="3" s="1"/>
  <c r="H338" i="3" s="1"/>
  <c r="H345" i="3" s="1"/>
  <c r="H358" i="3" s="1"/>
  <c r="H365" i="3" s="1"/>
  <c r="H366" i="3" s="1"/>
  <c r="H374" i="3" s="1"/>
  <c r="H375" i="3" s="1"/>
  <c r="H382" i="3" s="1"/>
  <c r="O790" i="2"/>
  <c r="E790" i="2"/>
  <c r="O784" i="2" l="1"/>
  <c r="O785" i="2"/>
  <c r="O786" i="2"/>
  <c r="O787" i="2"/>
  <c r="O788" i="2"/>
  <c r="O789" i="2"/>
  <c r="E789" i="2"/>
  <c r="O310" i="3" l="1"/>
  <c r="O311" i="3"/>
  <c r="E310" i="3"/>
  <c r="E311" i="3"/>
  <c r="O309" i="3"/>
  <c r="O308" i="3"/>
  <c r="M308" i="3"/>
  <c r="M402" i="3" s="1"/>
  <c r="M405" i="3" s="1"/>
  <c r="M406" i="3" s="1"/>
  <c r="M408" i="3" s="1"/>
  <c r="E308" i="3"/>
  <c r="E309" i="3"/>
  <c r="M788" i="2"/>
  <c r="M933" i="2" s="1"/>
  <c r="M938" i="2" s="1"/>
  <c r="M941" i="2" s="1"/>
  <c r="M943" i="2" s="1"/>
  <c r="M787" i="2"/>
  <c r="M931" i="2" s="1"/>
  <c r="M932" i="2" s="1"/>
  <c r="M939" i="2" s="1"/>
  <c r="M940" i="2" s="1"/>
  <c r="M786" i="2"/>
  <c r="M921" i="2" s="1"/>
  <c r="M924" i="2" s="1"/>
  <c r="M925" i="2" s="1"/>
  <c r="M926" i="2" s="1"/>
  <c r="M927" i="2" s="1"/>
  <c r="M929" i="2" s="1"/>
  <c r="M930" i="2" s="1"/>
  <c r="E788" i="2"/>
  <c r="E787" i="2"/>
  <c r="E786" i="2"/>
  <c r="M785" i="2"/>
  <c r="M920" i="2" s="1"/>
  <c r="M923" i="2" s="1"/>
  <c r="M928" i="2" s="1"/>
  <c r="M784" i="2"/>
  <c r="M910" i="2" s="1"/>
  <c r="M917" i="2" s="1"/>
  <c r="M919" i="2" s="1"/>
  <c r="M922" i="2" s="1"/>
  <c r="O783" i="2"/>
  <c r="M783" i="2"/>
  <c r="M907" i="2" s="1"/>
  <c r="M909" i="2" s="1"/>
  <c r="M918" i="2" s="1"/>
  <c r="E783" i="2"/>
  <c r="E784" i="2"/>
  <c r="E785" i="2"/>
  <c r="O782" i="2" l="1"/>
  <c r="E782" i="2"/>
  <c r="O781" i="2" l="1"/>
  <c r="O306" i="3"/>
  <c r="O307" i="3"/>
  <c r="E307" i="3"/>
  <c r="E306" i="3"/>
  <c r="E781" i="2"/>
  <c r="R141" i="1"/>
  <c r="P141" i="1" s="1"/>
  <c r="Q141" i="1"/>
  <c r="G141" i="1"/>
  <c r="E141" i="1"/>
  <c r="O772" i="2" l="1"/>
  <c r="O773" i="2"/>
  <c r="O774" i="2"/>
  <c r="O775" i="2"/>
  <c r="O776" i="2"/>
  <c r="O777" i="2"/>
  <c r="O778" i="2"/>
  <c r="O779" i="2"/>
  <c r="O780" i="2"/>
  <c r="E780" i="2"/>
  <c r="E779" i="2"/>
  <c r="E778" i="2" l="1"/>
  <c r="M777" i="2" l="1"/>
  <c r="M903" i="2" s="1"/>
  <c r="M904" i="2" s="1"/>
  <c r="M905" i="2" s="1"/>
  <c r="M906" i="2" s="1"/>
  <c r="M908" i="2" s="1"/>
  <c r="M776" i="2"/>
  <c r="M898" i="2" s="1"/>
  <c r="M900" i="2" s="1"/>
  <c r="M901" i="2" s="1"/>
  <c r="M902" i="2" s="1"/>
  <c r="M775" i="2"/>
  <c r="M897" i="2" s="1"/>
  <c r="M899" i="2" s="1"/>
  <c r="E777" i="2"/>
  <c r="E776" i="2"/>
  <c r="E775" i="2"/>
  <c r="M774" i="2"/>
  <c r="M894" i="2" s="1"/>
  <c r="M895" i="2" s="1"/>
  <c r="M896" i="2" s="1"/>
  <c r="M773" i="2"/>
  <c r="M887" i="2" s="1"/>
  <c r="M890" i="2" s="1"/>
  <c r="M891" i="2" s="1"/>
  <c r="M892" i="2" s="1"/>
  <c r="M893" i="2" s="1"/>
  <c r="M772" i="2"/>
  <c r="M883" i="2" s="1"/>
  <c r="M885" i="2" s="1"/>
  <c r="M886" i="2" s="1"/>
  <c r="M888" i="2" s="1"/>
  <c r="M889" i="2" s="1"/>
  <c r="E772" i="2"/>
  <c r="E773" i="2"/>
  <c r="E774" i="2"/>
  <c r="O303" i="3"/>
  <c r="O304" i="3"/>
  <c r="O305" i="3"/>
  <c r="E305" i="3"/>
  <c r="E304" i="3" l="1"/>
  <c r="E303" i="3"/>
  <c r="O302" i="3"/>
  <c r="M302" i="3"/>
  <c r="M396" i="3" s="1"/>
  <c r="M400" i="3" s="1"/>
  <c r="M401" i="3" s="1"/>
  <c r="M404" i="3" s="1"/>
  <c r="E302" i="3"/>
  <c r="H302" i="3" s="1"/>
  <c r="H308" i="3" s="1"/>
  <c r="H309" i="3" s="1"/>
  <c r="H315" i="3" s="1"/>
  <c r="H316" i="3" s="1"/>
  <c r="L740" i="2" l="1"/>
  <c r="L737" i="2"/>
  <c r="L716" i="2"/>
  <c r="O301" i="3" l="1"/>
  <c r="M301" i="3"/>
  <c r="M389" i="3" s="1"/>
  <c r="M390" i="3" s="1"/>
  <c r="M395" i="3" s="1"/>
  <c r="M397" i="3" s="1"/>
  <c r="O300" i="3"/>
  <c r="M300" i="3"/>
  <c r="M381" i="3" s="1"/>
  <c r="M382" i="3" s="1"/>
  <c r="M383" i="3" s="1"/>
  <c r="M384" i="3" s="1"/>
  <c r="M388" i="3" s="1"/>
  <c r="E301" i="3"/>
  <c r="E300" i="3"/>
  <c r="O770" i="2" l="1"/>
  <c r="O771" i="2"/>
  <c r="E770" i="2"/>
  <c r="E771" i="2"/>
  <c r="R137" i="1"/>
  <c r="P137" i="1" s="1"/>
  <c r="R138" i="1"/>
  <c r="P138" i="1" s="1"/>
  <c r="R139" i="1"/>
  <c r="P139" i="1" s="1"/>
  <c r="R140" i="1"/>
  <c r="P140" i="1" s="1"/>
  <c r="Q137" i="1"/>
  <c r="Q138" i="1"/>
  <c r="Q139" i="1"/>
  <c r="Q140" i="1"/>
  <c r="N140" i="1"/>
  <c r="N165" i="1" s="1"/>
  <c r="N167" i="1" s="1"/>
  <c r="N168" i="1" s="1"/>
  <c r="N169" i="1" s="1"/>
  <c r="E137" i="1"/>
  <c r="E138" i="1"/>
  <c r="E139" i="1"/>
  <c r="I139" i="1" s="1"/>
  <c r="E140" i="1"/>
  <c r="G137" i="1"/>
  <c r="G138" i="1"/>
  <c r="G139" i="1"/>
  <c r="G140" i="1"/>
  <c r="I140" i="1" l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O296" i="3"/>
  <c r="O297" i="3"/>
  <c r="O298" i="3"/>
  <c r="O299" i="3"/>
  <c r="E299" i="3"/>
  <c r="E296" i="3"/>
  <c r="E297" i="3"/>
  <c r="H297" i="3" s="1"/>
  <c r="E298" i="3"/>
  <c r="O767" i="2"/>
  <c r="O768" i="2"/>
  <c r="O769" i="2"/>
  <c r="E768" i="2"/>
  <c r="E769" i="2"/>
  <c r="E767" i="2"/>
  <c r="H298" i="3" l="1"/>
  <c r="H306" i="3" s="1"/>
  <c r="O759" i="2"/>
  <c r="O760" i="2"/>
  <c r="O761" i="2"/>
  <c r="O762" i="2"/>
  <c r="O763" i="2"/>
  <c r="O764" i="2"/>
  <c r="O765" i="2"/>
  <c r="O766" i="2"/>
  <c r="E765" i="2"/>
  <c r="E766" i="2"/>
  <c r="E764" i="2"/>
  <c r="E763" i="2"/>
  <c r="E761" i="2"/>
  <c r="E762" i="2"/>
  <c r="E759" i="2"/>
  <c r="E760" i="2"/>
  <c r="O292" i="3"/>
  <c r="O293" i="3"/>
  <c r="O294" i="3"/>
  <c r="O295" i="3"/>
  <c r="E295" i="3"/>
  <c r="E293" i="3"/>
  <c r="E294" i="3"/>
  <c r="E292" i="3"/>
  <c r="O291" i="3" l="1"/>
  <c r="E291" i="3"/>
  <c r="R136" i="1"/>
  <c r="P136" i="1" s="1"/>
  <c r="Q136" i="1"/>
  <c r="G136" i="1"/>
  <c r="E136" i="1"/>
  <c r="O284" i="3" l="1"/>
  <c r="O285" i="3"/>
  <c r="O286" i="3"/>
  <c r="O287" i="3"/>
  <c r="O288" i="3"/>
  <c r="O289" i="3"/>
  <c r="O290" i="3"/>
  <c r="E284" i="3"/>
  <c r="E285" i="3"/>
  <c r="L235" i="3" l="1"/>
  <c r="M235" i="3" s="1"/>
  <c r="M324" i="3" s="1"/>
  <c r="M325" i="3" s="1"/>
  <c r="M329" i="3" s="1"/>
  <c r="O750" i="2" l="1"/>
  <c r="O751" i="2"/>
  <c r="O752" i="2"/>
  <c r="O753" i="2"/>
  <c r="O754" i="2"/>
  <c r="O755" i="2"/>
  <c r="O756" i="2"/>
  <c r="O757" i="2"/>
  <c r="O758" i="2"/>
  <c r="E756" i="2"/>
  <c r="H756" i="2" s="1"/>
  <c r="H763" i="2" s="1"/>
  <c r="H778" i="2" s="1"/>
  <c r="H797" i="2" s="1"/>
  <c r="H813" i="2" s="1"/>
  <c r="H831" i="2" s="1"/>
  <c r="H845" i="2" s="1"/>
  <c r="H856" i="2" s="1"/>
  <c r="H870" i="2" s="1"/>
  <c r="H880" i="2" s="1"/>
  <c r="H899" i="2" s="1"/>
  <c r="H908" i="2" s="1"/>
  <c r="H926" i="2" s="1"/>
  <c r="E755" i="2"/>
  <c r="E757" i="2"/>
  <c r="E758" i="2"/>
  <c r="E753" i="2"/>
  <c r="E754" i="2"/>
  <c r="E752" i="2"/>
  <c r="E751" i="2"/>
  <c r="E750" i="2"/>
  <c r="E290" i="3"/>
  <c r="E288" i="3"/>
  <c r="E289" i="3"/>
  <c r="E286" i="3"/>
  <c r="E287" i="3"/>
  <c r="O747" i="2"/>
  <c r="O748" i="2"/>
  <c r="O749" i="2"/>
  <c r="E749" i="2"/>
  <c r="R134" i="1" l="1"/>
  <c r="P134" i="1" s="1"/>
  <c r="R135" i="1"/>
  <c r="P135" i="1" s="1"/>
  <c r="Q134" i="1"/>
  <c r="Q135" i="1"/>
  <c r="G135" i="1" l="1"/>
  <c r="E135" i="1"/>
  <c r="E747" i="2"/>
  <c r="E748" i="2"/>
  <c r="G134" i="1" l="1"/>
  <c r="E134" i="1"/>
  <c r="O282" i="3"/>
  <c r="O283" i="3"/>
  <c r="E283" i="3"/>
  <c r="E282" i="3"/>
  <c r="O744" i="2"/>
  <c r="O745" i="2"/>
  <c r="O746" i="2"/>
  <c r="E745" i="2"/>
  <c r="E746" i="2"/>
  <c r="E744" i="2"/>
  <c r="O277" i="3" l="1"/>
  <c r="O278" i="3"/>
  <c r="O279" i="3"/>
  <c r="O280" i="3"/>
  <c r="O281" i="3"/>
  <c r="E281" i="3"/>
  <c r="E280" i="3"/>
  <c r="M279" i="3"/>
  <c r="M375" i="3" s="1"/>
  <c r="M376" i="3" s="1"/>
  <c r="M380" i="3" s="1"/>
  <c r="M278" i="3"/>
  <c r="M368" i="3" s="1"/>
  <c r="M372" i="3" s="1"/>
  <c r="M373" i="3" s="1"/>
  <c r="M374" i="3" s="1"/>
  <c r="M277" i="3"/>
  <c r="M360" i="3" s="1"/>
  <c r="M366" i="3" s="1"/>
  <c r="M367" i="3" s="1"/>
  <c r="E277" i="3"/>
  <c r="E278" i="3"/>
  <c r="E279" i="3"/>
  <c r="O734" i="2" l="1"/>
  <c r="O735" i="2"/>
  <c r="O736" i="2"/>
  <c r="O737" i="2"/>
  <c r="O738" i="2"/>
  <c r="O739" i="2"/>
  <c r="O740" i="2"/>
  <c r="O741" i="2"/>
  <c r="O742" i="2"/>
  <c r="O743" i="2"/>
  <c r="E743" i="2"/>
  <c r="E742" i="2"/>
  <c r="E741" i="2"/>
  <c r="M740" i="2"/>
  <c r="M873" i="2" s="1"/>
  <c r="M880" i="2" s="1"/>
  <c r="M882" i="2" s="1"/>
  <c r="M884" i="2" s="1"/>
  <c r="M739" i="2"/>
  <c r="M869" i="2" s="1"/>
  <c r="M870" i="2" s="1"/>
  <c r="M872" i="2" s="1"/>
  <c r="M881" i="2" s="1"/>
  <c r="M738" i="2"/>
  <c r="M857" i="2" s="1"/>
  <c r="M860" i="2" s="1"/>
  <c r="M861" i="2" s="1"/>
  <c r="M868" i="2" s="1"/>
  <c r="M871" i="2" s="1"/>
  <c r="M737" i="2"/>
  <c r="M854" i="2" s="1"/>
  <c r="M855" i="2" s="1"/>
  <c r="M856" i="2" s="1"/>
  <c r="M858" i="2" s="1"/>
  <c r="M859" i="2" s="1"/>
  <c r="E737" i="2"/>
  <c r="E738" i="2"/>
  <c r="E739" i="2"/>
  <c r="E740" i="2"/>
  <c r="M736" i="2"/>
  <c r="M849" i="2" s="1"/>
  <c r="M850" i="2" s="1"/>
  <c r="M852" i="2" s="1"/>
  <c r="M853" i="2" s="1"/>
  <c r="M735" i="2"/>
  <c r="M846" i="2" s="1"/>
  <c r="M848" i="2" s="1"/>
  <c r="M851" i="2" s="1"/>
  <c r="E734" i="2"/>
  <c r="E735" i="2"/>
  <c r="E736" i="2"/>
  <c r="R132" i="1" l="1"/>
  <c r="P132" i="1" s="1"/>
  <c r="R133" i="1"/>
  <c r="P133" i="1" s="1"/>
  <c r="Q132" i="1"/>
  <c r="Q133" i="1"/>
  <c r="N133" i="1"/>
  <c r="N162" i="1" s="1"/>
  <c r="N163" i="1" s="1"/>
  <c r="N164" i="1" s="1"/>
  <c r="E133" i="1"/>
  <c r="G133" i="1"/>
  <c r="G132" i="1"/>
  <c r="E132" i="1"/>
  <c r="O274" i="3"/>
  <c r="O275" i="3"/>
  <c r="O276" i="3"/>
  <c r="E275" i="3"/>
  <c r="E276" i="3"/>
  <c r="E274" i="3"/>
  <c r="O731" i="2"/>
  <c r="O732" i="2"/>
  <c r="O733" i="2"/>
  <c r="E733" i="2"/>
  <c r="E731" i="2"/>
  <c r="E732" i="2"/>
  <c r="O269" i="3" l="1"/>
  <c r="O270" i="3"/>
  <c r="O271" i="3"/>
  <c r="O272" i="3"/>
  <c r="O273" i="3"/>
  <c r="O724" i="2"/>
  <c r="O725" i="2"/>
  <c r="O726" i="2"/>
  <c r="O727" i="2"/>
  <c r="O728" i="2"/>
  <c r="O729" i="2"/>
  <c r="O730" i="2"/>
  <c r="E730" i="2"/>
  <c r="E729" i="2"/>
  <c r="E728" i="2"/>
  <c r="E727" i="2"/>
  <c r="H727" i="2" s="1"/>
  <c r="H737" i="2" s="1"/>
  <c r="H738" i="2" s="1"/>
  <c r="H739" i="2" s="1"/>
  <c r="H740" i="2" s="1"/>
  <c r="H753" i="2" s="1"/>
  <c r="H754" i="2" s="1"/>
  <c r="H761" i="2" s="1"/>
  <c r="H762" i="2" s="1"/>
  <c r="H775" i="2" s="1"/>
  <c r="H776" i="2" s="1"/>
  <c r="H777" i="2" s="1"/>
  <c r="H786" i="2" s="1"/>
  <c r="H787" i="2" s="1"/>
  <c r="E726" i="2"/>
  <c r="E725" i="2"/>
  <c r="E724" i="2"/>
  <c r="H788" i="2" l="1"/>
  <c r="H795" i="2" s="1"/>
  <c r="H796" i="2" s="1"/>
  <c r="H803" i="2" s="1"/>
  <c r="H804" i="2" s="1"/>
  <c r="H811" i="2" s="1"/>
  <c r="H812" i="2" s="1"/>
  <c r="H822" i="2" s="1"/>
  <c r="H823" i="2" s="1"/>
  <c r="H824" i="2" s="1"/>
  <c r="H834" i="2" s="1"/>
  <c r="H835" i="2" s="1"/>
  <c r="H842" i="2" s="1"/>
  <c r="H843" i="2" s="1"/>
  <c r="H844" i="2" s="1"/>
  <c r="H855" i="2" s="1"/>
  <c r="H865" i="2" s="1"/>
  <c r="H866" i="2" s="1"/>
  <c r="H867" i="2" s="1"/>
  <c r="H877" i="2" s="1"/>
  <c r="H878" i="2" s="1"/>
  <c r="E273" i="3"/>
  <c r="E272" i="3"/>
  <c r="E269" i="3"/>
  <c r="E270" i="3"/>
  <c r="H270" i="3" s="1"/>
  <c r="E271" i="3"/>
  <c r="R131" i="1"/>
  <c r="P131" i="1" s="1"/>
  <c r="Q131" i="1"/>
  <c r="E131" i="1"/>
  <c r="G131" i="1"/>
  <c r="H271" i="3" l="1"/>
  <c r="H277" i="3" s="1"/>
  <c r="H278" i="3" s="1"/>
  <c r="H279" i="3" s="1"/>
  <c r="H286" i="3" s="1"/>
  <c r="H287" i="3" s="1"/>
  <c r="H293" i="3" s="1"/>
  <c r="H294" i="3" s="1"/>
  <c r="H300" i="3" s="1"/>
  <c r="H301" i="3" s="1"/>
  <c r="O722" i="2"/>
  <c r="O723" i="2"/>
  <c r="E723" i="2"/>
  <c r="E722" i="2"/>
  <c r="O719" i="2" l="1"/>
  <c r="O720" i="2"/>
  <c r="O721" i="2"/>
  <c r="O266" i="3" l="1"/>
  <c r="O267" i="3"/>
  <c r="O268" i="3"/>
  <c r="E268" i="3"/>
  <c r="E267" i="3"/>
  <c r="E266" i="3"/>
  <c r="R128" i="1"/>
  <c r="P128" i="1" s="1"/>
  <c r="R129" i="1"/>
  <c r="P129" i="1" s="1"/>
  <c r="R130" i="1"/>
  <c r="P130" i="1" s="1"/>
  <c r="Q128" i="1"/>
  <c r="Q129" i="1"/>
  <c r="Q130" i="1"/>
  <c r="N130" i="1"/>
  <c r="N158" i="1" s="1"/>
  <c r="N159" i="1" s="1"/>
  <c r="N161" i="1" s="1"/>
  <c r="G128" i="1"/>
  <c r="G129" i="1"/>
  <c r="G130" i="1"/>
  <c r="E128" i="1"/>
  <c r="E129" i="1"/>
  <c r="E130" i="1"/>
  <c r="E721" i="2"/>
  <c r="E720" i="2"/>
  <c r="E719" i="2"/>
  <c r="H719" i="2" s="1"/>
  <c r="H720" i="2" l="1"/>
  <c r="H733" i="2" s="1"/>
  <c r="H745" i="2" s="1"/>
  <c r="H746" i="2" s="1"/>
  <c r="H750" i="2" s="1"/>
  <c r="H751" i="2" s="1"/>
  <c r="H768" i="2" s="1"/>
  <c r="H769" i="2" s="1"/>
  <c r="H782" i="2" s="1"/>
  <c r="H799" i="2" s="1"/>
  <c r="H800" i="2" s="1"/>
  <c r="H806" i="2" s="1"/>
  <c r="H818" i="2" s="1"/>
  <c r="H826" i="2" s="1"/>
  <c r="H827" i="2" s="1"/>
  <c r="H837" i="2" s="1"/>
  <c r="H838" i="2" s="1"/>
  <c r="H849" i="2" s="1"/>
  <c r="O712" i="2"/>
  <c r="O713" i="2"/>
  <c r="O714" i="2"/>
  <c r="O715" i="2"/>
  <c r="O716" i="2"/>
  <c r="O717" i="2"/>
  <c r="O718" i="2"/>
  <c r="E718" i="2" l="1"/>
  <c r="O262" i="3"/>
  <c r="O263" i="3"/>
  <c r="O264" i="3"/>
  <c r="O265" i="3"/>
  <c r="E265" i="3"/>
  <c r="E262" i="3"/>
  <c r="E263" i="3"/>
  <c r="E264" i="3"/>
  <c r="M264" i="3"/>
  <c r="M356" i="3" s="1"/>
  <c r="M359" i="3" s="1"/>
  <c r="M364" i="3" s="1"/>
  <c r="M365" i="3" s="1"/>
  <c r="M263" i="3"/>
  <c r="M347" i="3" s="1"/>
  <c r="M355" i="3" s="1"/>
  <c r="M357" i="3" s="1"/>
  <c r="M358" i="3" s="1"/>
  <c r="M262" i="3"/>
  <c r="M339" i="3" s="1"/>
  <c r="M345" i="3" s="1"/>
  <c r="M346" i="3" s="1"/>
  <c r="M717" i="2"/>
  <c r="M830" i="2" s="1"/>
  <c r="M838" i="2" s="1"/>
  <c r="M839" i="2" s="1"/>
  <c r="M845" i="2" s="1"/>
  <c r="M847" i="2" s="1"/>
  <c r="M716" i="2"/>
  <c r="M829" i="2" s="1"/>
  <c r="M836" i="2" s="1"/>
  <c r="M837" i="2" s="1"/>
  <c r="M715" i="2"/>
  <c r="M827" i="2" s="1"/>
  <c r="M828" i="2" s="1"/>
  <c r="M831" i="2" s="1"/>
  <c r="E717" i="2"/>
  <c r="E716" i="2"/>
  <c r="E715" i="2"/>
  <c r="E712" i="2"/>
  <c r="E713" i="2"/>
  <c r="E714" i="2"/>
  <c r="M714" i="2"/>
  <c r="M816" i="2" s="1"/>
  <c r="M817" i="2" s="1"/>
  <c r="M818" i="2" s="1"/>
  <c r="M825" i="2" s="1"/>
  <c r="M826" i="2" s="1"/>
  <c r="M713" i="2"/>
  <c r="M810" i="2" s="1"/>
  <c r="M811" i="2" s="1"/>
  <c r="M814" i="2" s="1"/>
  <c r="M815" i="2" s="1"/>
  <c r="O258" i="3" l="1"/>
  <c r="O259" i="3"/>
  <c r="O260" i="3"/>
  <c r="O261" i="3"/>
  <c r="E258" i="3"/>
  <c r="E259" i="3"/>
  <c r="E260" i="3"/>
  <c r="E261" i="3"/>
  <c r="R127" i="1"/>
  <c r="P127" i="1" s="1"/>
  <c r="Q127" i="1"/>
  <c r="E127" i="1"/>
  <c r="G127" i="1"/>
  <c r="O709" i="2"/>
  <c r="O710" i="2"/>
  <c r="O711" i="2"/>
  <c r="E711" i="2"/>
  <c r="E709" i="2"/>
  <c r="E710" i="2"/>
  <c r="O700" i="2" l="1"/>
  <c r="O701" i="2"/>
  <c r="O702" i="2"/>
  <c r="E700" i="2"/>
  <c r="H700" i="2" s="1"/>
  <c r="O253" i="3"/>
  <c r="O254" i="3"/>
  <c r="O255" i="3"/>
  <c r="O256" i="3"/>
  <c r="O257" i="3"/>
  <c r="E257" i="3"/>
  <c r="E256" i="3"/>
  <c r="M255" i="3"/>
  <c r="M337" i="3" s="1"/>
  <c r="M338" i="3" s="1"/>
  <c r="M344" i="3" s="1"/>
  <c r="M254" i="3"/>
  <c r="M330" i="3" s="1"/>
  <c r="M331" i="3" s="1"/>
  <c r="M332" i="3" s="1"/>
  <c r="M335" i="3" s="1"/>
  <c r="M336" i="3" s="1"/>
  <c r="E253" i="3"/>
  <c r="E254" i="3"/>
  <c r="E255" i="3"/>
  <c r="O703" i="2"/>
  <c r="O704" i="2"/>
  <c r="O705" i="2"/>
  <c r="O706" i="2"/>
  <c r="O707" i="2"/>
  <c r="O708" i="2"/>
  <c r="E708" i="2"/>
  <c r="E707" i="2"/>
  <c r="E706" i="2"/>
  <c r="E703" i="2"/>
  <c r="E704" i="2"/>
  <c r="E705" i="2"/>
  <c r="M705" i="2"/>
  <c r="M808" i="2" s="1"/>
  <c r="M809" i="2" s="1"/>
  <c r="M813" i="2" s="1"/>
  <c r="M704" i="2"/>
  <c r="M804" i="2" s="1"/>
  <c r="M805" i="2" s="1"/>
  <c r="M806" i="2" s="1"/>
  <c r="M807" i="2" s="1"/>
  <c r="M703" i="2"/>
  <c r="M800" i="2" s="1"/>
  <c r="M801" i="2" s="1"/>
  <c r="M802" i="2" s="1"/>
  <c r="M803" i="2" s="1"/>
  <c r="M702" i="2"/>
  <c r="M794" i="2" s="1"/>
  <c r="M795" i="2" s="1"/>
  <c r="M798" i="2" s="1"/>
  <c r="M799" i="2" s="1"/>
  <c r="M701" i="2"/>
  <c r="M792" i="2" s="1"/>
  <c r="M793" i="2" s="1"/>
  <c r="M797" i="2" s="1"/>
  <c r="E701" i="2"/>
  <c r="E702" i="2"/>
  <c r="R126" i="1"/>
  <c r="P126" i="1" s="1"/>
  <c r="Q126" i="1"/>
  <c r="E126" i="1"/>
  <c r="G126" i="1"/>
  <c r="H701" i="2" l="1"/>
  <c r="H702" i="2" s="1"/>
  <c r="H712" i="2" s="1"/>
  <c r="H713" i="2" s="1"/>
  <c r="H714" i="2" s="1"/>
  <c r="H724" i="2" s="1"/>
  <c r="H725" i="2" s="1"/>
  <c r="H734" i="2" s="1"/>
  <c r="H735" i="2" s="1"/>
  <c r="H736" i="2" s="1"/>
  <c r="H752" i="2" s="1"/>
  <c r="H759" i="2" s="1"/>
  <c r="H760" i="2" s="1"/>
  <c r="H772" i="2" s="1"/>
  <c r="H773" i="2" s="1"/>
  <c r="H774" i="2" s="1"/>
  <c r="H783" i="2" s="1"/>
  <c r="H784" i="2" s="1"/>
  <c r="H785" i="2" s="1"/>
  <c r="H793" i="2" s="1"/>
  <c r="H794" i="2" s="1"/>
  <c r="H802" i="2" s="1"/>
  <c r="H809" i="2" s="1"/>
  <c r="H810" i="2" s="1"/>
  <c r="H819" i="2" s="1"/>
  <c r="H820" i="2" s="1"/>
  <c r="H821" i="2" s="1"/>
  <c r="H832" i="2" s="1"/>
  <c r="H833" i="2" s="1"/>
  <c r="H839" i="2" s="1"/>
  <c r="H840" i="2" s="1"/>
  <c r="H841" i="2" s="1"/>
  <c r="H853" i="2" s="1"/>
  <c r="H854" i="2" s="1"/>
  <c r="O250" i="3"/>
  <c r="O251" i="3"/>
  <c r="O252" i="3"/>
  <c r="E251" i="3"/>
  <c r="E252" i="3"/>
  <c r="E250" i="3"/>
  <c r="O698" i="2"/>
  <c r="O699" i="2"/>
  <c r="E699" i="2"/>
  <c r="E698" i="2"/>
  <c r="R123" i="1" l="1"/>
  <c r="P123" i="1" s="1"/>
  <c r="R124" i="1"/>
  <c r="P124" i="1" s="1"/>
  <c r="R125" i="1"/>
  <c r="P125" i="1" s="1"/>
  <c r="Q123" i="1"/>
  <c r="Q124" i="1"/>
  <c r="Q125" i="1"/>
  <c r="N125" i="1"/>
  <c r="N153" i="1" s="1"/>
  <c r="N156" i="1" s="1"/>
  <c r="N157" i="1" s="1"/>
  <c r="G123" i="1"/>
  <c r="G124" i="1"/>
  <c r="G125" i="1"/>
  <c r="E123" i="1"/>
  <c r="E124" i="1"/>
  <c r="E125" i="1"/>
  <c r="O690" i="2" l="1"/>
  <c r="O691" i="2"/>
  <c r="O692" i="2"/>
  <c r="O693" i="2"/>
  <c r="O694" i="2"/>
  <c r="O695" i="2"/>
  <c r="O696" i="2"/>
  <c r="O697" i="2"/>
  <c r="E693" i="2"/>
  <c r="E694" i="2"/>
  <c r="H694" i="2" s="1"/>
  <c r="H722" i="2" s="1"/>
  <c r="H723" i="2" s="1"/>
  <c r="H747" i="2" s="1"/>
  <c r="H748" i="2" s="1"/>
  <c r="H749" i="2" s="1"/>
  <c r="H770" i="2" s="1"/>
  <c r="H771" i="2" s="1"/>
  <c r="H791" i="2" s="1"/>
  <c r="H792" i="2" s="1"/>
  <c r="H807" i="2" s="1"/>
  <c r="H808" i="2" s="1"/>
  <c r="E692" i="2"/>
  <c r="O245" i="3" l="1"/>
  <c r="O246" i="3"/>
  <c r="O247" i="3"/>
  <c r="O248" i="3"/>
  <c r="O249" i="3"/>
  <c r="E249" i="3"/>
  <c r="H249" i="3" s="1"/>
  <c r="H257" i="3" s="1"/>
  <c r="H265" i="3" s="1"/>
  <c r="H273" i="3" s="1"/>
  <c r="H280" i="3" s="1"/>
  <c r="H281" i="3" s="1"/>
  <c r="H290" i="3" s="1"/>
  <c r="H295" i="3" s="1"/>
  <c r="H305" i="3" s="1"/>
  <c r="H310" i="3" s="1"/>
  <c r="H311" i="3" s="1"/>
  <c r="H320" i="3" s="1"/>
  <c r="H327" i="3" s="1"/>
  <c r="H328" i="3" s="1"/>
  <c r="H336" i="3" s="1"/>
  <c r="H337" i="3" s="1"/>
  <c r="H344" i="3" s="1"/>
  <c r="H357" i="3" s="1"/>
  <c r="E247" i="3"/>
  <c r="E248" i="3"/>
  <c r="E245" i="3"/>
  <c r="E246" i="3"/>
  <c r="E697" i="2"/>
  <c r="E696" i="2"/>
  <c r="E691" i="2"/>
  <c r="E695" i="2"/>
  <c r="E690" i="2"/>
  <c r="O244" i="3" l="1"/>
  <c r="O243" i="3"/>
  <c r="E243" i="3"/>
  <c r="E244" i="3"/>
  <c r="O238" i="3" l="1"/>
  <c r="O239" i="3"/>
  <c r="O240" i="3"/>
  <c r="O241" i="3"/>
  <c r="O242" i="3"/>
  <c r="E241" i="3"/>
  <c r="E242" i="3"/>
  <c r="E240" i="3"/>
  <c r="H240" i="3" s="1"/>
  <c r="E239" i="3"/>
  <c r="E238" i="3"/>
  <c r="R119" i="1"/>
  <c r="P119" i="1" s="1"/>
  <c r="R120" i="1"/>
  <c r="P120" i="1" s="1"/>
  <c r="R121" i="1"/>
  <c r="P121" i="1" s="1"/>
  <c r="R122" i="1"/>
  <c r="P122" i="1" s="1"/>
  <c r="Q119" i="1"/>
  <c r="Q120" i="1"/>
  <c r="Q121" i="1"/>
  <c r="Q122" i="1"/>
  <c r="E122" i="1"/>
  <c r="G122" i="1"/>
  <c r="N121" i="1"/>
  <c r="N149" i="1" s="1"/>
  <c r="N151" i="1" s="1"/>
  <c r="N152" i="1" s="1"/>
  <c r="N120" i="1"/>
  <c r="N145" i="1" s="1"/>
  <c r="N146" i="1" s="1"/>
  <c r="N148" i="1" s="1"/>
  <c r="G119" i="1"/>
  <c r="G120" i="1"/>
  <c r="G121" i="1"/>
  <c r="E119" i="1"/>
  <c r="E120" i="1"/>
  <c r="E121" i="1"/>
  <c r="H241" i="3" l="1"/>
  <c r="H242" i="3" s="1"/>
  <c r="H251" i="3" s="1"/>
  <c r="H252" i="3" s="1"/>
  <c r="H256" i="3" s="1"/>
  <c r="H260" i="3" s="1"/>
  <c r="H261" i="3" s="1"/>
  <c r="H268" i="3" s="1"/>
  <c r="H272" i="3" s="1"/>
  <c r="H275" i="3" s="1"/>
  <c r="H276" i="3" s="1"/>
  <c r="H283" i="3" s="1"/>
  <c r="H288" i="3" s="1"/>
  <c r="H289" i="3" s="1"/>
  <c r="H291" i="3" s="1"/>
  <c r="H299" i="3" s="1"/>
  <c r="H303" i="3" s="1"/>
  <c r="H304" i="3" s="1"/>
  <c r="H307" i="3" s="1"/>
  <c r="H313" i="3" s="1"/>
  <c r="H314" i="3" s="1"/>
  <c r="H318" i="3" s="1"/>
  <c r="O682" i="2"/>
  <c r="O683" i="2"/>
  <c r="O684" i="2"/>
  <c r="O685" i="2"/>
  <c r="O686" i="2"/>
  <c r="O687" i="2"/>
  <c r="O688" i="2"/>
  <c r="O689" i="2"/>
  <c r="E689" i="2"/>
  <c r="O234" i="3" l="1"/>
  <c r="O235" i="3"/>
  <c r="O236" i="3"/>
  <c r="O237" i="3"/>
  <c r="E236" i="3"/>
  <c r="E237" i="3"/>
  <c r="E234" i="3"/>
  <c r="E235" i="3"/>
  <c r="E688" i="2"/>
  <c r="E687" i="2"/>
  <c r="E686" i="2"/>
  <c r="M685" i="2"/>
  <c r="M789" i="2" s="1"/>
  <c r="M790" i="2" s="1"/>
  <c r="M791" i="2" s="1"/>
  <c r="M684" i="2"/>
  <c r="M771" i="2" s="1"/>
  <c r="M779" i="2" s="1"/>
  <c r="M780" i="2" s="1"/>
  <c r="M781" i="2" s="1"/>
  <c r="M782" i="2" s="1"/>
  <c r="E683" i="2"/>
  <c r="E684" i="2"/>
  <c r="E685" i="2"/>
  <c r="E682" i="2"/>
  <c r="O681" i="2" l="1"/>
  <c r="E681" i="2"/>
  <c r="O680" i="2"/>
  <c r="E680" i="2"/>
  <c r="O679" i="2"/>
  <c r="E679" i="2"/>
  <c r="O678" i="2"/>
  <c r="E678" i="2"/>
  <c r="O677" i="2"/>
  <c r="E677" i="2"/>
  <c r="O232" i="3" l="1"/>
  <c r="E232" i="3"/>
  <c r="O233" i="3"/>
  <c r="E233" i="3"/>
  <c r="O231" i="3"/>
  <c r="E231" i="3"/>
  <c r="Q118" i="1"/>
  <c r="R118" i="1"/>
  <c r="P118" i="1" s="1"/>
  <c r="G118" i="1"/>
  <c r="E118" i="1"/>
  <c r="O225" i="3" l="1"/>
  <c r="E225" i="3"/>
  <c r="O226" i="3" l="1"/>
  <c r="O227" i="3"/>
  <c r="O228" i="3"/>
  <c r="O229" i="3"/>
  <c r="O230" i="3"/>
  <c r="O676" i="2" l="1"/>
  <c r="M676" i="2"/>
  <c r="M769" i="2" s="1"/>
  <c r="M770" i="2" s="1"/>
  <c r="M778" i="2" s="1"/>
  <c r="O675" i="2"/>
  <c r="L675" i="2"/>
  <c r="M675" i="2" s="1"/>
  <c r="M766" i="2" s="1"/>
  <c r="M767" i="2" s="1"/>
  <c r="M768" i="2" s="1"/>
  <c r="E676" i="2"/>
  <c r="E675" i="2"/>
  <c r="O674" i="2"/>
  <c r="L674" i="2"/>
  <c r="M674" i="2" s="1"/>
  <c r="M762" i="2" s="1"/>
  <c r="M764" i="2" s="1"/>
  <c r="M765" i="2" s="1"/>
  <c r="O673" i="2"/>
  <c r="L673" i="2"/>
  <c r="M673" i="2" s="1"/>
  <c r="M760" i="2" s="1"/>
  <c r="M761" i="2" s="1"/>
  <c r="M763" i="2" s="1"/>
  <c r="O672" i="2"/>
  <c r="L672" i="2"/>
  <c r="M672" i="2" s="1"/>
  <c r="M754" i="2" s="1"/>
  <c r="M759" i="2" s="1"/>
  <c r="E672" i="2"/>
  <c r="E673" i="2"/>
  <c r="E674" i="2"/>
  <c r="E230" i="3"/>
  <c r="E227" i="3"/>
  <c r="E228" i="3"/>
  <c r="E229" i="3"/>
  <c r="M229" i="3"/>
  <c r="M314" i="3" s="1"/>
  <c r="M318" i="3" s="1"/>
  <c r="M319" i="3" s="1"/>
  <c r="M322" i="3" s="1"/>
  <c r="M323" i="3" s="1"/>
  <c r="M228" i="3"/>
  <c r="M304" i="3" s="1"/>
  <c r="M307" i="3" s="1"/>
  <c r="M313" i="3" s="1"/>
  <c r="M328" i="3" s="1"/>
  <c r="M227" i="3"/>
  <c r="M294" i="3" s="1"/>
  <c r="M299" i="3" s="1"/>
  <c r="M303" i="3" s="1"/>
  <c r="M327" i="3" s="1"/>
  <c r="E226" i="3"/>
  <c r="O222" i="3" l="1"/>
  <c r="E224" i="3"/>
  <c r="E223" i="3"/>
  <c r="E222" i="3"/>
  <c r="O669" i="2"/>
  <c r="O670" i="2"/>
  <c r="O671" i="2"/>
  <c r="E671" i="2"/>
  <c r="E669" i="2"/>
  <c r="E670" i="2"/>
  <c r="R116" i="1"/>
  <c r="P116" i="1" s="1"/>
  <c r="R117" i="1"/>
  <c r="P117" i="1" s="1"/>
  <c r="Q116" i="1"/>
  <c r="Q117" i="1"/>
  <c r="G116" i="1"/>
  <c r="G117" i="1"/>
  <c r="E116" i="1"/>
  <c r="E117" i="1"/>
  <c r="O668" i="2" l="1"/>
  <c r="O667" i="2"/>
  <c r="O666" i="2"/>
  <c r="O665" i="2"/>
  <c r="O664" i="2"/>
  <c r="O663" i="2"/>
  <c r="O662" i="2"/>
  <c r="E663" i="2"/>
  <c r="O218" i="3" l="1"/>
  <c r="O219" i="3"/>
  <c r="O220" i="3"/>
  <c r="E221" i="3" l="1"/>
  <c r="E219" i="3"/>
  <c r="E220" i="3"/>
  <c r="E218" i="3"/>
  <c r="E668" i="2"/>
  <c r="E667" i="2"/>
  <c r="E666" i="2"/>
  <c r="E665" i="2"/>
  <c r="E664" i="2"/>
  <c r="E662" i="2"/>
  <c r="R115" i="1"/>
  <c r="P115" i="1" s="1"/>
  <c r="Q115" i="1"/>
  <c r="G115" i="1"/>
  <c r="E115" i="1"/>
  <c r="O215" i="3" l="1"/>
  <c r="O216" i="3"/>
  <c r="O217" i="3"/>
  <c r="E217" i="3" l="1"/>
  <c r="E216" i="3"/>
  <c r="E215" i="3"/>
  <c r="H215" i="3" s="1"/>
  <c r="H222" i="3" s="1"/>
  <c r="H226" i="3" s="1"/>
  <c r="H231" i="3" s="1"/>
  <c r="H232" i="3" s="1"/>
  <c r="H238" i="3" s="1"/>
  <c r="H245" i="3" s="1"/>
  <c r="H246" i="3" s="1"/>
  <c r="H250" i="3" s="1"/>
  <c r="H258" i="3" s="1"/>
  <c r="H259" i="3" s="1"/>
  <c r="H266" i="3" s="1"/>
  <c r="H267" i="3" s="1"/>
  <c r="H274" i="3" s="1"/>
  <c r="H282" i="3" s="1"/>
  <c r="H284" i="3" s="1"/>
  <c r="H285" i="3" s="1"/>
  <c r="H292" i="3" s="1"/>
  <c r="H296" i="3" s="1"/>
  <c r="O658" i="2"/>
  <c r="O659" i="2"/>
  <c r="O660" i="2"/>
  <c r="O661" i="2"/>
  <c r="E660" i="2"/>
  <c r="E661" i="2"/>
  <c r="E659" i="2"/>
  <c r="E658" i="2"/>
  <c r="R113" i="1"/>
  <c r="P113" i="1" s="1"/>
  <c r="R114" i="1"/>
  <c r="P114" i="1" s="1"/>
  <c r="Q113" i="1"/>
  <c r="Q114" i="1"/>
  <c r="N114" i="1"/>
  <c r="N143" i="1" s="1"/>
  <c r="N144" i="1" s="1"/>
  <c r="G113" i="1"/>
  <c r="G114" i="1"/>
  <c r="E113" i="1"/>
  <c r="E114" i="1"/>
  <c r="O209" i="3" l="1"/>
  <c r="O210" i="3"/>
  <c r="O211" i="3"/>
  <c r="O212" i="3"/>
  <c r="O213" i="3"/>
  <c r="O214" i="3"/>
  <c r="O648" i="2"/>
  <c r="E648" i="2"/>
  <c r="E210" i="3" l="1"/>
  <c r="E214" i="3"/>
  <c r="O649" i="2"/>
  <c r="O650" i="2"/>
  <c r="O651" i="2"/>
  <c r="O652" i="2"/>
  <c r="O653" i="2"/>
  <c r="O654" i="2"/>
  <c r="O655" i="2"/>
  <c r="O656" i="2"/>
  <c r="O657" i="2"/>
  <c r="E657" i="2"/>
  <c r="E656" i="2"/>
  <c r="E655" i="2"/>
  <c r="M213" i="3"/>
  <c r="M289" i="3" s="1"/>
  <c r="M291" i="3" s="1"/>
  <c r="M293" i="3" s="1"/>
  <c r="M212" i="3"/>
  <c r="M276" i="3" s="1"/>
  <c r="M283" i="3" s="1"/>
  <c r="M287" i="3" s="1"/>
  <c r="M288" i="3" s="1"/>
  <c r="M211" i="3"/>
  <c r="M271" i="3" s="1"/>
  <c r="M272" i="3" s="1"/>
  <c r="M275" i="3" s="1"/>
  <c r="M286" i="3" s="1"/>
  <c r="E211" i="3"/>
  <c r="E212" i="3"/>
  <c r="E213" i="3"/>
  <c r="E209" i="3"/>
  <c r="L175" i="3"/>
  <c r="L160" i="3"/>
  <c r="M654" i="2"/>
  <c r="M749" i="2" s="1"/>
  <c r="M751" i="2" s="1"/>
  <c r="M752" i="2" s="1"/>
  <c r="M753" i="2" s="1"/>
  <c r="M757" i="2" s="1"/>
  <c r="M653" i="2"/>
  <c r="M748" i="2" s="1"/>
  <c r="M750" i="2" s="1"/>
  <c r="M755" i="2" s="1"/>
  <c r="M756" i="2" s="1"/>
  <c r="M758" i="2" s="1"/>
  <c r="M652" i="2"/>
  <c r="M742" i="2" s="1"/>
  <c r="M744" i="2" s="1"/>
  <c r="M746" i="2" s="1"/>
  <c r="M747" i="2" s="1"/>
  <c r="E654" i="2"/>
  <c r="E653" i="2"/>
  <c r="E652" i="2"/>
  <c r="M651" i="2"/>
  <c r="M727" i="2" s="1"/>
  <c r="M732" i="2" s="1"/>
  <c r="M733" i="2" s="1"/>
  <c r="M734" i="2" s="1"/>
  <c r="M741" i="2" s="1"/>
  <c r="M743" i="2" s="1"/>
  <c r="M745" i="2" s="1"/>
  <c r="M650" i="2"/>
  <c r="M725" i="2" s="1"/>
  <c r="M726" i="2" s="1"/>
  <c r="M729" i="2" s="1"/>
  <c r="M731" i="2" s="1"/>
  <c r="M649" i="2"/>
  <c r="M723" i="2" s="1"/>
  <c r="M724" i="2" s="1"/>
  <c r="M728" i="2" s="1"/>
  <c r="M730" i="2" s="1"/>
  <c r="E649" i="2"/>
  <c r="E650" i="2"/>
  <c r="E651" i="2"/>
  <c r="O645" i="2" l="1"/>
  <c r="O646" i="2"/>
  <c r="O647" i="2"/>
  <c r="E645" i="2"/>
  <c r="O206" i="3" l="1"/>
  <c r="O207" i="3"/>
  <c r="O208" i="3"/>
  <c r="E207" i="3" l="1"/>
  <c r="E208" i="3"/>
  <c r="E206" i="3"/>
  <c r="E646" i="2"/>
  <c r="E647" i="2"/>
  <c r="R111" i="1"/>
  <c r="P111" i="1" s="1"/>
  <c r="R112" i="1"/>
  <c r="P112" i="1" s="1"/>
  <c r="Q111" i="1"/>
  <c r="Q112" i="1"/>
  <c r="G111" i="1"/>
  <c r="G112" i="1"/>
  <c r="E111" i="1"/>
  <c r="E112" i="1"/>
  <c r="O644" i="2" l="1"/>
  <c r="E644" i="2"/>
  <c r="O202" i="3" l="1"/>
  <c r="O203" i="3"/>
  <c r="O204" i="3"/>
  <c r="O205" i="3"/>
  <c r="E205" i="3"/>
  <c r="E203" i="3"/>
  <c r="E204" i="3"/>
  <c r="E202" i="3"/>
  <c r="O639" i="2"/>
  <c r="O640" i="2"/>
  <c r="O641" i="2"/>
  <c r="O642" i="2"/>
  <c r="O643" i="2"/>
  <c r="E643" i="2"/>
  <c r="E642" i="2"/>
  <c r="E641" i="2"/>
  <c r="E640" i="2"/>
  <c r="E639" i="2"/>
  <c r="R110" i="1"/>
  <c r="P110" i="1" s="1"/>
  <c r="Q110" i="1"/>
  <c r="G110" i="1"/>
  <c r="E110" i="1"/>
  <c r="O633" i="2" l="1"/>
  <c r="O634" i="2"/>
  <c r="O635" i="2"/>
  <c r="O636" i="2"/>
  <c r="O637" i="2"/>
  <c r="O638" i="2"/>
  <c r="O199" i="3" l="1"/>
  <c r="O200" i="3"/>
  <c r="O201" i="3"/>
  <c r="E201" i="3"/>
  <c r="E200" i="3"/>
  <c r="E199" i="3"/>
  <c r="E633" i="2"/>
  <c r="E634" i="2"/>
  <c r="E635" i="2"/>
  <c r="E636" i="2"/>
  <c r="E637" i="2"/>
  <c r="E638" i="2"/>
  <c r="R108" i="1" l="1"/>
  <c r="P108" i="1" s="1"/>
  <c r="R109" i="1"/>
  <c r="P109" i="1" s="1"/>
  <c r="Q108" i="1"/>
  <c r="Q109" i="1"/>
  <c r="N109" i="1"/>
  <c r="N138" i="1" s="1"/>
  <c r="N139" i="1" s="1"/>
  <c r="N141" i="1" s="1"/>
  <c r="N142" i="1" s="1"/>
  <c r="G108" i="1"/>
  <c r="G109" i="1"/>
  <c r="E108" i="1"/>
  <c r="E109" i="1"/>
  <c r="O190" i="3" l="1"/>
  <c r="O191" i="3"/>
  <c r="O192" i="3"/>
  <c r="O193" i="3"/>
  <c r="O194" i="3"/>
  <c r="O195" i="3"/>
  <c r="O196" i="3"/>
  <c r="O197" i="3"/>
  <c r="O198" i="3"/>
  <c r="O624" i="2"/>
  <c r="O625" i="2"/>
  <c r="O626" i="2"/>
  <c r="O627" i="2"/>
  <c r="O628" i="2"/>
  <c r="O629" i="2"/>
  <c r="O630" i="2"/>
  <c r="O631" i="2"/>
  <c r="O632" i="2"/>
  <c r="E198" i="3" l="1"/>
  <c r="E197" i="3"/>
  <c r="E196" i="3"/>
  <c r="M195" i="3"/>
  <c r="M261" i="3" s="1"/>
  <c r="M268" i="3" s="1"/>
  <c r="M269" i="3" s="1"/>
  <c r="M270" i="3" s="1"/>
  <c r="M194" i="3"/>
  <c r="M252" i="3" s="1"/>
  <c r="M253" i="3" s="1"/>
  <c r="M256" i="3" s="1"/>
  <c r="M260" i="3" s="1"/>
  <c r="M193" i="3"/>
  <c r="M242" i="3" s="1"/>
  <c r="M248" i="3" s="1"/>
  <c r="M251" i="3" s="1"/>
  <c r="E192" i="3"/>
  <c r="E193" i="3"/>
  <c r="E194" i="3"/>
  <c r="E195" i="3"/>
  <c r="E191" i="3"/>
  <c r="H191" i="3" s="1"/>
  <c r="H199" i="3" s="1"/>
  <c r="H206" i="3" s="1"/>
  <c r="H209" i="3" s="1"/>
  <c r="E190" i="3"/>
  <c r="E631" i="2"/>
  <c r="E632" i="2"/>
  <c r="E630" i="2"/>
  <c r="M629" i="2"/>
  <c r="M720" i="2" s="1"/>
  <c r="M721" i="2" s="1"/>
  <c r="M722" i="2" s="1"/>
  <c r="M628" i="2"/>
  <c r="M700" i="2" s="1"/>
  <c r="M706" i="2" s="1"/>
  <c r="M710" i="2" s="1"/>
  <c r="M711" i="2" s="1"/>
  <c r="M712" i="2" s="1"/>
  <c r="M718" i="2" s="1"/>
  <c r="M627" i="2"/>
  <c r="M694" i="2" s="1"/>
  <c r="M698" i="2" s="1"/>
  <c r="M707" i="2" s="1"/>
  <c r="M708" i="2" s="1"/>
  <c r="M709" i="2" s="1"/>
  <c r="M626" i="2"/>
  <c r="M693" i="2" s="1"/>
  <c r="M699" i="2" s="1"/>
  <c r="E626" i="2"/>
  <c r="E627" i="2"/>
  <c r="E628" i="2"/>
  <c r="E629" i="2"/>
  <c r="M625" i="2"/>
  <c r="M691" i="2" s="1"/>
  <c r="M692" i="2" s="1"/>
  <c r="M695" i="2" s="1"/>
  <c r="M696" i="2" s="1"/>
  <c r="M624" i="2"/>
  <c r="M687" i="2" s="1"/>
  <c r="M689" i="2" s="1"/>
  <c r="M690" i="2" s="1"/>
  <c r="M697" i="2" s="1"/>
  <c r="E624" i="2"/>
  <c r="E625" i="2"/>
  <c r="M719" i="2" l="1"/>
  <c r="O185" i="3"/>
  <c r="O186" i="3"/>
  <c r="O187" i="3"/>
  <c r="O188" i="3"/>
  <c r="O189" i="3"/>
  <c r="E189" i="3"/>
  <c r="E185" i="3"/>
  <c r="E188" i="3" l="1"/>
  <c r="H188" i="3" s="1"/>
  <c r="H189" i="3" s="1"/>
  <c r="H200" i="3" s="1"/>
  <c r="H201" i="3" s="1"/>
  <c r="H203" i="3" s="1"/>
  <c r="H204" i="3" s="1"/>
  <c r="H207" i="3" s="1"/>
  <c r="H208" i="3" s="1"/>
  <c r="H216" i="3" s="1"/>
  <c r="H217" i="3" s="1"/>
  <c r="H219" i="3" s="1"/>
  <c r="H220" i="3" s="1"/>
  <c r="H225" i="3" s="1"/>
  <c r="H233" i="3" s="1"/>
  <c r="H239" i="3" s="1"/>
  <c r="E187" i="3"/>
  <c r="E186" i="3"/>
  <c r="O623" i="2"/>
  <c r="E623" i="2"/>
  <c r="R106" i="1"/>
  <c r="P106" i="1" s="1"/>
  <c r="R107" i="1"/>
  <c r="P107" i="1" s="1"/>
  <c r="Q106" i="1"/>
  <c r="Q107" i="1"/>
  <c r="G106" i="1"/>
  <c r="G107" i="1"/>
  <c r="E106" i="1"/>
  <c r="E107" i="1"/>
  <c r="O184" i="3" l="1"/>
  <c r="O183" i="3"/>
  <c r="E183" i="3"/>
  <c r="E184" i="3"/>
  <c r="O616" i="2" l="1"/>
  <c r="O617" i="2"/>
  <c r="O618" i="2"/>
  <c r="O619" i="2"/>
  <c r="O620" i="2"/>
  <c r="O621" i="2"/>
  <c r="O622" i="2"/>
  <c r="E622" i="2"/>
  <c r="E621" i="2"/>
  <c r="E620" i="2"/>
  <c r="E619" i="2"/>
  <c r="E618" i="2"/>
  <c r="E617" i="2"/>
  <c r="E616" i="2"/>
  <c r="O180" i="3" l="1"/>
  <c r="O181" i="3"/>
  <c r="O182" i="3"/>
  <c r="E181" i="3"/>
  <c r="E182" i="3"/>
  <c r="E180" i="3"/>
  <c r="R104" i="1" l="1"/>
  <c r="P104" i="1" s="1"/>
  <c r="R105" i="1"/>
  <c r="P105" i="1" s="1"/>
  <c r="Q104" i="1"/>
  <c r="Q105" i="1"/>
  <c r="N105" i="1"/>
  <c r="N135" i="1" s="1"/>
  <c r="N136" i="1" s="1"/>
  <c r="N137" i="1" s="1"/>
  <c r="G104" i="1"/>
  <c r="G105" i="1"/>
  <c r="E104" i="1"/>
  <c r="E105" i="1"/>
  <c r="O611" i="2" l="1"/>
  <c r="O612" i="2"/>
  <c r="O613" i="2"/>
  <c r="O614" i="2"/>
  <c r="O615" i="2"/>
  <c r="E611" i="2"/>
  <c r="O177" i="3" l="1"/>
  <c r="O178" i="3"/>
  <c r="O179" i="3"/>
  <c r="R102" i="1"/>
  <c r="P102" i="1" s="1"/>
  <c r="R103" i="1"/>
  <c r="P103" i="1" s="1"/>
  <c r="Q102" i="1"/>
  <c r="Q103" i="1"/>
  <c r="E179" i="3" l="1"/>
  <c r="E178" i="3"/>
  <c r="E177" i="3"/>
  <c r="M552" i="2"/>
  <c r="M607" i="2" s="1"/>
  <c r="M608" i="2" s="1"/>
  <c r="M612" i="2" s="1"/>
  <c r="M613" i="2" s="1"/>
  <c r="M614" i="2" s="1"/>
  <c r="E614" i="2"/>
  <c r="H614" i="2" s="1"/>
  <c r="E613" i="2"/>
  <c r="E615" i="2"/>
  <c r="E612" i="2"/>
  <c r="G103" i="1"/>
  <c r="E103" i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E102" i="1"/>
  <c r="G102" i="1"/>
  <c r="H615" i="2" l="1"/>
  <c r="H636" i="2" s="1"/>
  <c r="H637" i="2" s="1"/>
  <c r="H638" i="2" s="1"/>
  <c r="H660" i="2" s="1"/>
  <c r="H661" i="2" s="1"/>
  <c r="H680" i="2" s="1"/>
  <c r="H681" i="2" s="1"/>
  <c r="H692" i="2" s="1"/>
  <c r="H693" i="2" s="1"/>
  <c r="O599" i="2"/>
  <c r="O600" i="2"/>
  <c r="O601" i="2"/>
  <c r="O602" i="2"/>
  <c r="O603" i="2"/>
  <c r="O604" i="2"/>
  <c r="O605" i="2"/>
  <c r="O606" i="2"/>
  <c r="O607" i="2"/>
  <c r="O608" i="2"/>
  <c r="O609" i="2"/>
  <c r="O610" i="2"/>
  <c r="E610" i="2"/>
  <c r="E609" i="2"/>
  <c r="E608" i="2" l="1"/>
  <c r="H608" i="2" s="1"/>
  <c r="H621" i="2" s="1"/>
  <c r="H630" i="2" s="1"/>
  <c r="H642" i="2" s="1"/>
  <c r="H655" i="2" s="1"/>
  <c r="H666" i="2" s="1"/>
  <c r="H686" i="2" s="1"/>
  <c r="H696" i="2" s="1"/>
  <c r="H706" i="2" s="1"/>
  <c r="H728" i="2" s="1"/>
  <c r="H741" i="2" s="1"/>
  <c r="H755" i="2" s="1"/>
  <c r="E607" i="2"/>
  <c r="M606" i="2"/>
  <c r="M681" i="2" s="1"/>
  <c r="M683" i="2" s="1"/>
  <c r="M686" i="2" s="1"/>
  <c r="M688" i="2" s="1"/>
  <c r="M605" i="2"/>
  <c r="M679" i="2" s="1"/>
  <c r="M680" i="2" s="1"/>
  <c r="M682" i="2" s="1"/>
  <c r="M604" i="2"/>
  <c r="M670" i="2" s="1"/>
  <c r="M671" i="2" s="1"/>
  <c r="M677" i="2" s="1"/>
  <c r="M678" i="2" s="1"/>
  <c r="E605" i="2"/>
  <c r="E606" i="2"/>
  <c r="E604" i="2"/>
  <c r="E603" i="2"/>
  <c r="E602" i="2"/>
  <c r="E599" i="2"/>
  <c r="E600" i="2"/>
  <c r="E601" i="2"/>
  <c r="M601" i="2"/>
  <c r="M663" i="2" s="1"/>
  <c r="M665" i="2" s="1"/>
  <c r="M667" i="2" s="1"/>
  <c r="M668" i="2" s="1"/>
  <c r="M669" i="2" s="1"/>
  <c r="M600" i="2"/>
  <c r="M661" i="2" s="1"/>
  <c r="M662" i="2" s="1"/>
  <c r="M664" i="2" s="1"/>
  <c r="M666" i="2" s="1"/>
  <c r="M599" i="2"/>
  <c r="M655" i="2" s="1"/>
  <c r="M657" i="2" s="1"/>
  <c r="M659" i="2" s="1"/>
  <c r="M660" i="2" s="1"/>
  <c r="O172" i="3"/>
  <c r="O173" i="3"/>
  <c r="O174" i="3"/>
  <c r="O175" i="3"/>
  <c r="O176" i="3"/>
  <c r="M176" i="3"/>
  <c r="M233" i="3" s="1"/>
  <c r="M234" i="3" s="1"/>
  <c r="M239" i="3" s="1"/>
  <c r="M240" i="3" s="1"/>
  <c r="M241" i="3" s="1"/>
  <c r="M247" i="3" s="1"/>
  <c r="M175" i="3"/>
  <c r="M311" i="3" s="1"/>
  <c r="M312" i="3" s="1"/>
  <c r="M320" i="3" s="1"/>
  <c r="M321" i="3" s="1"/>
  <c r="M174" i="3"/>
  <c r="M298" i="3" s="1"/>
  <c r="M305" i="3" s="1"/>
  <c r="M306" i="3" s="1"/>
  <c r="M310" i="3" s="1"/>
  <c r="E173" i="3"/>
  <c r="E174" i="3"/>
  <c r="E175" i="3"/>
  <c r="E176" i="3"/>
  <c r="E172" i="3"/>
  <c r="O169" i="3" l="1"/>
  <c r="O170" i="3"/>
  <c r="O171" i="3"/>
  <c r="E170" i="3"/>
  <c r="E171" i="3"/>
  <c r="E169" i="3"/>
  <c r="O594" i="2"/>
  <c r="O595" i="2"/>
  <c r="O596" i="2"/>
  <c r="O597" i="2"/>
  <c r="O598" i="2"/>
  <c r="E597" i="2"/>
  <c r="E598" i="2"/>
  <c r="E595" i="2"/>
  <c r="E596" i="2"/>
  <c r="E594" i="2"/>
  <c r="R101" i="1"/>
  <c r="P101" i="1" s="1"/>
  <c r="Q101" i="1"/>
  <c r="E101" i="1"/>
  <c r="G101" i="1"/>
  <c r="O585" i="2" l="1"/>
  <c r="O586" i="2"/>
  <c r="O587" i="2"/>
  <c r="O588" i="2"/>
  <c r="O589" i="2"/>
  <c r="O590" i="2"/>
  <c r="O591" i="2"/>
  <c r="O592" i="2"/>
  <c r="O593" i="2"/>
  <c r="E588" i="2"/>
  <c r="H588" i="2" s="1"/>
  <c r="E587" i="2"/>
  <c r="E593" i="2"/>
  <c r="E592" i="2"/>
  <c r="O584" i="2"/>
  <c r="E584" i="2"/>
  <c r="L589" i="2" l="1"/>
  <c r="M589" i="2" s="1"/>
  <c r="M633" i="2" s="1"/>
  <c r="M635" i="2" s="1"/>
  <c r="M639" i="2" s="1"/>
  <c r="O166" i="3"/>
  <c r="O167" i="3"/>
  <c r="O168" i="3"/>
  <c r="E167" i="3"/>
  <c r="E168" i="3"/>
  <c r="E166" i="3"/>
  <c r="E589" i="2"/>
  <c r="H589" i="2" s="1"/>
  <c r="E590" i="2"/>
  <c r="E591" i="2"/>
  <c r="M591" i="2"/>
  <c r="M643" i="2" s="1"/>
  <c r="M645" i="2" s="1"/>
  <c r="M647" i="2" s="1"/>
  <c r="M648" i="2" s="1"/>
  <c r="M656" i="2" s="1"/>
  <c r="M658" i="2" s="1"/>
  <c r="M590" i="2"/>
  <c r="M640" i="2" s="1"/>
  <c r="M641" i="2" s="1"/>
  <c r="M642" i="2" s="1"/>
  <c r="M644" i="2" s="1"/>
  <c r="M646" i="2" s="1"/>
  <c r="E586" i="2"/>
  <c r="E585" i="2"/>
  <c r="H590" i="2" l="1"/>
  <c r="H591" i="2" s="1"/>
  <c r="H604" i="2" s="1"/>
  <c r="H605" i="2" s="1"/>
  <c r="H606" i="2" s="1"/>
  <c r="H619" i="2" s="1"/>
  <c r="H620" i="2" s="1"/>
  <c r="H626" i="2" s="1"/>
  <c r="H627" i="2" s="1"/>
  <c r="H628" i="2" s="1"/>
  <c r="H629" i="2" s="1"/>
  <c r="H641" i="2" s="1"/>
  <c r="H652" i="2" s="1"/>
  <c r="H653" i="2" s="1"/>
  <c r="Q100" i="1"/>
  <c r="R100" i="1"/>
  <c r="P100" i="1" s="1"/>
  <c r="G100" i="1"/>
  <c r="E100" i="1"/>
  <c r="H654" i="2" l="1"/>
  <c r="H664" i="2" s="1"/>
  <c r="H665" i="2" s="1"/>
  <c r="H675" i="2" s="1"/>
  <c r="H676" i="2" s="1"/>
  <c r="H683" i="2" s="1"/>
  <c r="H684" i="2" s="1"/>
  <c r="H685" i="2" s="1"/>
  <c r="H695" i="2" s="1"/>
  <c r="H703" i="2" s="1"/>
  <c r="H704" i="2" s="1"/>
  <c r="H705" i="2" s="1"/>
  <c r="H715" i="2" s="1"/>
  <c r="H716" i="2" s="1"/>
  <c r="H717" i="2" s="1"/>
  <c r="H726" i="2" s="1"/>
  <c r="O583" i="2"/>
  <c r="E583" i="2"/>
  <c r="O162" i="3" l="1"/>
  <c r="O163" i="3"/>
  <c r="O164" i="3"/>
  <c r="O165" i="3"/>
  <c r="O578" i="2" l="1"/>
  <c r="O579" i="2"/>
  <c r="O580" i="2"/>
  <c r="O581" i="2"/>
  <c r="O582" i="2"/>
  <c r="E164" i="3"/>
  <c r="E165" i="3"/>
  <c r="E163" i="3"/>
  <c r="H163" i="3" s="1"/>
  <c r="H169" i="3" s="1"/>
  <c r="H172" i="3" s="1"/>
  <c r="H177" i="3" s="1"/>
  <c r="H185" i="3" s="1"/>
  <c r="H186" i="3" s="1"/>
  <c r="H190" i="3" s="1"/>
  <c r="E162" i="3"/>
  <c r="E582" i="2"/>
  <c r="E580" i="2"/>
  <c r="E581" i="2"/>
  <c r="E579" i="2"/>
  <c r="E578" i="2"/>
  <c r="R96" i="1"/>
  <c r="P96" i="1" s="1"/>
  <c r="R97" i="1"/>
  <c r="P97" i="1" s="1"/>
  <c r="R98" i="1"/>
  <c r="P98" i="1" s="1"/>
  <c r="R99" i="1"/>
  <c r="P99" i="1" s="1"/>
  <c r="Q96" i="1"/>
  <c r="Q97" i="1"/>
  <c r="Q98" i="1"/>
  <c r="Q99" i="1"/>
  <c r="N99" i="1"/>
  <c r="N129" i="1" s="1"/>
  <c r="N131" i="1" s="1"/>
  <c r="N132" i="1" s="1"/>
  <c r="N134" i="1" s="1"/>
  <c r="N98" i="1"/>
  <c r="N124" i="1" s="1"/>
  <c r="N126" i="1" s="1"/>
  <c r="N127" i="1" s="1"/>
  <c r="N128" i="1" s="1"/>
  <c r="N97" i="1"/>
  <c r="N117" i="1" s="1"/>
  <c r="N118" i="1" s="1"/>
  <c r="N119" i="1" s="1"/>
  <c r="N122" i="1" s="1"/>
  <c r="N123" i="1" s="1"/>
  <c r="G96" i="1"/>
  <c r="G97" i="1"/>
  <c r="G98" i="1"/>
  <c r="G99" i="1"/>
  <c r="E96" i="1"/>
  <c r="E97" i="1"/>
  <c r="E98" i="1"/>
  <c r="E99" i="1"/>
  <c r="O571" i="2" l="1"/>
  <c r="O572" i="2"/>
  <c r="O573" i="2"/>
  <c r="O574" i="2"/>
  <c r="O575" i="2"/>
  <c r="O576" i="2"/>
  <c r="O577" i="2"/>
  <c r="E577" i="2"/>
  <c r="E576" i="2"/>
  <c r="O154" i="3" l="1"/>
  <c r="O155" i="3"/>
  <c r="O156" i="3"/>
  <c r="O157" i="3"/>
  <c r="O158" i="3"/>
  <c r="O159" i="3"/>
  <c r="O160" i="3"/>
  <c r="O161" i="3"/>
  <c r="E154" i="3"/>
  <c r="O151" i="3" l="1"/>
  <c r="M161" i="3"/>
  <c r="M285" i="3" s="1"/>
  <c r="M292" i="3" s="1"/>
  <c r="M295" i="3" s="1"/>
  <c r="M296" i="3" s="1"/>
  <c r="M297" i="3" s="1"/>
  <c r="M160" i="3"/>
  <c r="M281" i="3" s="1"/>
  <c r="M282" i="3" s="1"/>
  <c r="M284" i="3" s="1"/>
  <c r="M290" i="3" s="1"/>
  <c r="M159" i="3"/>
  <c r="E158" i="3"/>
  <c r="E159" i="3"/>
  <c r="E160" i="3"/>
  <c r="E161" i="3"/>
  <c r="E155" i="3"/>
  <c r="H155" i="3" s="1"/>
  <c r="E156" i="3"/>
  <c r="E157" i="3"/>
  <c r="E151" i="3"/>
  <c r="E573" i="2"/>
  <c r="E574" i="2"/>
  <c r="E575" i="2"/>
  <c r="L574" i="2"/>
  <c r="M574" i="2" s="1"/>
  <c r="M632" i="2" s="1"/>
  <c r="M637" i="2" s="1"/>
  <c r="L573" i="2"/>
  <c r="M573" i="2" s="1"/>
  <c r="M620" i="2" s="1"/>
  <c r="L575" i="2"/>
  <c r="M575" i="2" s="1"/>
  <c r="M634" i="2" s="1"/>
  <c r="M638" i="2" s="1"/>
  <c r="E571" i="2"/>
  <c r="E572" i="2"/>
  <c r="M630" i="2" l="1"/>
  <c r="M636" i="2" s="1"/>
  <c r="H156" i="3"/>
  <c r="H157" i="3" s="1"/>
  <c r="O570" i="2"/>
  <c r="E570" i="2"/>
  <c r="O150" i="3"/>
  <c r="O152" i="3"/>
  <c r="O153" i="3"/>
  <c r="E153" i="3"/>
  <c r="E152" i="3"/>
  <c r="E150" i="3"/>
  <c r="R95" i="1"/>
  <c r="P95" i="1" s="1"/>
  <c r="Q95" i="1"/>
  <c r="G95" i="1"/>
  <c r="E95" i="1"/>
  <c r="O145" i="3" l="1"/>
  <c r="O146" i="3"/>
  <c r="O147" i="3"/>
  <c r="O148" i="3"/>
  <c r="O149" i="3"/>
  <c r="O562" i="2"/>
  <c r="O564" i="2"/>
  <c r="O565" i="2"/>
  <c r="O566" i="2"/>
  <c r="O567" i="2"/>
  <c r="O568" i="2"/>
  <c r="O569" i="2"/>
  <c r="E569" i="2" l="1"/>
  <c r="E565" i="2"/>
  <c r="E568" i="2"/>
  <c r="R93" i="1"/>
  <c r="P93" i="1" s="1"/>
  <c r="R94" i="1"/>
  <c r="P94" i="1" s="1"/>
  <c r="Q93" i="1"/>
  <c r="Q94" i="1"/>
  <c r="M567" i="2" l="1"/>
  <c r="M616" i="2" s="1"/>
  <c r="M618" i="2" s="1"/>
  <c r="M619" i="2" s="1"/>
  <c r="M621" i="2" s="1"/>
  <c r="E566" i="2"/>
  <c r="E567" i="2"/>
  <c r="E564" i="2"/>
  <c r="M515" i="2"/>
  <c r="M577" i="2" s="1"/>
  <c r="M581" i="2" s="1"/>
  <c r="M585" i="2" s="1"/>
  <c r="E562" i="2"/>
  <c r="E563" i="2"/>
  <c r="E149" i="3"/>
  <c r="E148" i="3"/>
  <c r="M147" i="3"/>
  <c r="M267" i="3" s="1"/>
  <c r="M273" i="3" s="1"/>
  <c r="M274" i="3" s="1"/>
  <c r="M280" i="3" s="1"/>
  <c r="M146" i="3"/>
  <c r="M259" i="3" s="1"/>
  <c r="M265" i="3" s="1"/>
  <c r="M266" i="3" s="1"/>
  <c r="E145" i="3"/>
  <c r="E146" i="3"/>
  <c r="E147" i="3"/>
  <c r="G93" i="1"/>
  <c r="G94" i="1"/>
  <c r="E93" i="1"/>
  <c r="E94" i="1"/>
  <c r="O560" i="2" l="1"/>
  <c r="O561" i="2"/>
  <c r="E560" i="2" l="1"/>
  <c r="E561" i="2"/>
  <c r="O554" i="2" l="1"/>
  <c r="O555" i="2"/>
  <c r="O556" i="2"/>
  <c r="O557" i="2"/>
  <c r="O558" i="2"/>
  <c r="O559" i="2"/>
  <c r="E559" i="2" l="1"/>
  <c r="E558" i="2"/>
  <c r="E557" i="2"/>
  <c r="E556" i="2"/>
  <c r="E555" i="2"/>
  <c r="E554" i="2"/>
  <c r="O141" i="3"/>
  <c r="O142" i="3"/>
  <c r="O143" i="3"/>
  <c r="O144" i="3"/>
  <c r="E144" i="3"/>
  <c r="E143" i="3"/>
  <c r="E142" i="3"/>
  <c r="E141" i="3"/>
  <c r="R91" i="1" l="1"/>
  <c r="P91" i="1" s="1"/>
  <c r="R92" i="1"/>
  <c r="P92" i="1" s="1"/>
  <c r="Q91" i="1"/>
  <c r="Q92" i="1"/>
  <c r="G91" i="1"/>
  <c r="G92" i="1"/>
  <c r="E91" i="1"/>
  <c r="E92" i="1"/>
  <c r="N92" i="1"/>
  <c r="N112" i="1" s="1"/>
  <c r="N113" i="1" s="1"/>
  <c r="N115" i="1" s="1"/>
  <c r="N116" i="1" s="1"/>
  <c r="O136" i="3" l="1"/>
  <c r="O137" i="3"/>
  <c r="O138" i="3"/>
  <c r="O139" i="3"/>
  <c r="O140" i="3"/>
  <c r="O547" i="2" l="1"/>
  <c r="O548" i="2"/>
  <c r="O549" i="2"/>
  <c r="O550" i="2"/>
  <c r="O551" i="2"/>
  <c r="O552" i="2"/>
  <c r="O553" i="2"/>
  <c r="M553" i="2"/>
  <c r="M610" i="2" s="1"/>
  <c r="M611" i="2" s="1"/>
  <c r="M615" i="2" s="1"/>
  <c r="M617" i="2" s="1"/>
  <c r="M623" i="2" s="1"/>
  <c r="M631" i="2" s="1"/>
  <c r="L551" i="2"/>
  <c r="M551" i="2" s="1"/>
  <c r="M603" i="2" s="1"/>
  <c r="M609" i="2" s="1"/>
  <c r="E552" i="2"/>
  <c r="E553" i="2"/>
  <c r="E551" i="2"/>
  <c r="E550" i="2"/>
  <c r="L549" i="2"/>
  <c r="M549" i="2" s="1"/>
  <c r="M594" i="2" s="1"/>
  <c r="M598" i="2" s="1"/>
  <c r="M602" i="2" s="1"/>
  <c r="L548" i="2"/>
  <c r="M548" i="2" s="1"/>
  <c r="M588" i="2" s="1"/>
  <c r="M596" i="2" s="1"/>
  <c r="M597" i="2" s="1"/>
  <c r="L547" i="2"/>
  <c r="M547" i="2" s="1"/>
  <c r="M584" i="2" s="1"/>
  <c r="M587" i="2" s="1"/>
  <c r="M593" i="2" s="1"/>
  <c r="M595" i="2" s="1"/>
  <c r="E547" i="2"/>
  <c r="E548" i="2"/>
  <c r="E549" i="2"/>
  <c r="O545" i="2"/>
  <c r="O546" i="2"/>
  <c r="E545" i="2"/>
  <c r="E546" i="2"/>
  <c r="M140" i="3" l="1"/>
  <c r="M246" i="3" s="1"/>
  <c r="M250" i="3" s="1"/>
  <c r="M257" i="3" s="1"/>
  <c r="M258" i="3" s="1"/>
  <c r="M139" i="3"/>
  <c r="M232" i="3" s="1"/>
  <c r="M238" i="3" s="1"/>
  <c r="M245" i="3" s="1"/>
  <c r="M249" i="3" s="1"/>
  <c r="M138" i="3"/>
  <c r="M225" i="3" s="1"/>
  <c r="M226" i="3" s="1"/>
  <c r="M231" i="3" s="1"/>
  <c r="M237" i="3" s="1"/>
  <c r="M137" i="3"/>
  <c r="E137" i="3"/>
  <c r="E138" i="3"/>
  <c r="E139" i="3"/>
  <c r="E140" i="3"/>
  <c r="E136" i="3"/>
  <c r="O133" i="3" l="1"/>
  <c r="O134" i="3"/>
  <c r="O135" i="3"/>
  <c r="O543" i="2"/>
  <c r="O544" i="2"/>
  <c r="E134" i="3" l="1"/>
  <c r="E135" i="3"/>
  <c r="E133" i="3"/>
  <c r="E544" i="2"/>
  <c r="E543" i="2"/>
  <c r="R90" i="1"/>
  <c r="P90" i="1" s="1"/>
  <c r="Q90" i="1"/>
  <c r="G90" i="1"/>
  <c r="E90" i="1"/>
  <c r="O127" i="3" l="1"/>
  <c r="O128" i="3"/>
  <c r="O129" i="3"/>
  <c r="O130" i="3"/>
  <c r="O131" i="3"/>
  <c r="O132" i="3"/>
  <c r="O534" i="2"/>
  <c r="O535" i="2"/>
  <c r="O536" i="2"/>
  <c r="O537" i="2"/>
  <c r="O538" i="2"/>
  <c r="O539" i="2"/>
  <c r="O540" i="2"/>
  <c r="O541" i="2"/>
  <c r="O542" i="2"/>
  <c r="E542" i="2" l="1"/>
  <c r="E541" i="2" l="1"/>
  <c r="E540" i="2" l="1"/>
  <c r="M539" i="2"/>
  <c r="M582" i="2" s="1"/>
  <c r="M583" i="2" s="1"/>
  <c r="M586" i="2" s="1"/>
  <c r="M592" i="2" s="1"/>
  <c r="M538" i="2"/>
  <c r="M572" i="2" s="1"/>
  <c r="M576" i="2" s="1"/>
  <c r="M578" i="2" s="1"/>
  <c r="M579" i="2" s="1"/>
  <c r="M580" i="2" s="1"/>
  <c r="E537" i="2"/>
  <c r="E538" i="2"/>
  <c r="E539" i="2"/>
  <c r="E535" i="2"/>
  <c r="E536" i="2"/>
  <c r="E534" i="2"/>
  <c r="E132" i="3"/>
  <c r="E131" i="3"/>
  <c r="O532" i="2" l="1"/>
  <c r="O533" i="2"/>
  <c r="R88" i="1" l="1"/>
  <c r="P88" i="1" s="1"/>
  <c r="R89" i="1"/>
  <c r="P89" i="1" s="1"/>
  <c r="Q88" i="1"/>
  <c r="Q89" i="1"/>
  <c r="E89" i="1"/>
  <c r="G89" i="1"/>
  <c r="E88" i="1"/>
  <c r="G88" i="1"/>
  <c r="M130" i="3"/>
  <c r="M218" i="3" s="1"/>
  <c r="M220" i="3" s="1"/>
  <c r="M222" i="3" s="1"/>
  <c r="M236" i="3" s="1"/>
  <c r="M129" i="3"/>
  <c r="M215" i="3" s="1"/>
  <c r="M217" i="3" s="1"/>
  <c r="M219" i="3" s="1"/>
  <c r="M230" i="3" s="1"/>
  <c r="M128" i="3"/>
  <c r="M208" i="3" s="1"/>
  <c r="M209" i="3" s="1"/>
  <c r="M210" i="3" s="1"/>
  <c r="M214" i="3" s="1"/>
  <c r="M216" i="3" s="1"/>
  <c r="M127" i="3"/>
  <c r="M204" i="3" s="1"/>
  <c r="M206" i="3" s="1"/>
  <c r="M207" i="3" s="1"/>
  <c r="E128" i="3"/>
  <c r="E129" i="3"/>
  <c r="E130" i="3"/>
  <c r="E127" i="3"/>
  <c r="E532" i="2" l="1"/>
  <c r="E533" i="2"/>
  <c r="O122" i="3" l="1"/>
  <c r="O123" i="3"/>
  <c r="O124" i="3"/>
  <c r="O125" i="3"/>
  <c r="O126" i="3"/>
  <c r="E123" i="3"/>
  <c r="E126" i="3" l="1"/>
  <c r="E125" i="3"/>
  <c r="H125" i="3" s="1"/>
  <c r="E124" i="3"/>
  <c r="E122" i="3"/>
  <c r="O527" i="2"/>
  <c r="O528" i="2"/>
  <c r="O529" i="2"/>
  <c r="O530" i="2"/>
  <c r="O531" i="2"/>
  <c r="E529" i="2"/>
  <c r="H529" i="2" s="1"/>
  <c r="H544" i="2" s="1"/>
  <c r="H555" i="2" s="1"/>
  <c r="H556" i="2" s="1"/>
  <c r="H570" i="2" s="1"/>
  <c r="H579" i="2" s="1"/>
  <c r="H595" i="2" s="1"/>
  <c r="H596" i="2" s="1"/>
  <c r="H612" i="2" s="1"/>
  <c r="H623" i="2" s="1"/>
  <c r="H634" i="2" s="1"/>
  <c r="H635" i="2" s="1"/>
  <c r="H646" i="2" s="1"/>
  <c r="H647" i="2" s="1"/>
  <c r="H658" i="2" s="1"/>
  <c r="O526" i="2"/>
  <c r="E531" i="2"/>
  <c r="E530" i="2"/>
  <c r="E528" i="2"/>
  <c r="H659" i="2" l="1"/>
  <c r="H671" i="2" s="1"/>
  <c r="H678" i="2" s="1"/>
  <c r="H679" i="2" s="1"/>
  <c r="H699" i="2" s="1"/>
  <c r="H711" i="2" s="1"/>
  <c r="H721" i="2" s="1"/>
  <c r="H126" i="3"/>
  <c r="H131" i="3" s="1"/>
  <c r="H132" i="3" s="1"/>
  <c r="H134" i="3" s="1"/>
  <c r="H135" i="3" s="1"/>
  <c r="H143" i="3" s="1"/>
  <c r="H148" i="3" s="1"/>
  <c r="H149" i="3" s="1"/>
  <c r="H152" i="3" s="1"/>
  <c r="H153" i="3" s="1"/>
  <c r="H164" i="3" s="1"/>
  <c r="H165" i="3" s="1"/>
  <c r="H167" i="3" s="1"/>
  <c r="H168" i="3" s="1"/>
  <c r="H170" i="3" s="1"/>
  <c r="H171" i="3" s="1"/>
  <c r="H178" i="3" s="1"/>
  <c r="H179" i="3" s="1"/>
  <c r="H181" i="3" s="1"/>
  <c r="H182" i="3" s="1"/>
  <c r="H187" i="3" s="1"/>
  <c r="E526" i="2"/>
  <c r="E527" i="2"/>
  <c r="R85" i="1" l="1"/>
  <c r="P85" i="1" s="1"/>
  <c r="R86" i="1"/>
  <c r="P86" i="1" s="1"/>
  <c r="R87" i="1"/>
  <c r="P87" i="1" s="1"/>
  <c r="Q85" i="1"/>
  <c r="Q86" i="1"/>
  <c r="Q87" i="1"/>
  <c r="N87" i="1"/>
  <c r="N107" i="1" s="1"/>
  <c r="N108" i="1" s="1"/>
  <c r="N110" i="1" s="1"/>
  <c r="N111" i="1" s="1"/>
  <c r="N86" i="1"/>
  <c r="N101" i="1" s="1"/>
  <c r="N102" i="1" s="1"/>
  <c r="N103" i="1" s="1"/>
  <c r="N104" i="1" s="1"/>
  <c r="N106" i="1" s="1"/>
  <c r="G85" i="1"/>
  <c r="G86" i="1"/>
  <c r="G87" i="1"/>
  <c r="E85" i="1"/>
  <c r="E86" i="1"/>
  <c r="E87" i="1"/>
  <c r="O121" i="3" l="1"/>
  <c r="O120" i="3"/>
  <c r="O119" i="3"/>
  <c r="O118" i="3"/>
  <c r="E121" i="3"/>
  <c r="E120" i="3"/>
  <c r="E119" i="3"/>
  <c r="E118" i="3"/>
  <c r="O525" i="2"/>
  <c r="O524" i="2"/>
  <c r="O523" i="2"/>
  <c r="O522" i="2"/>
  <c r="E522" i="2"/>
  <c r="E523" i="2"/>
  <c r="E524" i="2"/>
  <c r="E525" i="2"/>
  <c r="O117" i="3" l="1"/>
  <c r="O113" i="3"/>
  <c r="O116" i="3"/>
  <c r="O115" i="3"/>
  <c r="O112" i="3"/>
  <c r="O114" i="3"/>
  <c r="O111" i="3"/>
  <c r="E113" i="3"/>
  <c r="E117" i="3"/>
  <c r="E116" i="3"/>
  <c r="E112" i="3"/>
  <c r="H112" i="3" s="1"/>
  <c r="E115" i="3"/>
  <c r="E114" i="3"/>
  <c r="E111" i="3"/>
  <c r="R84" i="1"/>
  <c r="P84" i="1" s="1"/>
  <c r="Q84" i="1"/>
  <c r="R83" i="1"/>
  <c r="P83" i="1" s="1"/>
  <c r="Q83" i="1"/>
  <c r="Q82" i="1"/>
  <c r="R82" i="1"/>
  <c r="P82" i="1" s="1"/>
  <c r="G84" i="1"/>
  <c r="E84" i="1"/>
  <c r="G83" i="1"/>
  <c r="E83" i="1"/>
  <c r="G82" i="1"/>
  <c r="E82" i="1"/>
  <c r="O521" i="2"/>
  <c r="E521" i="2"/>
  <c r="H113" i="3" l="1"/>
  <c r="H118" i="3" s="1"/>
  <c r="H119" i="3" s="1"/>
  <c r="H122" i="3" s="1"/>
  <c r="H123" i="3" s="1"/>
  <c r="H133" i="3" s="1"/>
  <c r="H136" i="3" s="1"/>
  <c r="H141" i="3" s="1"/>
  <c r="H142" i="3" s="1"/>
  <c r="H150" i="3" s="1"/>
  <c r="H151" i="3" s="1"/>
  <c r="H154" i="3" s="1"/>
  <c r="H162" i="3" s="1"/>
  <c r="O107" i="3"/>
  <c r="O110" i="3"/>
  <c r="O109" i="3"/>
  <c r="O108" i="3"/>
  <c r="E107" i="3"/>
  <c r="E108" i="3"/>
  <c r="E109" i="3"/>
  <c r="E110" i="3"/>
  <c r="O520" i="2"/>
  <c r="O519" i="2"/>
  <c r="O518" i="2"/>
  <c r="O517" i="2"/>
  <c r="O516" i="2"/>
  <c r="E520" i="2"/>
  <c r="E519" i="2"/>
  <c r="E518" i="2"/>
  <c r="E517" i="2"/>
  <c r="E516" i="2"/>
  <c r="H516" i="2" s="1"/>
  <c r="H522" i="2" s="1"/>
  <c r="H534" i="2" s="1"/>
  <c r="H547" i="2" s="1"/>
  <c r="H548" i="2" s="1"/>
  <c r="H549" i="2" s="1"/>
  <c r="H562" i="2" s="1"/>
  <c r="H585" i="2" s="1"/>
  <c r="H599" i="2" s="1"/>
  <c r="H600" i="2" s="1"/>
  <c r="H601" i="2" s="1"/>
  <c r="H616" i="2" s="1"/>
  <c r="H624" i="2" s="1"/>
  <c r="H625" i="2" s="1"/>
  <c r="H639" i="2" s="1"/>
  <c r="H640" i="2" s="1"/>
  <c r="H648" i="2" s="1"/>
  <c r="H649" i="2" s="1"/>
  <c r="H650" i="2" s="1"/>
  <c r="H651" i="2" s="1"/>
  <c r="H662" i="2" s="1"/>
  <c r="H663" i="2" s="1"/>
  <c r="H672" i="2" s="1"/>
  <c r="H673" i="2" s="1"/>
  <c r="H674" i="2" s="1"/>
  <c r="H682" i="2" s="1"/>
  <c r="H690" i="2" s="1"/>
  <c r="H691" i="2" s="1"/>
  <c r="O105" i="3" l="1"/>
  <c r="O104" i="3"/>
  <c r="E105" i="3"/>
  <c r="E104" i="3"/>
  <c r="O515" i="2"/>
  <c r="O106" i="3"/>
  <c r="E106" i="3"/>
  <c r="O514" i="2"/>
  <c r="O513" i="2"/>
  <c r="O512" i="2"/>
  <c r="O511" i="2"/>
  <c r="O510" i="2"/>
  <c r="E515" i="2"/>
  <c r="E514" i="2"/>
  <c r="E513" i="2"/>
  <c r="E512" i="2"/>
  <c r="E511" i="2"/>
  <c r="E510" i="2"/>
  <c r="Q81" i="1"/>
  <c r="R81" i="1"/>
  <c r="P81" i="1" s="1"/>
  <c r="G81" i="1"/>
  <c r="E81" i="1"/>
  <c r="O103" i="3" l="1"/>
  <c r="O102" i="3"/>
  <c r="O101" i="3"/>
  <c r="O100" i="3"/>
  <c r="M103" i="3"/>
  <c r="M201" i="3" s="1"/>
  <c r="M202" i="3" s="1"/>
  <c r="M203" i="3" s="1"/>
  <c r="M205" i="3" s="1"/>
  <c r="M102" i="3"/>
  <c r="M189" i="3" s="1"/>
  <c r="M190" i="3" s="1"/>
  <c r="M191" i="3" s="1"/>
  <c r="M192" i="3" s="1"/>
  <c r="M199" i="3" s="1"/>
  <c r="M200" i="3" s="1"/>
  <c r="M101" i="3"/>
  <c r="M182" i="3" s="1"/>
  <c r="M186" i="3" s="1"/>
  <c r="M187" i="3" s="1"/>
  <c r="M188" i="3" s="1"/>
  <c r="M100" i="3"/>
  <c r="M177" i="3" s="1"/>
  <c r="M179" i="3" s="1"/>
  <c r="M180" i="3" s="1"/>
  <c r="M181" i="3" s="1"/>
  <c r="M185" i="3" s="1"/>
  <c r="E103" i="3"/>
  <c r="E102" i="3"/>
  <c r="E101" i="3"/>
  <c r="E100" i="3"/>
  <c r="O509" i="2"/>
  <c r="O508" i="2"/>
  <c r="O507" i="2"/>
  <c r="O505" i="2"/>
  <c r="O504" i="2"/>
  <c r="O503" i="2"/>
  <c r="M509" i="2"/>
  <c r="M562" i="2" s="1"/>
  <c r="M565" i="2" s="1"/>
  <c r="M569" i="2" s="1"/>
  <c r="M570" i="2" s="1"/>
  <c r="M571" i="2" s="1"/>
  <c r="M508" i="2"/>
  <c r="M561" i="2" s="1"/>
  <c r="M564" i="2" s="1"/>
  <c r="M566" i="2" s="1"/>
  <c r="M568" i="2" s="1"/>
  <c r="M507" i="2"/>
  <c r="M556" i="2" s="1"/>
  <c r="M557" i="2" s="1"/>
  <c r="M559" i="2" s="1"/>
  <c r="M560" i="2" s="1"/>
  <c r="M505" i="2"/>
  <c r="M546" i="2" s="1"/>
  <c r="M550" i="2" s="1"/>
  <c r="M554" i="2" s="1"/>
  <c r="M555" i="2" s="1"/>
  <c r="M558" i="2" s="1"/>
  <c r="M504" i="2"/>
  <c r="M536" i="2" s="1"/>
  <c r="M537" i="2" s="1"/>
  <c r="M541" i="2" s="1"/>
  <c r="M543" i="2" s="1"/>
  <c r="M544" i="2" s="1"/>
  <c r="M545" i="2" s="1"/>
  <c r="M503" i="2"/>
  <c r="O506" i="2"/>
  <c r="O502" i="2"/>
  <c r="O501" i="2"/>
  <c r="E509" i="2"/>
  <c r="E508" i="2"/>
  <c r="E507" i="2"/>
  <c r="E506" i="2"/>
  <c r="E501" i="2"/>
  <c r="E502" i="2"/>
  <c r="E503" i="2"/>
  <c r="E504" i="2"/>
  <c r="E505" i="2"/>
  <c r="M533" i="2" l="1"/>
  <c r="M534" i="2" s="1"/>
  <c r="M535" i="2" s="1"/>
  <c r="M540" i="2" s="1"/>
  <c r="M542" i="2" s="1"/>
  <c r="O99" i="3"/>
  <c r="E99" i="3"/>
  <c r="O500" i="2" l="1"/>
  <c r="O498" i="2"/>
  <c r="O499" i="2"/>
  <c r="E498" i="2"/>
  <c r="E499" i="2"/>
  <c r="E500" i="2"/>
  <c r="O98" i="3"/>
  <c r="O97" i="3"/>
  <c r="E98" i="3"/>
  <c r="E97" i="3"/>
  <c r="Q80" i="1"/>
  <c r="R80" i="1"/>
  <c r="P80" i="1" s="1"/>
  <c r="G80" i="1"/>
  <c r="E80" i="1"/>
  <c r="O93" i="3" l="1"/>
  <c r="O94" i="3"/>
  <c r="O95" i="3"/>
  <c r="O96" i="3"/>
  <c r="E94" i="3"/>
  <c r="E95" i="3"/>
  <c r="E96" i="3"/>
  <c r="E93" i="3"/>
  <c r="O490" i="2"/>
  <c r="O491" i="2"/>
  <c r="O492" i="2"/>
  <c r="O493" i="2"/>
  <c r="O494" i="2"/>
  <c r="O495" i="2"/>
  <c r="O496" i="2"/>
  <c r="O497" i="2"/>
  <c r="E497" i="2"/>
  <c r="H497" i="2" s="1"/>
  <c r="H531" i="2" s="1"/>
  <c r="H541" i="2" s="1"/>
  <c r="H558" i="2" s="1"/>
  <c r="H569" i="2" s="1"/>
  <c r="H577" i="2" s="1"/>
  <c r="H593" i="2" s="1"/>
  <c r="H609" i="2" s="1"/>
  <c r="H610" i="2" s="1"/>
  <c r="H631" i="2" s="1"/>
  <c r="H632" i="2" s="1"/>
  <c r="H643" i="2" s="1"/>
  <c r="H656" i="2" s="1"/>
  <c r="H667" i="2" s="1"/>
  <c r="H687" i="2" s="1"/>
  <c r="H707" i="2" s="1"/>
  <c r="H729" i="2" s="1"/>
  <c r="H742" i="2" s="1"/>
  <c r="H757" i="2" s="1"/>
  <c r="H764" i="2" s="1"/>
  <c r="H779" i="2" s="1"/>
  <c r="H798" i="2" s="1"/>
  <c r="H814" i="2" s="1"/>
  <c r="H846" i="2" s="1"/>
  <c r="H857" i="2" s="1"/>
  <c r="H900" i="2" s="1"/>
  <c r="H909" i="2" s="1"/>
  <c r="H928" i="2" s="1"/>
  <c r="H939" i="2" s="1"/>
  <c r="E496" i="2"/>
  <c r="E495" i="2"/>
  <c r="M494" i="2"/>
  <c r="M528" i="2" s="1"/>
  <c r="M529" i="2" s="1"/>
  <c r="M531" i="2" s="1"/>
  <c r="M532" i="2" s="1"/>
  <c r="E494" i="2"/>
  <c r="E493" i="2"/>
  <c r="L493" i="2"/>
  <c r="M493" i="2" s="1"/>
  <c r="M527" i="2" s="1"/>
  <c r="M530" i="2" s="1"/>
  <c r="E492" i="2"/>
  <c r="L491" i="2"/>
  <c r="M491" i="2" s="1"/>
  <c r="M524" i="2" s="1"/>
  <c r="M525" i="2" s="1"/>
  <c r="M526" i="2" s="1"/>
  <c r="E490" i="2"/>
  <c r="E491" i="2"/>
  <c r="R78" i="1"/>
  <c r="P78" i="1" s="1"/>
  <c r="R79" i="1"/>
  <c r="P79" i="1" s="1"/>
  <c r="Q78" i="1"/>
  <c r="Q79" i="1"/>
  <c r="E79" i="1"/>
  <c r="G79" i="1"/>
  <c r="E78" i="1"/>
  <c r="G78" i="1"/>
  <c r="O489" i="2" l="1"/>
  <c r="O488" i="2"/>
  <c r="O487" i="2"/>
  <c r="O485" i="2"/>
  <c r="O486" i="2"/>
  <c r="E489" i="2"/>
  <c r="H489" i="2" s="1"/>
  <c r="H513" i="2" s="1"/>
  <c r="H514" i="2" s="1"/>
  <c r="H532" i="2" s="1"/>
  <c r="H533" i="2" s="1"/>
  <c r="H560" i="2" s="1"/>
  <c r="H561" i="2" s="1"/>
  <c r="H580" i="2" s="1"/>
  <c r="H581" i="2" s="1"/>
  <c r="H582" i="2" s="1"/>
  <c r="H613" i="2" s="1"/>
  <c r="E488" i="2"/>
  <c r="E487" i="2"/>
  <c r="E486" i="2"/>
  <c r="E485" i="2"/>
  <c r="Q77" i="1"/>
  <c r="R77" i="1"/>
  <c r="P77" i="1" s="1"/>
  <c r="E77" i="1"/>
  <c r="G77" i="1"/>
  <c r="O92" i="3"/>
  <c r="O91" i="3"/>
  <c r="O90" i="3"/>
  <c r="O89" i="3"/>
  <c r="E92" i="3"/>
  <c r="E91" i="3"/>
  <c r="E90" i="3"/>
  <c r="E89" i="3"/>
  <c r="O484" i="2"/>
  <c r="E484" i="2"/>
  <c r="O476" i="2" l="1"/>
  <c r="O477" i="2"/>
  <c r="O478" i="2"/>
  <c r="O479" i="2"/>
  <c r="O480" i="2"/>
  <c r="O481" i="2"/>
  <c r="O482" i="2"/>
  <c r="O483" i="2"/>
  <c r="E483" i="2"/>
  <c r="E482" i="2"/>
  <c r="O84" i="3" l="1"/>
  <c r="E84" i="3"/>
  <c r="L481" i="2" l="1"/>
  <c r="M481" i="2" s="1"/>
  <c r="M522" i="2" s="1"/>
  <c r="M523" i="2" s="1"/>
  <c r="L480" i="2"/>
  <c r="M480" i="2" s="1"/>
  <c r="M520" i="2" s="1"/>
  <c r="M521" i="2" s="1"/>
  <c r="M479" i="2"/>
  <c r="M514" i="2" s="1"/>
  <c r="M517" i="2" s="1"/>
  <c r="M518" i="2" s="1"/>
  <c r="M519" i="2" s="1"/>
  <c r="E481" i="2"/>
  <c r="E480" i="2"/>
  <c r="E479" i="2"/>
  <c r="M478" i="2"/>
  <c r="M512" i="2" s="1"/>
  <c r="M513" i="2" s="1"/>
  <c r="M516" i="2" s="1"/>
  <c r="M477" i="2"/>
  <c r="M502" i="2" s="1"/>
  <c r="M506" i="2" s="1"/>
  <c r="M510" i="2" s="1"/>
  <c r="M511" i="2" s="1"/>
  <c r="M476" i="2"/>
  <c r="M495" i="2" s="1"/>
  <c r="M498" i="2" s="1"/>
  <c r="M500" i="2" s="1"/>
  <c r="M501" i="2" s="1"/>
  <c r="E476" i="2"/>
  <c r="E477" i="2"/>
  <c r="E478" i="2"/>
  <c r="O82" i="3"/>
  <c r="O83" i="3"/>
  <c r="O85" i="3"/>
  <c r="O86" i="3"/>
  <c r="O87" i="3"/>
  <c r="O88" i="3"/>
  <c r="E85" i="3"/>
  <c r="E82" i="3" l="1"/>
  <c r="E83" i="3"/>
  <c r="M88" i="3" l="1"/>
  <c r="M171" i="3" s="1"/>
  <c r="M172" i="3" s="1"/>
  <c r="M173" i="3" s="1"/>
  <c r="M178" i="3" s="1"/>
  <c r="M198" i="3" s="1"/>
  <c r="M87" i="3"/>
  <c r="M168" i="3" s="1"/>
  <c r="M169" i="3" s="1"/>
  <c r="M170" i="3" s="1"/>
  <c r="M197" i="3" s="1"/>
  <c r="M86" i="3"/>
  <c r="M162" i="3" s="1"/>
  <c r="M163" i="3" s="1"/>
  <c r="M165" i="3" s="1"/>
  <c r="M166" i="3" s="1"/>
  <c r="M167" i="3" s="1"/>
  <c r="M196" i="3" s="1"/>
  <c r="E86" i="3"/>
  <c r="E87" i="3"/>
  <c r="E88" i="3"/>
  <c r="O471" i="2" l="1"/>
  <c r="O472" i="2"/>
  <c r="O473" i="2"/>
  <c r="O474" i="2"/>
  <c r="O475" i="2"/>
  <c r="E474" i="2"/>
  <c r="E475" i="2"/>
  <c r="E472" i="2"/>
  <c r="E473" i="2"/>
  <c r="E471" i="2"/>
  <c r="O80" i="3"/>
  <c r="O81" i="3"/>
  <c r="E80" i="3"/>
  <c r="E81" i="3"/>
  <c r="R74" i="1" l="1"/>
  <c r="P74" i="1" s="1"/>
  <c r="R75" i="1"/>
  <c r="P75" i="1" s="1"/>
  <c r="R76" i="1"/>
  <c r="P76" i="1" s="1"/>
  <c r="Q74" i="1"/>
  <c r="Q75" i="1"/>
  <c r="Q76" i="1"/>
  <c r="G74" i="1"/>
  <c r="G75" i="1"/>
  <c r="G76" i="1"/>
  <c r="E74" i="1"/>
  <c r="E75" i="1"/>
  <c r="E76" i="1"/>
  <c r="N76" i="1"/>
  <c r="N94" i="1" s="1"/>
  <c r="N95" i="1" s="1"/>
  <c r="N96" i="1" s="1"/>
  <c r="N100" i="1" s="1"/>
  <c r="N75" i="1"/>
  <c r="N89" i="1" s="1"/>
  <c r="N90" i="1" s="1"/>
  <c r="N91" i="1" s="1"/>
  <c r="N93" i="1" s="1"/>
  <c r="O463" i="2" l="1"/>
  <c r="O464" i="2"/>
  <c r="O465" i="2"/>
  <c r="O466" i="2"/>
  <c r="O467" i="2"/>
  <c r="O468" i="2"/>
  <c r="O469" i="2"/>
  <c r="O470" i="2"/>
  <c r="E470" i="2"/>
  <c r="E469" i="2"/>
  <c r="E468" i="2"/>
  <c r="E467" i="2"/>
  <c r="E466" i="2"/>
  <c r="E465" i="2"/>
  <c r="E464" i="2"/>
  <c r="E463" i="2"/>
  <c r="R72" i="1" l="1"/>
  <c r="P72" i="1" s="1"/>
  <c r="R73" i="1"/>
  <c r="P73" i="1" s="1"/>
  <c r="Q72" i="1"/>
  <c r="Q73" i="1"/>
  <c r="O76" i="3"/>
  <c r="O77" i="3"/>
  <c r="O78" i="3"/>
  <c r="O79" i="3"/>
  <c r="E79" i="3" l="1"/>
  <c r="E78" i="3"/>
  <c r="E77" i="3"/>
  <c r="E76" i="3"/>
  <c r="G72" i="1" l="1"/>
  <c r="G73" i="1"/>
  <c r="E72" i="1"/>
  <c r="E73" i="1"/>
  <c r="O461" i="2" l="1"/>
  <c r="O462" i="2"/>
  <c r="E461" i="2" l="1"/>
  <c r="E462" i="2"/>
  <c r="O450" i="2" l="1"/>
  <c r="O451" i="2"/>
  <c r="O452" i="2"/>
  <c r="O453" i="2"/>
  <c r="O454" i="2"/>
  <c r="O455" i="2"/>
  <c r="O456" i="2"/>
  <c r="O457" i="2"/>
  <c r="O458" i="2"/>
  <c r="O459" i="2"/>
  <c r="O460" i="2"/>
  <c r="E455" i="2"/>
  <c r="H455" i="2" s="1"/>
  <c r="H474" i="2" s="1"/>
  <c r="H475" i="2" s="1"/>
  <c r="H501" i="2" s="1"/>
  <c r="H502" i="2" s="1"/>
  <c r="H882" i="2" s="1"/>
  <c r="H886" i="2" s="1"/>
  <c r="H887" i="2" s="1"/>
  <c r="H892" i="2" s="1"/>
  <c r="H895" i="2" s="1"/>
  <c r="H907" i="2" s="1"/>
  <c r="H910" i="2" s="1"/>
  <c r="H920" i="2" s="1"/>
  <c r="H921" i="2" s="1"/>
  <c r="H932" i="2" s="1"/>
  <c r="H933" i="2" s="1"/>
  <c r="H945" i="2" s="1"/>
  <c r="R71" i="1"/>
  <c r="P71" i="1" s="1"/>
  <c r="Q71" i="1"/>
  <c r="E460" i="2" l="1"/>
  <c r="E459" i="2"/>
  <c r="H459" i="2" s="1"/>
  <c r="H467" i="2" s="1"/>
  <c r="H482" i="2" s="1"/>
  <c r="H495" i="2" s="1"/>
  <c r="H519" i="2" s="1"/>
  <c r="H520" i="2" s="1"/>
  <c r="H530" i="2" s="1"/>
  <c r="H540" i="2" s="1"/>
  <c r="H557" i="2" s="1"/>
  <c r="H568" i="2" s="1"/>
  <c r="H576" i="2" s="1"/>
  <c r="H592" i="2" s="1"/>
  <c r="H607" i="2" s="1"/>
  <c r="E458" i="2"/>
  <c r="E456" i="2"/>
  <c r="E457" i="2"/>
  <c r="E453" i="2"/>
  <c r="E454" i="2"/>
  <c r="E452" i="2"/>
  <c r="E451" i="2"/>
  <c r="E450" i="2"/>
  <c r="O74" i="3"/>
  <c r="O75" i="3"/>
  <c r="G71" i="1"/>
  <c r="E71" i="1"/>
  <c r="O442" i="2" l="1"/>
  <c r="O443" i="2"/>
  <c r="O444" i="2"/>
  <c r="O445" i="2"/>
  <c r="O446" i="2"/>
  <c r="O447" i="2"/>
  <c r="O448" i="2"/>
  <c r="O449" i="2"/>
  <c r="M449" i="2"/>
  <c r="M483" i="2" s="1"/>
  <c r="M485" i="2" s="1"/>
  <c r="M487" i="2" s="1"/>
  <c r="M488" i="2" s="1"/>
  <c r="M448" i="2"/>
  <c r="M471" i="2" s="1"/>
  <c r="M473" i="2" s="1"/>
  <c r="M475" i="2" s="1"/>
  <c r="M482" i="2" s="1"/>
  <c r="M484" i="2" s="1"/>
  <c r="M486" i="2" s="1"/>
  <c r="M447" i="2"/>
  <c r="M463" i="2" s="1"/>
  <c r="M465" i="2" s="1"/>
  <c r="M466" i="2" s="1"/>
  <c r="M470" i="2" s="1"/>
  <c r="M472" i="2" s="1"/>
  <c r="M446" i="2"/>
  <c r="M462" i="2" s="1"/>
  <c r="M464" i="2" s="1"/>
  <c r="M468" i="2" s="1"/>
  <c r="M474" i="2" s="1"/>
  <c r="E446" i="2"/>
  <c r="E447" i="2"/>
  <c r="E448" i="2"/>
  <c r="E449" i="2"/>
  <c r="M445" i="2"/>
  <c r="M489" i="2" s="1"/>
  <c r="M490" i="2" s="1"/>
  <c r="M492" i="2" s="1"/>
  <c r="M496" i="2" s="1"/>
  <c r="M497" i="2" s="1"/>
  <c r="M499" i="2" s="1"/>
  <c r="E444" i="2"/>
  <c r="E445" i="2"/>
  <c r="O68" i="3"/>
  <c r="O69" i="3"/>
  <c r="O70" i="3"/>
  <c r="O71" i="3"/>
  <c r="O72" i="3"/>
  <c r="O73" i="3"/>
  <c r="E75" i="3"/>
  <c r="E74" i="3"/>
  <c r="H74" i="3" s="1"/>
  <c r="E71" i="3"/>
  <c r="E72" i="3"/>
  <c r="E73" i="3"/>
  <c r="M70" i="3"/>
  <c r="M73" i="3" s="1"/>
  <c r="M151" i="3" s="1"/>
  <c r="M153" i="3" s="1"/>
  <c r="M154" i="3" s="1"/>
  <c r="M158" i="3" s="1"/>
  <c r="M164" i="3" s="1"/>
  <c r="M403" i="3" s="1"/>
  <c r="M69" i="3"/>
  <c r="M72" i="3" s="1"/>
  <c r="M149" i="3" s="1"/>
  <c r="M150" i="3" s="1"/>
  <c r="M152" i="3" s="1"/>
  <c r="M394" i="3" s="1"/>
  <c r="E68" i="3"/>
  <c r="E69" i="3"/>
  <c r="E70" i="3"/>
  <c r="H75" i="3" l="1"/>
  <c r="H108" i="3" s="1"/>
  <c r="H109" i="3" s="1"/>
  <c r="H110" i="3" s="1"/>
  <c r="H144" i="3" s="1"/>
  <c r="H183" i="3" s="1"/>
  <c r="H184" i="3" s="1"/>
  <c r="H243" i="3" s="1"/>
  <c r="H244" i="3" s="1"/>
  <c r="H348" i="3" s="1"/>
  <c r="H349" i="3" s="1"/>
  <c r="H350" i="3" s="1"/>
  <c r="H351" i="3" s="1"/>
  <c r="H391" i="3" s="1"/>
  <c r="H392" i="3" s="1"/>
  <c r="H393" i="3" s="1"/>
  <c r="H394" i="3" s="1"/>
  <c r="H403" i="3" s="1"/>
  <c r="E442" i="2"/>
  <c r="E443" i="2"/>
  <c r="O438" i="2" l="1"/>
  <c r="O439" i="2"/>
  <c r="O440" i="2"/>
  <c r="O441" i="2"/>
  <c r="E441" i="2" l="1"/>
  <c r="O66" i="3" l="1"/>
  <c r="O67" i="3"/>
  <c r="E66" i="3"/>
  <c r="E67" i="3"/>
  <c r="E439" i="2"/>
  <c r="E440" i="2"/>
  <c r="E438" i="2"/>
  <c r="R69" i="1" l="1"/>
  <c r="P69" i="1" s="1"/>
  <c r="R70" i="1"/>
  <c r="P70" i="1" s="1"/>
  <c r="Q69" i="1"/>
  <c r="Q70" i="1"/>
  <c r="N70" i="1"/>
  <c r="N83" i="1" s="1"/>
  <c r="N84" i="1" s="1"/>
  <c r="N85" i="1" s="1"/>
  <c r="N88" i="1" s="1"/>
  <c r="G69" i="1"/>
  <c r="G70" i="1"/>
  <c r="E69" i="1"/>
  <c r="E70" i="1"/>
  <c r="O59" i="3" l="1"/>
  <c r="O60" i="3"/>
  <c r="O61" i="3"/>
  <c r="O62" i="3"/>
  <c r="O63" i="3"/>
  <c r="O64" i="3"/>
  <c r="O65" i="3"/>
  <c r="O434" i="2" l="1"/>
  <c r="O435" i="2"/>
  <c r="O436" i="2"/>
  <c r="O437" i="2"/>
  <c r="E436" i="2"/>
  <c r="E437" i="2"/>
  <c r="E435" i="2"/>
  <c r="E63" i="3" l="1"/>
  <c r="E434" i="2" l="1"/>
  <c r="R68" i="1"/>
  <c r="P68" i="1" s="1"/>
  <c r="Q68" i="1"/>
  <c r="G68" i="1"/>
  <c r="E68" i="1"/>
  <c r="E62" i="3"/>
  <c r="E64" i="3"/>
  <c r="E65" i="3"/>
  <c r="M61" i="3" l="1"/>
  <c r="M65" i="3" s="1"/>
  <c r="M142" i="3" s="1"/>
  <c r="M145" i="3" s="1"/>
  <c r="M148" i="3" s="1"/>
  <c r="M393" i="3" s="1"/>
  <c r="E60" i="3"/>
  <c r="E61" i="3"/>
  <c r="E59" i="3" l="1"/>
  <c r="O431" i="2"/>
  <c r="O432" i="2"/>
  <c r="O433" i="2"/>
  <c r="L396" i="2"/>
  <c r="M396" i="2" s="1"/>
  <c r="M433" i="2" s="1"/>
  <c r="M434" i="2" s="1"/>
  <c r="M435" i="2" s="1"/>
  <c r="M438" i="2" s="1"/>
  <c r="M439" i="2" s="1"/>
  <c r="E431" i="2"/>
  <c r="E432" i="2"/>
  <c r="E433" i="2"/>
  <c r="O56" i="3" l="1"/>
  <c r="O57" i="3"/>
  <c r="O58" i="3"/>
  <c r="O427" i="2"/>
  <c r="O428" i="2"/>
  <c r="O429" i="2"/>
  <c r="O430" i="2"/>
  <c r="E429" i="2"/>
  <c r="E430" i="2" l="1"/>
  <c r="E428" i="2"/>
  <c r="E427" i="2"/>
  <c r="E58" i="3"/>
  <c r="E57" i="3" l="1"/>
  <c r="E56" i="3"/>
  <c r="R66" i="1"/>
  <c r="P66" i="1" s="1"/>
  <c r="R67" i="1"/>
  <c r="P67" i="1" s="1"/>
  <c r="Q66" i="1"/>
  <c r="Q67" i="1"/>
  <c r="G67" i="1"/>
  <c r="E67" i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G66" i="1"/>
  <c r="E66" i="1"/>
  <c r="L420" i="2" l="1"/>
  <c r="M420" i="2" s="1"/>
  <c r="M450" i="2" s="1"/>
  <c r="M454" i="2" s="1"/>
  <c r="M456" i="2" s="1"/>
  <c r="L424" i="2"/>
  <c r="L423" i="2"/>
  <c r="L422" i="2"/>
  <c r="L395" i="2"/>
  <c r="L394" i="2"/>
  <c r="O415" i="2" l="1"/>
  <c r="O416" i="2"/>
  <c r="O417" i="2"/>
  <c r="O418" i="2"/>
  <c r="O419" i="2"/>
  <c r="O420" i="2"/>
  <c r="O421" i="2"/>
  <c r="O422" i="2"/>
  <c r="O423" i="2"/>
  <c r="O424" i="2"/>
  <c r="O425" i="2"/>
  <c r="O426" i="2"/>
  <c r="O50" i="3"/>
  <c r="O51" i="3"/>
  <c r="O52" i="3"/>
  <c r="O53" i="3"/>
  <c r="O54" i="3"/>
  <c r="O55" i="3"/>
  <c r="M52" i="3"/>
  <c r="M55" i="3" s="1"/>
  <c r="M135" i="3" s="1"/>
  <c r="M136" i="3" s="1"/>
  <c r="M141" i="3" s="1"/>
  <c r="M143" i="3" s="1"/>
  <c r="M392" i="3" s="1"/>
  <c r="M51" i="3"/>
  <c r="M54" i="3" s="1"/>
  <c r="M132" i="3" s="1"/>
  <c r="M133" i="3" s="1"/>
  <c r="M134" i="3" s="1"/>
  <c r="M391" i="3" s="1"/>
  <c r="M50" i="3"/>
  <c r="M53" i="3" s="1"/>
  <c r="M123" i="3" s="1"/>
  <c r="M126" i="3" s="1"/>
  <c r="M131" i="3" s="1"/>
  <c r="M351" i="3" s="1"/>
  <c r="E53" i="3"/>
  <c r="E54" i="3"/>
  <c r="E55" i="3"/>
  <c r="E50" i="3"/>
  <c r="E51" i="3"/>
  <c r="E52" i="3"/>
  <c r="M424" i="2"/>
  <c r="M452" i="2" s="1"/>
  <c r="M453" i="2" s="1"/>
  <c r="M458" i="2" s="1"/>
  <c r="M459" i="2" s="1"/>
  <c r="M423" i="2"/>
  <c r="M443" i="2" s="1"/>
  <c r="M451" i="2" s="1"/>
  <c r="M460" i="2" s="1"/>
  <c r="M422" i="2"/>
  <c r="M440" i="2" s="1"/>
  <c r="M441" i="2" s="1"/>
  <c r="M442" i="2" s="1"/>
  <c r="M444" i="2" s="1"/>
  <c r="E424" i="2"/>
  <c r="O414" i="2"/>
  <c r="E426" i="2"/>
  <c r="E425" i="2"/>
  <c r="E423" i="2"/>
  <c r="E422" i="2"/>
  <c r="H422" i="2" s="1"/>
  <c r="M421" i="2"/>
  <c r="M455" i="2" s="1"/>
  <c r="M457" i="2" s="1"/>
  <c r="M461" i="2" s="1"/>
  <c r="M467" i="2" s="1"/>
  <c r="M469" i="2" s="1"/>
  <c r="E419" i="2"/>
  <c r="E420" i="2"/>
  <c r="E421" i="2"/>
  <c r="H423" i="2" l="1"/>
  <c r="H424" i="2" s="1"/>
  <c r="H435" i="2" s="1"/>
  <c r="H446" i="2" s="1"/>
  <c r="H447" i="2" s="1"/>
  <c r="H448" i="2" s="1"/>
  <c r="H449" i="2" s="1"/>
  <c r="H466" i="2" s="1"/>
  <c r="H479" i="2" s="1"/>
  <c r="H480" i="2" s="1"/>
  <c r="H481" i="2" s="1"/>
  <c r="H493" i="2" s="1"/>
  <c r="H494" i="2" s="1"/>
  <c r="H507" i="2" s="1"/>
  <c r="H508" i="2" s="1"/>
  <c r="H509" i="2" s="1"/>
  <c r="H515" i="2" s="1"/>
  <c r="H521" i="2" s="1"/>
  <c r="H525" i="2" s="1"/>
  <c r="H537" i="2" s="1"/>
  <c r="H538" i="2" s="1"/>
  <c r="H539" i="2" s="1"/>
  <c r="H551" i="2" s="1"/>
  <c r="H552" i="2" s="1"/>
  <c r="H553" i="2" s="1"/>
  <c r="H566" i="2" s="1"/>
  <c r="H567" i="2" s="1"/>
  <c r="H573" i="2" s="1"/>
  <c r="H574" i="2" s="1"/>
  <c r="H575" i="2" s="1"/>
  <c r="O48" i="3"/>
  <c r="O49" i="3"/>
  <c r="E48" i="3"/>
  <c r="E49" i="3"/>
  <c r="E418" i="2" l="1"/>
  <c r="E415" i="2"/>
  <c r="E414" i="2"/>
  <c r="R63" i="1"/>
  <c r="P63" i="1" s="1"/>
  <c r="R64" i="1"/>
  <c r="P64" i="1" s="1"/>
  <c r="R65" i="1"/>
  <c r="P65" i="1" s="1"/>
  <c r="Q63" i="1"/>
  <c r="Q64" i="1"/>
  <c r="Q65" i="1"/>
  <c r="G65" i="1"/>
  <c r="E65" i="1"/>
  <c r="O407" i="2" l="1"/>
  <c r="O408" i="2"/>
  <c r="O409" i="2"/>
  <c r="O410" i="2"/>
  <c r="O411" i="2"/>
  <c r="O412" i="2"/>
  <c r="O413" i="2"/>
  <c r="L368" i="2"/>
  <c r="E416" i="2"/>
  <c r="E417" i="2"/>
  <c r="G63" i="1" l="1"/>
  <c r="G64" i="1"/>
  <c r="E63" i="1"/>
  <c r="E64" i="1"/>
  <c r="O46" i="3"/>
  <c r="O47" i="3"/>
  <c r="M46" i="3"/>
  <c r="M47" i="3" s="1"/>
  <c r="M121" i="3" s="1"/>
  <c r="M122" i="3" s="1"/>
  <c r="M124" i="3" s="1"/>
  <c r="M125" i="3" s="1"/>
  <c r="M350" i="3" s="1"/>
  <c r="E46" i="3"/>
  <c r="E47" i="3"/>
  <c r="E413" i="2"/>
  <c r="E412" i="2"/>
  <c r="E411" i="2"/>
  <c r="E409" i="2"/>
  <c r="E410" i="2"/>
  <c r="E408" i="2"/>
  <c r="E407" i="2"/>
  <c r="O406" i="2" l="1"/>
  <c r="O405" i="2"/>
  <c r="O404" i="2"/>
  <c r="O403" i="2"/>
  <c r="O402" i="2"/>
  <c r="O401" i="2"/>
  <c r="O400" i="2"/>
  <c r="O399" i="2"/>
  <c r="E406" i="2"/>
  <c r="H406" i="2" s="1"/>
  <c r="H469" i="2" s="1"/>
  <c r="H470" i="2" s="1"/>
  <c r="H542" i="2" s="1"/>
  <c r="H545" i="2" s="1"/>
  <c r="H546" i="2" s="1"/>
  <c r="H559" i="2" s="1"/>
  <c r="H583" i="2" s="1"/>
  <c r="H584" i="2" s="1"/>
  <c r="H597" i="2" s="1"/>
  <c r="H598" i="2" s="1"/>
  <c r="H644" i="2" s="1"/>
  <c r="H657" i="2" s="1"/>
  <c r="H668" i="2" s="1"/>
  <c r="H688" i="2" s="1"/>
  <c r="H689" i="2" s="1"/>
  <c r="H697" i="2" s="1"/>
  <c r="H708" i="2" s="1"/>
  <c r="H718" i="2" s="1"/>
  <c r="H730" i="2" s="1"/>
  <c r="H743" i="2" s="1"/>
  <c r="H758" i="2" s="1"/>
  <c r="H765" i="2" s="1"/>
  <c r="H766" i="2" s="1"/>
  <c r="H780" i="2" s="1"/>
  <c r="H789" i="2" s="1"/>
  <c r="H801" i="2" s="1"/>
  <c r="H815" i="2" s="1"/>
  <c r="H816" i="2" s="1"/>
  <c r="H825" i="2" s="1"/>
  <c r="H836" i="2" s="1"/>
  <c r="H847" i="2" s="1"/>
  <c r="H858" i="2" s="1"/>
  <c r="H861" i="2" s="1"/>
  <c r="H881" i="2" s="1"/>
  <c r="H888" i="2" s="1"/>
  <c r="H904" i="2" s="1"/>
  <c r="H917" i="2" s="1"/>
  <c r="H929" i="2" s="1"/>
  <c r="H940" i="2" s="1"/>
  <c r="H941" i="2" s="1"/>
  <c r="H956" i="2" s="1"/>
  <c r="H957" i="2" s="1"/>
  <c r="H972" i="2" s="1"/>
  <c r="H973" i="2" s="1"/>
  <c r="H988" i="2" s="1"/>
  <c r="H999" i="2" s="1"/>
  <c r="H1012" i="2" s="1"/>
  <c r="H1022" i="2" s="1"/>
  <c r="H1036" i="2" s="1"/>
  <c r="H1046" i="2" s="1"/>
  <c r="E404" i="2"/>
  <c r="E405" i="2"/>
  <c r="E403" i="2"/>
  <c r="E402" i="2"/>
  <c r="E401" i="2"/>
  <c r="E400" i="2"/>
  <c r="E399" i="2"/>
  <c r="R62" i="1" l="1"/>
  <c r="P62" i="1" s="1"/>
  <c r="Q62" i="1"/>
  <c r="G62" i="1"/>
  <c r="E62" i="1"/>
  <c r="L364" i="2" l="1"/>
  <c r="O389" i="2" l="1"/>
  <c r="O390" i="2"/>
  <c r="O391" i="2"/>
  <c r="O392" i="2"/>
  <c r="O393" i="2"/>
  <c r="O394" i="2"/>
  <c r="O395" i="2"/>
  <c r="O396" i="2"/>
  <c r="O397" i="2"/>
  <c r="O398" i="2"/>
  <c r="E390" i="2" l="1"/>
  <c r="M395" i="2"/>
  <c r="M432" i="2" s="1"/>
  <c r="M394" i="2"/>
  <c r="M429" i="2" s="1"/>
  <c r="M430" i="2" s="1"/>
  <c r="M431" i="2" s="1"/>
  <c r="M436" i="2" s="1"/>
  <c r="E396" i="2"/>
  <c r="E395" i="2"/>
  <c r="E398" i="2"/>
  <c r="E397" i="2"/>
  <c r="E394" i="2"/>
  <c r="M393" i="2"/>
  <c r="M418" i="2" s="1"/>
  <c r="M419" i="2" s="1"/>
  <c r="M426" i="2" s="1"/>
  <c r="M428" i="2" s="1"/>
  <c r="M437" i="2" s="1"/>
  <c r="M392" i="2"/>
  <c r="M415" i="2" s="1"/>
  <c r="M417" i="2" s="1"/>
  <c r="M425" i="2" s="1"/>
  <c r="M427" i="2" s="1"/>
  <c r="E391" i="2"/>
  <c r="E392" i="2"/>
  <c r="E393" i="2"/>
  <c r="E389" i="2"/>
  <c r="O42" i="3"/>
  <c r="O43" i="3"/>
  <c r="O44" i="3"/>
  <c r="O45" i="3"/>
  <c r="E44" i="3"/>
  <c r="E45" i="3"/>
  <c r="M43" i="3"/>
  <c r="M45" i="3" s="1"/>
  <c r="M119" i="3" s="1"/>
  <c r="M120" i="3" s="1"/>
  <c r="M349" i="3" s="1"/>
  <c r="M42" i="3"/>
  <c r="M44" i="3" s="1"/>
  <c r="M113" i="3" s="1"/>
  <c r="M117" i="3" s="1"/>
  <c r="M118" i="3" s="1"/>
  <c r="M348" i="3" s="1"/>
  <c r="E42" i="3"/>
  <c r="E43" i="3"/>
  <c r="O384" i="2" l="1"/>
  <c r="O385" i="2"/>
  <c r="O386" i="2"/>
  <c r="O387" i="2"/>
  <c r="O388" i="2"/>
  <c r="E388" i="2"/>
  <c r="O383" i="2" l="1"/>
  <c r="E383" i="2"/>
  <c r="R60" i="1"/>
  <c r="P60" i="1" s="1"/>
  <c r="R61" i="1"/>
  <c r="P61" i="1" s="1"/>
  <c r="Q60" i="1"/>
  <c r="Q61" i="1"/>
  <c r="N61" i="1"/>
  <c r="N79" i="1" s="1"/>
  <c r="N80" i="1" s="1"/>
  <c r="N81" i="1" s="1"/>
  <c r="N82" i="1" s="1"/>
  <c r="G61" i="1"/>
  <c r="E61" i="1"/>
  <c r="E387" i="2"/>
  <c r="E386" i="2"/>
  <c r="E385" i="2"/>
  <c r="E384" i="2"/>
  <c r="G60" i="1"/>
  <c r="E60" i="1"/>
  <c r="R58" i="1" l="1"/>
  <c r="P58" i="1" s="1"/>
  <c r="R59" i="1"/>
  <c r="P59" i="1" s="1"/>
  <c r="Q58" i="1"/>
  <c r="Q59" i="1"/>
  <c r="O40" i="3" l="1"/>
  <c r="O41" i="3"/>
  <c r="O379" i="2"/>
  <c r="O380" i="2"/>
  <c r="O381" i="2"/>
  <c r="O382" i="2"/>
  <c r="E382" i="2"/>
  <c r="E381" i="2"/>
  <c r="E380" i="2"/>
  <c r="E379" i="2"/>
  <c r="E41" i="3" l="1"/>
  <c r="M40" i="3"/>
  <c r="M41" i="3" s="1"/>
  <c r="M112" i="3" s="1"/>
  <c r="M115" i="3" s="1"/>
  <c r="M116" i="3" s="1"/>
  <c r="M244" i="3" s="1"/>
  <c r="E40" i="3"/>
  <c r="G58" i="1"/>
  <c r="G59" i="1"/>
  <c r="E58" i="1"/>
  <c r="E59" i="1"/>
  <c r="O376" i="2" l="1"/>
  <c r="O377" i="2"/>
  <c r="O378" i="2"/>
  <c r="E378" i="2" l="1"/>
  <c r="E376" i="2"/>
  <c r="E377" i="2"/>
  <c r="O38" i="3" l="1"/>
  <c r="O39" i="3"/>
  <c r="O369" i="2"/>
  <c r="O370" i="2"/>
  <c r="O371" i="2"/>
  <c r="O372" i="2"/>
  <c r="O373" i="2"/>
  <c r="O374" i="2"/>
  <c r="O375" i="2"/>
  <c r="E39" i="3" l="1"/>
  <c r="E374" i="2" l="1"/>
  <c r="E375" i="2"/>
  <c r="E373" i="2"/>
  <c r="E372" i="2"/>
  <c r="E371" i="2"/>
  <c r="E370" i="2"/>
  <c r="E38" i="3"/>
  <c r="E369" i="2"/>
  <c r="R57" i="1"/>
  <c r="P57" i="1" s="1"/>
  <c r="Q57" i="1"/>
  <c r="G57" i="1"/>
  <c r="E57" i="1"/>
  <c r="O37" i="3" l="1"/>
  <c r="O36" i="3"/>
  <c r="M37" i="3"/>
  <c r="M39" i="3" s="1"/>
  <c r="M105" i="3" s="1"/>
  <c r="M107" i="3" s="1"/>
  <c r="M111" i="3" s="1"/>
  <c r="M114" i="3" s="1"/>
  <c r="M243" i="3" s="1"/>
  <c r="M36" i="3"/>
  <c r="M38" i="3" s="1"/>
  <c r="M96" i="3" s="1"/>
  <c r="M104" i="3" s="1"/>
  <c r="M106" i="3" s="1"/>
  <c r="M184" i="3" s="1"/>
  <c r="E36" i="3"/>
  <c r="E37" i="3"/>
  <c r="O368" i="2"/>
  <c r="O367" i="2"/>
  <c r="O366" i="2"/>
  <c r="O365" i="2"/>
  <c r="O364" i="2"/>
  <c r="O363" i="2"/>
  <c r="O362" i="2"/>
  <c r="O361" i="2"/>
  <c r="M368" i="2"/>
  <c r="M410" i="2" s="1"/>
  <c r="M411" i="2" s="1"/>
  <c r="M414" i="2" s="1"/>
  <c r="M416" i="2" s="1"/>
  <c r="M367" i="2"/>
  <c r="M401" i="2" s="1"/>
  <c r="M405" i="2" s="1"/>
  <c r="M406" i="2" s="1"/>
  <c r="M409" i="2" s="1"/>
  <c r="M413" i="2" s="1"/>
  <c r="E367" i="2"/>
  <c r="E368" i="2"/>
  <c r="L366" i="2"/>
  <c r="M366" i="2" s="1"/>
  <c r="M403" i="2" s="1"/>
  <c r="M407" i="2" s="1"/>
  <c r="M408" i="2" s="1"/>
  <c r="E366" i="2"/>
  <c r="L365" i="2"/>
  <c r="M365" i="2" s="1"/>
  <c r="M400" i="2" s="1"/>
  <c r="M402" i="2" s="1"/>
  <c r="M404" i="2" s="1"/>
  <c r="M364" i="2"/>
  <c r="M390" i="2" s="1"/>
  <c r="M399" i="2" s="1"/>
  <c r="M412" i="2" s="1"/>
  <c r="M363" i="2"/>
  <c r="M388" i="2" s="1"/>
  <c r="M389" i="2" s="1"/>
  <c r="M391" i="2" s="1"/>
  <c r="M398" i="2" s="1"/>
  <c r="E363" i="2"/>
  <c r="E364" i="2"/>
  <c r="E365" i="2"/>
  <c r="E362" i="2"/>
  <c r="E361" i="2"/>
  <c r="O356" i="2" l="1"/>
  <c r="O357" i="2"/>
  <c r="O358" i="2"/>
  <c r="O359" i="2"/>
  <c r="O360" i="2"/>
  <c r="E359" i="2" l="1"/>
  <c r="E360" i="2"/>
  <c r="E358" i="2"/>
  <c r="E356" i="2"/>
  <c r="E357" i="2"/>
  <c r="R55" i="1"/>
  <c r="P55" i="1" s="1"/>
  <c r="R56" i="1"/>
  <c r="P56" i="1" s="1"/>
  <c r="Q55" i="1"/>
  <c r="Q56" i="1"/>
  <c r="N56" i="1"/>
  <c r="N73" i="1" s="1"/>
  <c r="N74" i="1" s="1"/>
  <c r="N77" i="1" s="1"/>
  <c r="N78" i="1" s="1"/>
  <c r="G55" i="1"/>
  <c r="G56" i="1"/>
  <c r="E55" i="1"/>
  <c r="E56" i="1"/>
  <c r="O34" i="3" l="1"/>
  <c r="O35" i="3"/>
  <c r="O350" i="2" l="1"/>
  <c r="O351" i="2"/>
  <c r="O352" i="2"/>
  <c r="O353" i="2"/>
  <c r="O354" i="2"/>
  <c r="O355" i="2"/>
  <c r="E353" i="2" l="1"/>
  <c r="E352" i="2"/>
  <c r="E350" i="2"/>
  <c r="E351" i="2"/>
  <c r="E35" i="3" l="1"/>
  <c r="E34" i="3"/>
  <c r="R53" i="1" l="1"/>
  <c r="P53" i="1" s="1"/>
  <c r="R54" i="1"/>
  <c r="P54" i="1" s="1"/>
  <c r="Q53" i="1"/>
  <c r="Q54" i="1"/>
  <c r="G53" i="1"/>
  <c r="G54" i="1"/>
  <c r="E53" i="1"/>
  <c r="E54" i="1"/>
  <c r="O348" i="2" l="1"/>
  <c r="O349" i="2"/>
  <c r="L308" i="2" l="1"/>
  <c r="M308" i="2" s="1"/>
  <c r="M360" i="2" s="1"/>
  <c r="M361" i="2" s="1"/>
  <c r="L307" i="2"/>
  <c r="M307" i="2" s="1"/>
  <c r="M357" i="2" s="1"/>
  <c r="M358" i="2" s="1"/>
  <c r="M359" i="2" s="1"/>
  <c r="L276" i="2"/>
  <c r="M276" i="2" s="1"/>
  <c r="L275" i="2"/>
  <c r="M275" i="2" s="1"/>
  <c r="L274" i="2"/>
  <c r="M274" i="2" s="1"/>
  <c r="L334" i="2"/>
  <c r="L336" i="2"/>
  <c r="M336" i="2" s="1"/>
  <c r="M378" i="2" s="1"/>
  <c r="M379" i="2" s="1"/>
  <c r="M382" i="2" s="1"/>
  <c r="L335" i="2"/>
  <c r="M335" i="2" s="1"/>
  <c r="M377" i="2" s="1"/>
  <c r="E355" i="2" l="1"/>
  <c r="E354" i="2" l="1"/>
  <c r="E348" i="2"/>
  <c r="E349" i="2"/>
  <c r="O341" i="2" l="1"/>
  <c r="O342" i="2"/>
  <c r="O343" i="2"/>
  <c r="O344" i="2"/>
  <c r="O345" i="2"/>
  <c r="O346" i="2"/>
  <c r="O347" i="2"/>
  <c r="E341" i="2"/>
  <c r="E342" i="2"/>
  <c r="E343" i="2"/>
  <c r="E344" i="2"/>
  <c r="H344" i="2" s="1"/>
  <c r="E345" i="2"/>
  <c r="E346" i="2"/>
  <c r="E347" i="2"/>
  <c r="O33" i="3"/>
  <c r="E33" i="3"/>
  <c r="R52" i="1"/>
  <c r="P52" i="1" s="1"/>
  <c r="Q52" i="1"/>
  <c r="G52" i="1"/>
  <c r="E52" i="1"/>
  <c r="H345" i="2" l="1"/>
  <c r="H358" i="2" s="1"/>
  <c r="H361" i="2" s="1"/>
  <c r="H362" i="2" s="1"/>
  <c r="H371" i="2" s="1"/>
  <c r="H372" i="2" s="1"/>
  <c r="H385" i="2" s="1"/>
  <c r="H389" i="2" s="1"/>
  <c r="H390" i="2" s="1"/>
  <c r="H401" i="2" s="1"/>
  <c r="H415" i="2" s="1"/>
  <c r="H418" i="2" s="1"/>
  <c r="H430" i="2" s="1"/>
  <c r="H441" i="2" s="1"/>
  <c r="H442" i="2" s="1"/>
  <c r="H443" i="2" s="1"/>
  <c r="H453" i="2" s="1"/>
  <c r="H454" i="2" s="1"/>
  <c r="O32" i="3"/>
  <c r="E32" i="3"/>
  <c r="O338" i="2"/>
  <c r="O337" i="2"/>
  <c r="O336" i="2"/>
  <c r="O335" i="2"/>
  <c r="O334" i="2"/>
  <c r="M338" i="2"/>
  <c r="M385" i="2" s="1"/>
  <c r="M387" i="2" s="1"/>
  <c r="M397" i="2" s="1"/>
  <c r="M337" i="2"/>
  <c r="M380" i="2" s="1"/>
  <c r="M381" i="2" s="1"/>
  <c r="M383" i="2" s="1"/>
  <c r="M384" i="2" s="1"/>
  <c r="M386" i="2" s="1"/>
  <c r="M334" i="2"/>
  <c r="M372" i="2" s="1"/>
  <c r="M373" i="2" s="1"/>
  <c r="M375" i="2" s="1"/>
  <c r="M376" i="2" s="1"/>
  <c r="O333" i="2"/>
  <c r="O340" i="2"/>
  <c r="O339" i="2"/>
  <c r="E333" i="2"/>
  <c r="E334" i="2"/>
  <c r="E335" i="2"/>
  <c r="E336" i="2"/>
  <c r="E337" i="2"/>
  <c r="E338" i="2"/>
  <c r="E339" i="2"/>
  <c r="E340" i="2"/>
  <c r="O327" i="2" l="1"/>
  <c r="O328" i="2"/>
  <c r="O329" i="2"/>
  <c r="O330" i="2"/>
  <c r="O331" i="2"/>
  <c r="O332" i="2"/>
  <c r="O31" i="3" l="1"/>
  <c r="M31" i="3"/>
  <c r="M35" i="3" s="1"/>
  <c r="M95" i="3" s="1"/>
  <c r="M99" i="3" s="1"/>
  <c r="M183" i="3" s="1"/>
  <c r="E31" i="3"/>
  <c r="E331" i="2"/>
  <c r="E332" i="2"/>
  <c r="E330" i="2"/>
  <c r="E328" i="2" l="1"/>
  <c r="E329" i="2"/>
  <c r="H329" i="2" s="1"/>
  <c r="H342" i="2" s="1"/>
  <c r="H343" i="2" s="1"/>
  <c r="H356" i="2" s="1"/>
  <c r="H357" i="2" s="1"/>
  <c r="H370" i="2" s="1"/>
  <c r="H384" i="2" s="1"/>
  <c r="H399" i="2" s="1"/>
  <c r="H400" i="2" s="1"/>
  <c r="H427" i="2" s="1"/>
  <c r="H428" i="2" s="1"/>
  <c r="H429" i="2" s="1"/>
  <c r="H439" i="2" s="1"/>
  <c r="H440" i="2" s="1"/>
  <c r="H451" i="2" s="1"/>
  <c r="H452" i="2" s="1"/>
  <c r="H472" i="2" s="1"/>
  <c r="H473" i="2" s="1"/>
  <c r="H486" i="2" s="1"/>
  <c r="H487" i="2" s="1"/>
  <c r="H498" i="2" s="1"/>
  <c r="H511" i="2" s="1"/>
  <c r="H512" i="2" s="1"/>
  <c r="H528" i="2" s="1"/>
  <c r="E327" i="2"/>
  <c r="R51" i="1"/>
  <c r="P51" i="1" s="1"/>
  <c r="Q51" i="1"/>
  <c r="G51" i="1"/>
  <c r="E51" i="1"/>
  <c r="O322" i="2" l="1"/>
  <c r="O323" i="2"/>
  <c r="O324" i="2"/>
  <c r="O325" i="2"/>
  <c r="O326" i="2"/>
  <c r="O29" i="3" l="1"/>
  <c r="O30" i="3"/>
  <c r="E30" i="3"/>
  <c r="M29" i="3"/>
  <c r="M34" i="3" s="1"/>
  <c r="M92" i="3" s="1"/>
  <c r="M93" i="3" s="1"/>
  <c r="M94" i="3" s="1"/>
  <c r="M98" i="3" s="1"/>
  <c r="M157" i="3" s="1"/>
  <c r="E29" i="3"/>
  <c r="E325" i="2"/>
  <c r="E326" i="2"/>
  <c r="E323" i="2"/>
  <c r="E324" i="2"/>
  <c r="E322" i="2"/>
  <c r="R49" i="1" l="1"/>
  <c r="P49" i="1" s="1"/>
  <c r="R50" i="1"/>
  <c r="P50" i="1" s="1"/>
  <c r="Q49" i="1"/>
  <c r="Q50" i="1"/>
  <c r="G49" i="1"/>
  <c r="G50" i="1"/>
  <c r="E49" i="1"/>
  <c r="E50" i="1"/>
  <c r="O320" i="2" l="1"/>
  <c r="O321" i="2"/>
  <c r="E321" i="2" l="1"/>
  <c r="E320" i="2"/>
  <c r="M326" i="2" l="1"/>
  <c r="M327" i="2" s="1"/>
  <c r="M328" i="2" s="1"/>
  <c r="M331" i="2" s="1"/>
  <c r="M324" i="2"/>
  <c r="M325" i="2" s="1"/>
  <c r="M321" i="2"/>
  <c r="M323" i="2" s="1"/>
  <c r="M266" i="2"/>
  <c r="M319" i="2" s="1"/>
  <c r="M320" i="2" s="1"/>
  <c r="M322" i="2" s="1"/>
  <c r="O28" i="3" l="1"/>
  <c r="M28" i="3"/>
  <c r="M32" i="3" s="1"/>
  <c r="M81" i="3" s="1"/>
  <c r="M85" i="3" s="1"/>
  <c r="M91" i="3" s="1"/>
  <c r="M97" i="3" s="1"/>
  <c r="M156" i="3" s="1"/>
  <c r="E28" i="3"/>
  <c r="O314" i="2"/>
  <c r="O315" i="2"/>
  <c r="O316" i="2"/>
  <c r="O317" i="2"/>
  <c r="O318" i="2"/>
  <c r="O319" i="2"/>
  <c r="E319" i="2"/>
  <c r="E318" i="2"/>
  <c r="E316" i="2" l="1"/>
  <c r="E317" i="2"/>
  <c r="E315" i="2"/>
  <c r="E314" i="2"/>
  <c r="R48" i="1"/>
  <c r="P48" i="1" s="1"/>
  <c r="Q48" i="1"/>
  <c r="G48" i="1"/>
  <c r="E48" i="1"/>
  <c r="O310" i="2" l="1"/>
  <c r="O311" i="2"/>
  <c r="O312" i="2"/>
  <c r="O313" i="2"/>
  <c r="E311" i="2"/>
  <c r="H311" i="2" s="1"/>
  <c r="H339" i="2" s="1"/>
  <c r="H354" i="2" s="1"/>
  <c r="H374" i="2" s="1"/>
  <c r="H397" i="2" s="1"/>
  <c r="H412" i="2" s="1"/>
  <c r="H425" i="2" s="1"/>
  <c r="H436" i="2" s="1"/>
  <c r="H458" i="2" s="1"/>
  <c r="O302" i="2" l="1"/>
  <c r="O303" i="2"/>
  <c r="O304" i="2"/>
  <c r="O305" i="2"/>
  <c r="O306" i="2"/>
  <c r="O307" i="2"/>
  <c r="O308" i="2"/>
  <c r="O309" i="2"/>
  <c r="E312" i="2"/>
  <c r="E310" i="2"/>
  <c r="M309" i="2" l="1"/>
  <c r="M362" i="2" s="1"/>
  <c r="M369" i="2" s="1"/>
  <c r="M370" i="2" s="1"/>
  <c r="M371" i="2" s="1"/>
  <c r="M374" i="2" s="1"/>
  <c r="M306" i="2"/>
  <c r="M351" i="2" s="1"/>
  <c r="M352" i="2" s="1"/>
  <c r="M353" i="2" s="1"/>
  <c r="M356" i="2" s="1"/>
  <c r="E306" i="2"/>
  <c r="E307" i="2"/>
  <c r="E308" i="2"/>
  <c r="E309" i="2"/>
  <c r="M305" i="2"/>
  <c r="M345" i="2" s="1"/>
  <c r="M349" i="2" s="1"/>
  <c r="M350" i="2" s="1"/>
  <c r="M355" i="2" s="1"/>
  <c r="M304" i="2"/>
  <c r="M344" i="2" s="1"/>
  <c r="M347" i="2" s="1"/>
  <c r="M348" i="2" s="1"/>
  <c r="M354" i="2" s="1"/>
  <c r="E303" i="2"/>
  <c r="O26" i="3"/>
  <c r="O27" i="3"/>
  <c r="E26" i="3"/>
  <c r="E27" i="3"/>
  <c r="E302" i="2" l="1"/>
  <c r="E304" i="2"/>
  <c r="E305" i="2"/>
  <c r="H305" i="2" s="1"/>
  <c r="H322" i="2" s="1"/>
  <c r="H334" i="2" s="1"/>
  <c r="H335" i="2" s="1"/>
  <c r="H336" i="2" s="1"/>
  <c r="H350" i="2" s="1"/>
  <c r="H351" i="2" s="1"/>
  <c r="H363" i="2" s="1"/>
  <c r="H364" i="2" s="1"/>
  <c r="H365" i="2" s="1"/>
  <c r="H379" i="2" s="1"/>
  <c r="H380" i="2" s="1"/>
  <c r="H391" i="2" s="1"/>
  <c r="H392" i="2" s="1"/>
  <c r="H393" i="2" s="1"/>
  <c r="H407" i="2" s="1"/>
  <c r="H419" i="2" s="1"/>
  <c r="H420" i="2" s="1"/>
  <c r="H421" i="2" s="1"/>
  <c r="H434" i="2" s="1"/>
  <c r="H444" i="2" s="1"/>
  <c r="H445" i="2" s="1"/>
  <c r="H463" i="2" s="1"/>
  <c r="H476" i="2" s="1"/>
  <c r="H477" i="2" s="1"/>
  <c r="H478" i="2" s="1"/>
  <c r="H490" i="2" s="1"/>
  <c r="H491" i="2" s="1"/>
  <c r="H503" i="2" s="1"/>
  <c r="H504" i="2" s="1"/>
  <c r="H505" i="2" s="1"/>
  <c r="H517" i="2" s="1"/>
  <c r="E313" i="2"/>
  <c r="H313" i="2" s="1"/>
  <c r="H388" i="2" s="1"/>
  <c r="H404" i="2" s="1"/>
  <c r="H405" i="2" s="1"/>
  <c r="E247" i="2" l="1"/>
  <c r="E233" i="2"/>
  <c r="E232" i="2"/>
  <c r="E215" i="2"/>
  <c r="E214" i="2"/>
  <c r="E110" i="2"/>
  <c r="H110" i="2" s="1"/>
  <c r="E47" i="2"/>
  <c r="E46" i="2"/>
  <c r="E22" i="2"/>
  <c r="E21" i="2"/>
  <c r="E14" i="2"/>
  <c r="E5" i="2"/>
  <c r="O25" i="3" l="1"/>
  <c r="M25" i="3"/>
  <c r="M30" i="3" s="1"/>
  <c r="M79" i="3" s="1"/>
  <c r="M80" i="3" s="1"/>
  <c r="M90" i="3" s="1"/>
  <c r="M155" i="3" s="1"/>
  <c r="E25" i="3"/>
  <c r="M24" i="3"/>
  <c r="M27" i="3" s="1"/>
  <c r="M77" i="3" s="1"/>
  <c r="M78" i="3" s="1"/>
  <c r="M89" i="3" s="1"/>
  <c r="M144" i="3" s="1"/>
  <c r="O297" i="2"/>
  <c r="O298" i="2"/>
  <c r="O299" i="2"/>
  <c r="O300" i="2"/>
  <c r="O301" i="2"/>
  <c r="E301" i="2"/>
  <c r="H301" i="2" s="1"/>
  <c r="H318" i="2" s="1"/>
  <c r="H319" i="2" s="1"/>
  <c r="H323" i="2" s="1"/>
  <c r="H324" i="2" s="1"/>
  <c r="H331" i="2" s="1"/>
  <c r="H332" i="2" s="1"/>
  <c r="H346" i="2" s="1"/>
  <c r="H347" i="2" s="1"/>
  <c r="H352" i="2" s="1"/>
  <c r="H359" i="2" s="1"/>
  <c r="H360" i="2" s="1"/>
  <c r="H373" i="2" s="1"/>
  <c r="H381" i="2" s="1"/>
  <c r="H386" i="2" s="1"/>
  <c r="H387" i="2" s="1"/>
  <c r="H402" i="2" s="1"/>
  <c r="H403" i="2" s="1"/>
  <c r="H416" i="2" s="1"/>
  <c r="H417" i="2" s="1"/>
  <c r="H456" i="2" s="1"/>
  <c r="H457" i="2" s="1"/>
  <c r="H464" i="2" s="1"/>
  <c r="H465" i="2" s="1"/>
  <c r="H499" i="2" s="1"/>
  <c r="H500" i="2" s="1"/>
  <c r="E300" i="2"/>
  <c r="E299" i="2"/>
  <c r="E298" i="2"/>
  <c r="E297" i="2"/>
  <c r="R46" i="1" l="1"/>
  <c r="P46" i="1" s="1"/>
  <c r="R47" i="1"/>
  <c r="P47" i="1" s="1"/>
  <c r="Q46" i="1"/>
  <c r="Q47" i="1"/>
  <c r="N47" i="1"/>
  <c r="N68" i="1" s="1"/>
  <c r="N69" i="1" s="1"/>
  <c r="N71" i="1" s="1"/>
  <c r="N72" i="1" s="1"/>
  <c r="G47" i="1"/>
  <c r="E47" i="1"/>
  <c r="G46" i="1" l="1"/>
  <c r="E46" i="1"/>
  <c r="O22" i="3" l="1"/>
  <c r="O23" i="3"/>
  <c r="E295" i="2"/>
  <c r="E22" i="3"/>
  <c r="H22" i="3" s="1"/>
  <c r="E23" i="3"/>
  <c r="O24" i="3"/>
  <c r="E24" i="3"/>
  <c r="O292" i="2"/>
  <c r="O293" i="2"/>
  <c r="O294" i="2"/>
  <c r="O295" i="2"/>
  <c r="O296" i="2"/>
  <c r="E296" i="2"/>
  <c r="E294" i="2"/>
  <c r="E293" i="2"/>
  <c r="E292" i="2"/>
  <c r="H23" i="3" l="1"/>
  <c r="H26" i="3" s="1"/>
  <c r="H27" i="3" s="1"/>
  <c r="H30" i="3" s="1"/>
  <c r="H32" i="3" s="1"/>
  <c r="H34" i="3" s="1"/>
  <c r="H35" i="3" s="1"/>
  <c r="H36" i="3" s="1"/>
  <c r="H37" i="3" s="1"/>
  <c r="H41" i="3" s="1"/>
  <c r="H44" i="3" s="1"/>
  <c r="H45" i="3" s="1"/>
  <c r="H47" i="3" s="1"/>
  <c r="H53" i="3" s="1"/>
  <c r="H54" i="3" s="1"/>
  <c r="H55" i="3" s="1"/>
  <c r="H64" i="3" s="1"/>
  <c r="H65" i="3" s="1"/>
  <c r="H71" i="3" s="1"/>
  <c r="H72" i="3" s="1"/>
  <c r="H73" i="3" s="1"/>
  <c r="H78" i="3" s="1"/>
  <c r="H79" i="3" s="1"/>
  <c r="H196" i="3" s="1"/>
  <c r="H197" i="3" s="1"/>
  <c r="H198" i="3" s="1"/>
  <c r="H205" i="3" s="1"/>
  <c r="H214" i="3" s="1"/>
  <c r="H230" i="3" s="1"/>
  <c r="H236" i="3" s="1"/>
  <c r="H237" i="3" s="1"/>
  <c r="R44" i="1"/>
  <c r="P44" i="1" s="1"/>
  <c r="R45" i="1"/>
  <c r="P45" i="1" s="1"/>
  <c r="Q44" i="1"/>
  <c r="Q45" i="1"/>
  <c r="G45" i="1" l="1"/>
  <c r="E45" i="1"/>
  <c r="G44" i="1"/>
  <c r="E44" i="1"/>
  <c r="O20" i="3" l="1"/>
  <c r="O21" i="3"/>
  <c r="M21" i="3"/>
  <c r="M26" i="3" s="1"/>
  <c r="M67" i="3" s="1"/>
  <c r="M68" i="3" s="1"/>
  <c r="M71" i="3" s="1"/>
  <c r="M76" i="3" s="1"/>
  <c r="M84" i="3" s="1"/>
  <c r="M110" i="3" s="1"/>
  <c r="E20" i="3"/>
  <c r="E21" i="3"/>
  <c r="O289" i="2"/>
  <c r="O290" i="2"/>
  <c r="O291" i="2"/>
  <c r="M236" i="2"/>
  <c r="M291" i="2" s="1"/>
  <c r="M292" i="2" s="1"/>
  <c r="M293" i="2" s="1"/>
  <c r="M294" i="2" s="1"/>
  <c r="E289" i="2"/>
  <c r="E290" i="2"/>
  <c r="H290" i="2" s="1"/>
  <c r="E291" i="2"/>
  <c r="H291" i="2" l="1"/>
  <c r="H320" i="2" s="1"/>
  <c r="H321" i="2" s="1"/>
  <c r="H348" i="2" s="1"/>
  <c r="H349" i="2" s="1"/>
  <c r="H376" i="2" s="1"/>
  <c r="H377" i="2" s="1"/>
  <c r="H378" i="2" s="1"/>
  <c r="H408" i="2" s="1"/>
  <c r="H409" i="2" s="1"/>
  <c r="H410" i="2" s="1"/>
  <c r="H431" i="2" s="1"/>
  <c r="H432" i="2" s="1"/>
  <c r="H433" i="2" s="1"/>
  <c r="H461" i="2" s="1"/>
  <c r="H462" i="2" s="1"/>
  <c r="H488" i="2" s="1"/>
  <c r="O288" i="2"/>
  <c r="O286" i="2"/>
  <c r="O284" i="2"/>
  <c r="O287" i="2"/>
  <c r="O285" i="2"/>
  <c r="O283" i="2"/>
  <c r="O282" i="2"/>
  <c r="O281" i="2"/>
  <c r="O280" i="2"/>
  <c r="E284" i="2"/>
  <c r="E288" i="2"/>
  <c r="E287" i="2"/>
  <c r="E286" i="2"/>
  <c r="E285" i="2"/>
  <c r="E283" i="2"/>
  <c r="E282" i="2"/>
  <c r="E281" i="2"/>
  <c r="E280" i="2"/>
  <c r="Q43" i="1"/>
  <c r="R43" i="1"/>
  <c r="P43" i="1" s="1"/>
  <c r="E43" i="1"/>
  <c r="G43" i="1"/>
  <c r="M279" i="2" l="1"/>
  <c r="M330" i="2" s="1"/>
  <c r="M333" i="2" s="1"/>
  <c r="M340" i="2" s="1"/>
  <c r="M343" i="2" s="1"/>
  <c r="M278" i="2"/>
  <c r="M317" i="2" s="1"/>
  <c r="M339" i="2" s="1"/>
  <c r="M341" i="2" s="1"/>
  <c r="M342" i="2" s="1"/>
  <c r="M346" i="2" s="1"/>
  <c r="M277" i="2"/>
  <c r="M313" i="2" s="1"/>
  <c r="M316" i="2" s="1"/>
  <c r="M329" i="2" s="1"/>
  <c r="M332" i="2" s="1"/>
  <c r="M17" i="3" l="1"/>
  <c r="M20" i="3" s="1"/>
  <c r="M23" i="3" s="1"/>
  <c r="M63" i="3" s="1"/>
  <c r="M66" i="3" s="1"/>
  <c r="M83" i="3" s="1"/>
  <c r="M109" i="3" s="1"/>
  <c r="M16" i="3"/>
  <c r="M19" i="3" s="1"/>
  <c r="M22" i="3" s="1"/>
  <c r="M62" i="3" s="1"/>
  <c r="M82" i="3" s="1"/>
  <c r="M108" i="3" s="1"/>
  <c r="O19" i="3"/>
  <c r="O18" i="3"/>
  <c r="O17" i="3"/>
  <c r="O16" i="3"/>
  <c r="E19" i="3"/>
  <c r="E18" i="3"/>
  <c r="E17" i="3"/>
  <c r="E16" i="3"/>
  <c r="O279" i="2"/>
  <c r="O278" i="2"/>
  <c r="O277" i="2"/>
  <c r="O276" i="2"/>
  <c r="O275" i="2"/>
  <c r="O274" i="2"/>
  <c r="O273" i="2"/>
  <c r="E273" i="2"/>
  <c r="E274" i="2"/>
  <c r="E275" i="2"/>
  <c r="E276" i="2"/>
  <c r="E277" i="2"/>
  <c r="E278" i="2"/>
  <c r="E279" i="2"/>
  <c r="Q40" i="1" l="1"/>
  <c r="R40" i="1"/>
  <c r="P40" i="1" s="1"/>
  <c r="Q42" i="1"/>
  <c r="R42" i="1"/>
  <c r="P42" i="1" s="1"/>
  <c r="G42" i="1"/>
  <c r="E42" i="1"/>
  <c r="O272" i="2"/>
  <c r="O271" i="2"/>
  <c r="O270" i="2"/>
  <c r="O269" i="2"/>
  <c r="E272" i="2"/>
  <c r="E271" i="2"/>
  <c r="E270" i="2"/>
  <c r="E269" i="2"/>
  <c r="R41" i="1"/>
  <c r="P41" i="1" s="1"/>
  <c r="Q41" i="1"/>
  <c r="E40" i="1"/>
  <c r="G40" i="1"/>
  <c r="E41" i="1"/>
  <c r="G41" i="1"/>
  <c r="O15" i="3" l="1"/>
  <c r="M15" i="3"/>
  <c r="M18" i="3" s="1"/>
  <c r="M57" i="3" s="1"/>
  <c r="M60" i="3" s="1"/>
  <c r="M64" i="3" s="1"/>
  <c r="M75" i="3" s="1"/>
  <c r="E15" i="3"/>
  <c r="O266" i="2"/>
  <c r="O265" i="2"/>
  <c r="M265" i="2"/>
  <c r="M302" i="2" s="1"/>
  <c r="M312" i="2" s="1"/>
  <c r="M314" i="2" s="1"/>
  <c r="M315" i="2" s="1"/>
  <c r="M318" i="2" s="1"/>
  <c r="O263" i="2"/>
  <c r="O261" i="2"/>
  <c r="O259" i="2"/>
  <c r="O260" i="2"/>
  <c r="O268" i="2"/>
  <c r="O264" i="2"/>
  <c r="O267" i="2"/>
  <c r="O262" i="2"/>
  <c r="E268" i="2"/>
  <c r="E267" i="2"/>
  <c r="E266" i="2"/>
  <c r="E265" i="2"/>
  <c r="E264" i="2"/>
  <c r="E260" i="2"/>
  <c r="E261" i="2"/>
  <c r="E262" i="2"/>
  <c r="E263" i="2"/>
  <c r="E259" i="2"/>
  <c r="N39" i="1" l="1"/>
  <c r="N64" i="1" s="1"/>
  <c r="N65" i="1" s="1"/>
  <c r="N66" i="1" s="1"/>
  <c r="N67" i="1" s="1"/>
  <c r="M253" i="2"/>
  <c r="M298" i="2" s="1"/>
  <c r="M300" i="2" s="1"/>
  <c r="M301" i="2" s="1"/>
  <c r="M303" i="2" s="1"/>
  <c r="M310" i="2" s="1"/>
  <c r="M311" i="2" s="1"/>
  <c r="M252" i="2"/>
  <c r="M295" i="2" s="1"/>
  <c r="M296" i="2" s="1"/>
  <c r="M297" i="2" s="1"/>
  <c r="M299" i="2" s="1"/>
  <c r="Q38" i="1" l="1"/>
  <c r="R38" i="1"/>
  <c r="P38" i="1" s="1"/>
  <c r="Q39" i="1"/>
  <c r="R39" i="1"/>
  <c r="P39" i="1" s="1"/>
  <c r="E38" i="1"/>
  <c r="G38" i="1"/>
  <c r="E39" i="1"/>
  <c r="G39" i="1"/>
  <c r="O258" i="2"/>
  <c r="O257" i="2"/>
  <c r="O256" i="2"/>
  <c r="O255" i="2"/>
  <c r="O254" i="2"/>
  <c r="E254" i="2"/>
  <c r="E255" i="2"/>
  <c r="E256" i="2"/>
  <c r="E257" i="2"/>
  <c r="E258" i="2"/>
  <c r="O250" i="2" l="1"/>
  <c r="O249" i="2"/>
  <c r="E249" i="2"/>
  <c r="E250" i="2"/>
  <c r="O253" i="2" l="1"/>
  <c r="O252" i="2"/>
  <c r="O251" i="2"/>
  <c r="E251" i="2"/>
  <c r="E252" i="2"/>
  <c r="E253" i="2"/>
  <c r="M235" i="2" l="1"/>
  <c r="M284" i="2" s="1"/>
  <c r="M286" i="2" s="1"/>
  <c r="M288" i="2" s="1"/>
  <c r="M289" i="2" s="1"/>
  <c r="M290" i="2" s="1"/>
  <c r="Q36" i="1"/>
  <c r="R36" i="1"/>
  <c r="P36" i="1" s="1"/>
  <c r="R37" i="1"/>
  <c r="P37" i="1" s="1"/>
  <c r="Q37" i="1"/>
  <c r="E36" i="1"/>
  <c r="G36" i="1"/>
  <c r="E37" i="1"/>
  <c r="G37" i="1"/>
  <c r="O248" i="2" l="1"/>
  <c r="O199" i="2"/>
  <c r="E248" i="2"/>
  <c r="O244" i="2"/>
  <c r="O243" i="2"/>
  <c r="E243" i="2"/>
  <c r="O236" i="2"/>
  <c r="O235" i="2"/>
  <c r="O247" i="2"/>
  <c r="O242" i="2"/>
  <c r="O240" i="2"/>
  <c r="O246" i="2"/>
  <c r="O241" i="2"/>
  <c r="O239" i="2"/>
  <c r="O238" i="2"/>
  <c r="O245" i="2"/>
  <c r="O237" i="2"/>
  <c r="O234" i="2"/>
  <c r="O233" i="2"/>
  <c r="O232" i="2"/>
  <c r="O231" i="2"/>
  <c r="O230" i="2"/>
  <c r="O229" i="2"/>
  <c r="O228" i="2"/>
  <c r="O226" i="2"/>
  <c r="O227" i="2"/>
  <c r="O225" i="2"/>
  <c r="O223" i="2"/>
  <c r="O224" i="2"/>
  <c r="E246" i="2"/>
  <c r="E245" i="2"/>
  <c r="E244" i="2"/>
  <c r="E242" i="2"/>
  <c r="E240" i="2"/>
  <c r="E239" i="2"/>
  <c r="E241" i="2"/>
  <c r="E238" i="2"/>
  <c r="E237" i="2"/>
  <c r="H237" i="2" s="1"/>
  <c r="H249" i="2" s="1"/>
  <c r="H250" i="2" s="1"/>
  <c r="H269" i="2" s="1"/>
  <c r="H273" i="2" s="1"/>
  <c r="H283" i="2" s="1"/>
  <c r="H284" i="2" s="1"/>
  <c r="H292" i="2" s="1"/>
  <c r="H298" i="2" s="1"/>
  <c r="H302" i="2" s="1"/>
  <c r="H316" i="2" s="1"/>
  <c r="H317" i="2" s="1"/>
  <c r="H330" i="2" s="1"/>
  <c r="H333" i="2" s="1"/>
  <c r="E236" i="2"/>
  <c r="E235" i="2"/>
  <c r="E234" i="2"/>
  <c r="E231" i="2"/>
  <c r="E230" i="2"/>
  <c r="E229" i="2"/>
  <c r="E228" i="2"/>
  <c r="E227" i="2"/>
  <c r="E225" i="2"/>
  <c r="E226" i="2"/>
  <c r="E224" i="2"/>
  <c r="E223" i="2"/>
  <c r="R35" i="1"/>
  <c r="P35" i="1" s="1"/>
  <c r="Q35" i="1"/>
  <c r="R34" i="1"/>
  <c r="P34" i="1" s="1"/>
  <c r="Q34" i="1"/>
  <c r="Q33" i="1"/>
  <c r="R33" i="1"/>
  <c r="P33" i="1" s="1"/>
  <c r="E33" i="1"/>
  <c r="G33" i="1"/>
  <c r="E34" i="1"/>
  <c r="G34" i="1"/>
  <c r="E35" i="1"/>
  <c r="G35" i="1"/>
  <c r="O220" i="2" l="1"/>
  <c r="O219" i="2"/>
  <c r="O218" i="2"/>
  <c r="O212" i="2"/>
  <c r="O211" i="2"/>
  <c r="O210" i="2"/>
  <c r="M220" i="2"/>
  <c r="M282" i="2" s="1"/>
  <c r="M283" i="2" s="1"/>
  <c r="M285" i="2" s="1"/>
  <c r="M287" i="2" s="1"/>
  <c r="M219" i="2"/>
  <c r="M271" i="2" s="1"/>
  <c r="M272" i="2" s="1"/>
  <c r="M273" i="2" s="1"/>
  <c r="M280" i="2" s="1"/>
  <c r="M281" i="2" s="1"/>
  <c r="M218" i="2"/>
  <c r="M261" i="2" s="1"/>
  <c r="M263" i="2" s="1"/>
  <c r="M269" i="2" s="1"/>
  <c r="M270" i="2" s="1"/>
  <c r="M212" i="2"/>
  <c r="M258" i="2" s="1"/>
  <c r="M259" i="2" s="1"/>
  <c r="M260" i="2" s="1"/>
  <c r="M211" i="2"/>
  <c r="M250" i="2" s="1"/>
  <c r="M256" i="2" s="1"/>
  <c r="M257" i="2" s="1"/>
  <c r="M264" i="2" s="1"/>
  <c r="M268" i="2" s="1"/>
  <c r="M210" i="2"/>
  <c r="M249" i="2" s="1"/>
  <c r="M254" i="2" s="1"/>
  <c r="M255" i="2" s="1"/>
  <c r="M262" i="2" s="1"/>
  <c r="M267" i="2" s="1"/>
  <c r="O216" i="2"/>
  <c r="O215" i="2"/>
  <c r="O214" i="2"/>
  <c r="O213" i="2"/>
  <c r="O222" i="2"/>
  <c r="O217" i="2"/>
  <c r="O221" i="2"/>
  <c r="O209" i="2"/>
  <c r="E222" i="2"/>
  <c r="E221" i="2"/>
  <c r="E220" i="2"/>
  <c r="E219" i="2"/>
  <c r="E218" i="2"/>
  <c r="E217" i="2"/>
  <c r="H217" i="2" s="1"/>
  <c r="E216" i="2"/>
  <c r="E213" i="2"/>
  <c r="E212" i="2"/>
  <c r="E211" i="2"/>
  <c r="E210" i="2"/>
  <c r="E209" i="2"/>
  <c r="Q32" i="1"/>
  <c r="R32" i="1"/>
  <c r="P32" i="1" s="1"/>
  <c r="E32" i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G32" i="1"/>
  <c r="H218" i="2" l="1"/>
  <c r="H219" i="2" s="1"/>
  <c r="H220" i="2" s="1"/>
  <c r="H234" i="2" s="1"/>
  <c r="H235" i="2" s="1"/>
  <c r="H236" i="2" s="1"/>
  <c r="H244" i="2" s="1"/>
  <c r="H252" i="2" s="1"/>
  <c r="H253" i="2" s="1"/>
  <c r="H264" i="2" s="1"/>
  <c r="H265" i="2" s="1"/>
  <c r="H266" i="2" s="1"/>
  <c r="H277" i="2" s="1"/>
  <c r="H278" i="2" s="1"/>
  <c r="H279" i="2" s="1"/>
  <c r="H296" i="2" s="1"/>
  <c r="H306" i="2" s="1"/>
  <c r="H307" i="2" s="1"/>
  <c r="H308" i="2" s="1"/>
  <c r="H309" i="2" s="1"/>
  <c r="H325" i="2" s="1"/>
  <c r="H326" i="2" s="1"/>
  <c r="H337" i="2" s="1"/>
  <c r="H338" i="2" s="1"/>
  <c r="H353" i="2" s="1"/>
  <c r="H366" i="2" s="1"/>
  <c r="H367" i="2" s="1"/>
  <c r="H368" i="2" s="1"/>
  <c r="H382" i="2" s="1"/>
  <c r="H394" i="2" s="1"/>
  <c r="H395" i="2" s="1"/>
  <c r="H396" i="2" s="1"/>
  <c r="H411" i="2" s="1"/>
  <c r="O208" i="2" l="1"/>
  <c r="O207" i="2"/>
  <c r="O206" i="2"/>
  <c r="E206" i="2"/>
  <c r="E207" i="2"/>
  <c r="E208" i="2"/>
  <c r="O14" i="3"/>
  <c r="M14" i="3"/>
  <c r="M49" i="3" s="1"/>
  <c r="M56" i="3" s="1"/>
  <c r="M58" i="3" s="1"/>
  <c r="M59" i="3" s="1"/>
  <c r="M74" i="3" s="1"/>
  <c r="E14" i="3" l="1"/>
  <c r="O203" i="2" l="1"/>
  <c r="O205" i="2"/>
  <c r="O202" i="2"/>
  <c r="O204" i="2"/>
  <c r="O201" i="2"/>
  <c r="O200" i="2"/>
  <c r="E200" i="2"/>
  <c r="E201" i="2"/>
  <c r="E202" i="2"/>
  <c r="E203" i="2"/>
  <c r="E204" i="2"/>
  <c r="E205" i="2"/>
  <c r="Q30" i="1"/>
  <c r="R30" i="1"/>
  <c r="P30" i="1" s="1"/>
  <c r="Q31" i="1"/>
  <c r="R31" i="1"/>
  <c r="P31" i="1" s="1"/>
  <c r="N31" i="1"/>
  <c r="N32" i="1" s="1"/>
  <c r="N33" i="1" s="1"/>
  <c r="E30" i="1"/>
  <c r="G30" i="1"/>
  <c r="E31" i="1"/>
  <c r="G31" i="1"/>
  <c r="M199" i="2" l="1"/>
  <c r="M248" i="2" s="1"/>
  <c r="M251" i="2" s="1"/>
  <c r="M198" i="2"/>
  <c r="M193" i="2"/>
  <c r="M240" i="2" s="1"/>
  <c r="M242" i="2" s="1"/>
  <c r="M192" i="2"/>
  <c r="M191" i="2"/>
  <c r="M233" i="2" s="1"/>
  <c r="M234" i="2" s="1"/>
  <c r="M237" i="2" s="1"/>
  <c r="M245" i="2" s="1"/>
  <c r="O198" i="2"/>
  <c r="O193" i="2"/>
  <c r="O192" i="2"/>
  <c r="O191" i="2"/>
  <c r="O197" i="2"/>
  <c r="O196" i="2"/>
  <c r="O195" i="2"/>
  <c r="O194" i="2"/>
  <c r="E196" i="2"/>
  <c r="E191" i="2"/>
  <c r="E192" i="2"/>
  <c r="E193" i="2"/>
  <c r="E194" i="2"/>
  <c r="H194" i="2" s="1"/>
  <c r="H213" i="2" s="1"/>
  <c r="H231" i="2" s="1"/>
  <c r="H241" i="2" s="1"/>
  <c r="H262" i="2" s="1"/>
  <c r="E195" i="2"/>
  <c r="E197" i="2"/>
  <c r="H197" i="2" s="1"/>
  <c r="H216" i="2" s="1"/>
  <c r="H251" i="2" s="1"/>
  <c r="H263" i="2" s="1"/>
  <c r="H484" i="2" s="1"/>
  <c r="H492" i="2" s="1"/>
  <c r="H506" i="2" s="1"/>
  <c r="H518" i="2" s="1"/>
  <c r="H523" i="2" s="1"/>
  <c r="H524" i="2" s="1"/>
  <c r="H535" i="2" s="1"/>
  <c r="H536" i="2" s="1"/>
  <c r="H550" i="2" s="1"/>
  <c r="H564" i="2" s="1"/>
  <c r="H565" i="2" s="1"/>
  <c r="H571" i="2" s="1"/>
  <c r="H572" i="2" s="1"/>
  <c r="H586" i="2" s="1"/>
  <c r="H587" i="2" s="1"/>
  <c r="H602" i="2" s="1"/>
  <c r="H603" i="2" s="1"/>
  <c r="H617" i="2" s="1"/>
  <c r="H618" i="2" s="1"/>
  <c r="E198" i="2"/>
  <c r="E199" i="2"/>
  <c r="M243" i="2" l="1"/>
  <c r="M244" i="2" s="1"/>
  <c r="M247" i="2" s="1"/>
  <c r="M238" i="2"/>
  <c r="M239" i="2" s="1"/>
  <c r="M241" i="2" s="1"/>
  <c r="M246" i="2" s="1"/>
  <c r="E20" i="4"/>
  <c r="E21" i="4" l="1"/>
  <c r="E19" i="4"/>
  <c r="O190" i="2" l="1"/>
  <c r="O189" i="2"/>
  <c r="O188" i="2"/>
  <c r="O187" i="2"/>
  <c r="E187" i="2"/>
  <c r="E188" i="2"/>
  <c r="E189" i="2"/>
  <c r="E190" i="2"/>
  <c r="Q28" i="1"/>
  <c r="R28" i="1"/>
  <c r="P28" i="1" s="1"/>
  <c r="Q29" i="1"/>
  <c r="R29" i="1"/>
  <c r="P29" i="1" s="1"/>
  <c r="N29" i="1"/>
  <c r="N59" i="1" s="1"/>
  <c r="N60" i="1" s="1"/>
  <c r="N62" i="1" s="1"/>
  <c r="N63" i="1" s="1"/>
  <c r="E29" i="1"/>
  <c r="G29" i="1"/>
  <c r="E28" i="1"/>
  <c r="G28" i="1"/>
  <c r="O13" i="3" l="1"/>
  <c r="E13" i="3"/>
  <c r="O184" i="2"/>
  <c r="O183" i="2"/>
  <c r="O182" i="2"/>
  <c r="O177" i="2"/>
  <c r="O176" i="2"/>
  <c r="O175" i="2"/>
  <c r="M184" i="2"/>
  <c r="M230" i="2" s="1"/>
  <c r="M231" i="2" s="1"/>
  <c r="M232" i="2" s="1"/>
  <c r="M183" i="2"/>
  <c r="M226" i="2" s="1"/>
  <c r="M228" i="2" s="1"/>
  <c r="M229" i="2" s="1"/>
  <c r="M182" i="2"/>
  <c r="M223" i="2" s="1"/>
  <c r="M225" i="2" s="1"/>
  <c r="M227" i="2" s="1"/>
  <c r="M177" i="2"/>
  <c r="M215" i="2" s="1"/>
  <c r="M216" i="2" s="1"/>
  <c r="M224" i="2" s="1"/>
  <c r="M176" i="2"/>
  <c r="M208" i="2" s="1"/>
  <c r="M213" i="2" s="1"/>
  <c r="M214" i="2" s="1"/>
  <c r="M175" i="2"/>
  <c r="M203" i="2" s="1"/>
  <c r="M207" i="2" s="1"/>
  <c r="M217" i="2" s="1"/>
  <c r="M222" i="2" s="1"/>
  <c r="O186" i="2"/>
  <c r="O185" i="2"/>
  <c r="O181" i="2"/>
  <c r="O180" i="2"/>
  <c r="O179" i="2"/>
  <c r="O178" i="2"/>
  <c r="E186" i="2"/>
  <c r="E185" i="2"/>
  <c r="E184" i="2"/>
  <c r="E183" i="2"/>
  <c r="E182" i="2"/>
  <c r="E181" i="2"/>
  <c r="E180" i="2"/>
  <c r="E179" i="2"/>
  <c r="E178" i="2"/>
  <c r="E175" i="2"/>
  <c r="E176" i="2"/>
  <c r="E177" i="2"/>
  <c r="Q27" i="1"/>
  <c r="R27" i="1"/>
  <c r="P27" i="1" s="1"/>
  <c r="E27" i="1"/>
  <c r="G27" i="1"/>
  <c r="O172" i="2" l="1"/>
  <c r="O171" i="2"/>
  <c r="O174" i="2"/>
  <c r="O173" i="2"/>
  <c r="E171" i="2"/>
  <c r="E172" i="2"/>
  <c r="O12" i="3" l="1"/>
  <c r="M12" i="3"/>
  <c r="M13" i="3" s="1"/>
  <c r="M33" i="3" s="1"/>
  <c r="M48" i="3" s="1"/>
  <c r="E12" i="3"/>
  <c r="O170" i="2" l="1"/>
  <c r="O168" i="2"/>
  <c r="O169" i="2"/>
  <c r="O167" i="2"/>
  <c r="O166" i="2"/>
  <c r="O165" i="2"/>
  <c r="O164" i="2"/>
  <c r="E170" i="2"/>
  <c r="E173" i="2"/>
  <c r="E174" i="2"/>
  <c r="E169" i="2"/>
  <c r="E168" i="2"/>
  <c r="E167" i="2"/>
  <c r="E166" i="2"/>
  <c r="E165" i="2"/>
  <c r="E164" i="2"/>
  <c r="N26" i="1"/>
  <c r="N54" i="1" s="1"/>
  <c r="N55" i="1" s="1"/>
  <c r="N57" i="1" s="1"/>
  <c r="N58" i="1" s="1"/>
  <c r="N25" i="1"/>
  <c r="N50" i="1" s="1"/>
  <c r="N51" i="1" s="1"/>
  <c r="N52" i="1" s="1"/>
  <c r="N53" i="1" s="1"/>
  <c r="Q23" i="1"/>
  <c r="R23" i="1"/>
  <c r="P23" i="1" s="1"/>
  <c r="Q24" i="1"/>
  <c r="R24" i="1"/>
  <c r="P24" i="1" s="1"/>
  <c r="Q25" i="1"/>
  <c r="R25" i="1"/>
  <c r="P25" i="1" s="1"/>
  <c r="Q26" i="1"/>
  <c r="R26" i="1"/>
  <c r="P26" i="1" s="1"/>
  <c r="N24" i="1"/>
  <c r="N27" i="1" s="1"/>
  <c r="N28" i="1" s="1"/>
  <c r="N30" i="1" s="1"/>
  <c r="E23" i="1"/>
  <c r="G23" i="1"/>
  <c r="E24" i="1"/>
  <c r="G24" i="1"/>
  <c r="E25" i="1"/>
  <c r="G25" i="1"/>
  <c r="E26" i="1"/>
  <c r="G26" i="1"/>
  <c r="E18" i="4" l="1"/>
  <c r="O163" i="2" l="1"/>
  <c r="O162" i="2"/>
  <c r="O161" i="2"/>
  <c r="O159" i="2"/>
  <c r="O158" i="2"/>
  <c r="O157" i="2"/>
  <c r="M163" i="2"/>
  <c r="M202" i="2" s="1"/>
  <c r="M205" i="2" s="1"/>
  <c r="M206" i="2" s="1"/>
  <c r="M209" i="2" s="1"/>
  <c r="M221" i="2" s="1"/>
  <c r="M162" i="2"/>
  <c r="M196" i="2" s="1"/>
  <c r="M197" i="2" s="1"/>
  <c r="M200" i="2" s="1"/>
  <c r="M201" i="2" s="1"/>
  <c r="M204" i="2" s="1"/>
  <c r="M161" i="2"/>
  <c r="M186" i="2" s="1"/>
  <c r="M189" i="2" s="1"/>
  <c r="M190" i="2" s="1"/>
  <c r="M194" i="2" s="1"/>
  <c r="M195" i="2" s="1"/>
  <c r="M159" i="2"/>
  <c r="M181" i="2" s="1"/>
  <c r="M185" i="2" s="1"/>
  <c r="M187" i="2" s="1"/>
  <c r="M188" i="2" s="1"/>
  <c r="M158" i="2"/>
  <c r="M172" i="2" s="1"/>
  <c r="M178" i="2" s="1"/>
  <c r="M179" i="2" s="1"/>
  <c r="M180" i="2" s="1"/>
  <c r="M157" i="2"/>
  <c r="M168" i="2" s="1"/>
  <c r="M170" i="2" s="1"/>
  <c r="M171" i="2" s="1"/>
  <c r="O160" i="2"/>
  <c r="E157" i="2"/>
  <c r="E158" i="2"/>
  <c r="E159" i="2"/>
  <c r="E160" i="2"/>
  <c r="E161" i="2"/>
  <c r="E162" i="2"/>
  <c r="E163" i="2"/>
  <c r="O153" i="2" l="1"/>
  <c r="O152" i="2"/>
  <c r="E153" i="2" l="1"/>
  <c r="E152" i="2"/>
  <c r="E17" i="4" l="1"/>
  <c r="E16" i="4"/>
  <c r="E15" i="4"/>
  <c r="E14" i="4"/>
  <c r="E9" i="4"/>
  <c r="E8" i="4"/>
  <c r="E13" i="4" l="1"/>
  <c r="E12" i="4"/>
  <c r="E11" i="4"/>
  <c r="E10" i="4"/>
  <c r="E6" i="4"/>
  <c r="E7" i="4"/>
  <c r="E5" i="4"/>
  <c r="E4" i="4"/>
  <c r="E3" i="4"/>
  <c r="O156" i="2" l="1"/>
  <c r="O151" i="2"/>
  <c r="O155" i="2"/>
  <c r="O150" i="2"/>
  <c r="O149" i="2"/>
  <c r="O148" i="2"/>
  <c r="O154" i="2"/>
  <c r="O147" i="2"/>
  <c r="E156" i="2"/>
  <c r="E155" i="2"/>
  <c r="E154" i="2"/>
  <c r="E151" i="2"/>
  <c r="E150" i="2"/>
  <c r="E149" i="2"/>
  <c r="E148" i="2"/>
  <c r="E147" i="2"/>
  <c r="Q22" i="1"/>
  <c r="R22" i="1"/>
  <c r="P22" i="1" s="1"/>
  <c r="E22" i="1"/>
  <c r="G22" i="1"/>
  <c r="O146" i="2" l="1"/>
  <c r="O145" i="2"/>
  <c r="O144" i="2"/>
  <c r="M146" i="2"/>
  <c r="M167" i="2" s="1"/>
  <c r="M169" i="2" s="1"/>
  <c r="M174" i="2" s="1"/>
  <c r="M145" i="2"/>
  <c r="M165" i="2" s="1"/>
  <c r="M166" i="2" s="1"/>
  <c r="M173" i="2" s="1"/>
  <c r="M144" i="2"/>
  <c r="M153" i="2" s="1"/>
  <c r="M160" i="2" s="1"/>
  <c r="M164" i="2" s="1"/>
  <c r="O138" i="2"/>
  <c r="M138" i="2"/>
  <c r="M151" i="2" s="1"/>
  <c r="M152" i="2" s="1"/>
  <c r="M156" i="2" s="1"/>
  <c r="O143" i="2"/>
  <c r="O142" i="2"/>
  <c r="O141" i="2"/>
  <c r="O140" i="2"/>
  <c r="O137" i="2"/>
  <c r="O139" i="2"/>
  <c r="E138" i="2"/>
  <c r="E146" i="2"/>
  <c r="E145" i="2"/>
  <c r="E144" i="2"/>
  <c r="E143" i="2"/>
  <c r="E142" i="2"/>
  <c r="E140" i="2"/>
  <c r="E141" i="2"/>
  <c r="E137" i="2"/>
  <c r="E139" i="2"/>
  <c r="Q21" i="1"/>
  <c r="R21" i="1"/>
  <c r="P21" i="1" s="1"/>
  <c r="E21" i="1"/>
  <c r="G21" i="1"/>
  <c r="O136" i="2" l="1"/>
  <c r="O135" i="2"/>
  <c r="E135" i="2"/>
  <c r="E136" i="2"/>
  <c r="O134" i="2" l="1"/>
  <c r="O133" i="2"/>
  <c r="O130" i="2"/>
  <c r="O131" i="2"/>
  <c r="O132" i="2"/>
  <c r="E130" i="2"/>
  <c r="E131" i="2"/>
  <c r="E132" i="2"/>
  <c r="E133" i="2"/>
  <c r="E134" i="2"/>
  <c r="Q20" i="1"/>
  <c r="R20" i="1"/>
  <c r="P20" i="1" s="1"/>
  <c r="Q19" i="1"/>
  <c r="R19" i="1"/>
  <c r="P19" i="1" s="1"/>
  <c r="N20" i="1"/>
  <c r="N45" i="1" s="1"/>
  <c r="N46" i="1" s="1"/>
  <c r="N48" i="1" s="1"/>
  <c r="N49" i="1" s="1"/>
  <c r="N19" i="1"/>
  <c r="N21" i="1" s="1"/>
  <c r="N22" i="1" s="1"/>
  <c r="N23" i="1" s="1"/>
  <c r="E19" i="1"/>
  <c r="G19" i="1"/>
  <c r="E20" i="1"/>
  <c r="G20" i="1"/>
  <c r="O122" i="2" l="1"/>
  <c r="E122" i="2"/>
  <c r="O127" i="2"/>
  <c r="O126" i="2"/>
  <c r="M127" i="2"/>
  <c r="M150" i="2" s="1"/>
  <c r="M155" i="2" s="1"/>
  <c r="M126" i="2"/>
  <c r="M148" i="2" s="1"/>
  <c r="M149" i="2" s="1"/>
  <c r="O129" i="2"/>
  <c r="O125" i="2"/>
  <c r="O128" i="2"/>
  <c r="O124" i="2"/>
  <c r="O123" i="2"/>
  <c r="O121" i="2"/>
  <c r="E121" i="2"/>
  <c r="E123" i="2"/>
  <c r="E124" i="2"/>
  <c r="E125" i="2"/>
  <c r="E126" i="2"/>
  <c r="E127" i="2"/>
  <c r="E128" i="2"/>
  <c r="E129" i="2"/>
  <c r="O120" i="2" l="1"/>
  <c r="O118" i="2"/>
  <c r="O119" i="2"/>
  <c r="O117" i="2"/>
  <c r="E118" i="2"/>
  <c r="H118" i="2" s="1"/>
  <c r="H131" i="2" s="1"/>
  <c r="H148" i="2" s="1"/>
  <c r="H166" i="2" s="1"/>
  <c r="H187" i="2" s="1"/>
  <c r="H201" i="2" s="1"/>
  <c r="H224" i="2" s="1"/>
  <c r="H225" i="2" s="1"/>
  <c r="H226" i="2" s="1"/>
  <c r="H255" i="2" s="1"/>
  <c r="H256" i="2" s="1"/>
  <c r="H281" i="2" s="1"/>
  <c r="H282" i="2" s="1"/>
  <c r="H297" i="2" s="1"/>
  <c r="H315" i="2" s="1"/>
  <c r="H328" i="2" s="1"/>
  <c r="E117" i="2"/>
  <c r="E119" i="2"/>
  <c r="E120" i="2"/>
  <c r="Q18" i="1"/>
  <c r="R18" i="1"/>
  <c r="P18" i="1" s="1"/>
  <c r="E18" i="1"/>
  <c r="G18" i="1"/>
  <c r="O114" i="2" l="1"/>
  <c r="O113" i="2"/>
  <c r="M114" i="2"/>
  <c r="M143" i="2" s="1"/>
  <c r="M147" i="2" s="1"/>
  <c r="M154" i="2" s="1"/>
  <c r="M113" i="2"/>
  <c r="M141" i="2" s="1"/>
  <c r="M142" i="2" s="1"/>
  <c r="O112" i="2"/>
  <c r="O111" i="2"/>
  <c r="O109" i="2"/>
  <c r="O116" i="2"/>
  <c r="O110" i="2"/>
  <c r="O108" i="2"/>
  <c r="O106" i="2"/>
  <c r="O115" i="2"/>
  <c r="O107" i="2"/>
  <c r="O105" i="2"/>
  <c r="O104" i="2"/>
  <c r="E116" i="2"/>
  <c r="E115" i="2"/>
  <c r="E114" i="2"/>
  <c r="E113" i="2"/>
  <c r="E112" i="2"/>
  <c r="E111" i="2"/>
  <c r="E109" i="2"/>
  <c r="E104" i="2"/>
  <c r="E105" i="2"/>
  <c r="E106" i="2"/>
  <c r="E107" i="2"/>
  <c r="E108" i="2"/>
  <c r="N17" i="1"/>
  <c r="N41" i="1" s="1"/>
  <c r="N42" i="1" s="1"/>
  <c r="N43" i="1" s="1"/>
  <c r="N44" i="1" s="1"/>
  <c r="Q16" i="1"/>
  <c r="R16" i="1"/>
  <c r="P16" i="1" s="1"/>
  <c r="Q17" i="1"/>
  <c r="R17" i="1"/>
  <c r="P17" i="1" s="1"/>
  <c r="E16" i="1"/>
  <c r="G16" i="1"/>
  <c r="E17" i="1"/>
  <c r="G17" i="1"/>
  <c r="H111" i="2" l="1"/>
  <c r="H119" i="2" s="1"/>
  <c r="H120" i="2" s="1"/>
  <c r="H134" i="2" s="1"/>
  <c r="H140" i="2" s="1"/>
  <c r="H141" i="2" s="1"/>
  <c r="H154" i="2" s="1"/>
  <c r="H169" i="2" s="1"/>
  <c r="H170" i="2" s="1"/>
  <c r="H179" i="2" s="1"/>
  <c r="H190" i="2" s="1"/>
  <c r="H204" i="2" s="1"/>
  <c r="H205" i="2" s="1"/>
  <c r="H214" i="2" s="1"/>
  <c r="H215" i="2" s="1"/>
  <c r="H232" i="2" l="1"/>
  <c r="H233" i="2" s="1"/>
  <c r="H242" i="2" s="1"/>
  <c r="H243" i="2" s="1"/>
  <c r="H247" i="2" s="1"/>
  <c r="H248" i="2" s="1"/>
  <c r="H257" i="2" s="1"/>
  <c r="H258" i="2" s="1"/>
  <c r="H270" i="2" s="1"/>
  <c r="H271" i="2" s="1"/>
  <c r="H272" i="2" s="1"/>
  <c r="H285" i="2" s="1"/>
  <c r="H286" i="2" s="1"/>
  <c r="H294" i="2" s="1"/>
  <c r="H295" i="2" s="1"/>
  <c r="H299" i="2" s="1"/>
  <c r="H300" i="2" s="1"/>
  <c r="O103" i="2"/>
  <c r="O102" i="2"/>
  <c r="E102" i="2"/>
  <c r="E103" i="2"/>
  <c r="O101" i="2" l="1"/>
  <c r="O100" i="2"/>
  <c r="M101" i="2"/>
  <c r="M137" i="2" s="1"/>
  <c r="M140" i="2" s="1"/>
  <c r="M100" i="2"/>
  <c r="M136" i="2" s="1"/>
  <c r="M139" i="2" s="1"/>
  <c r="O99" i="2"/>
  <c r="O98" i="2"/>
  <c r="O96" i="2"/>
  <c r="O97" i="2"/>
  <c r="E96" i="2"/>
  <c r="E97" i="2"/>
  <c r="E98" i="2"/>
  <c r="E99" i="2"/>
  <c r="E100" i="2"/>
  <c r="E101" i="2"/>
  <c r="Q14" i="1"/>
  <c r="R14" i="1"/>
  <c r="P14" i="1" s="1"/>
  <c r="Q15" i="1"/>
  <c r="R15" i="1"/>
  <c r="P15" i="1" s="1"/>
  <c r="N15" i="1"/>
  <c r="N16" i="1" s="1"/>
  <c r="N18" i="1" s="1"/>
  <c r="E14" i="1"/>
  <c r="G14" i="1"/>
  <c r="E15" i="1"/>
  <c r="G15" i="1"/>
  <c r="O95" i="2" l="1"/>
  <c r="O94" i="2"/>
  <c r="O93" i="2"/>
  <c r="O91" i="2"/>
  <c r="O92" i="2"/>
  <c r="E95" i="2"/>
  <c r="E91" i="2"/>
  <c r="E92" i="2"/>
  <c r="E93" i="2"/>
  <c r="E94" i="2"/>
  <c r="O90" i="2" l="1"/>
  <c r="O89" i="2"/>
  <c r="O88" i="2"/>
  <c r="E89" i="2" l="1"/>
  <c r="H89" i="2" s="1"/>
  <c r="H107" i="2" s="1"/>
  <c r="H108" i="2" s="1"/>
  <c r="H123" i="2" s="1"/>
  <c r="H137" i="2" s="1"/>
  <c r="H138" i="2" s="1"/>
  <c r="H157" i="2" s="1"/>
  <c r="H158" i="2" s="1"/>
  <c r="H159" i="2" s="1"/>
  <c r="H175" i="2" s="1"/>
  <c r="H176" i="2" s="1"/>
  <c r="H177" i="2" s="1"/>
  <c r="H191" i="2" s="1"/>
  <c r="H192" i="2" s="1"/>
  <c r="H193" i="2" s="1"/>
  <c r="E88" i="2"/>
  <c r="E90" i="2"/>
  <c r="H209" i="2" l="1"/>
  <c r="H210" i="2" s="1"/>
  <c r="H211" i="2" s="1"/>
  <c r="H212" i="2" s="1"/>
  <c r="H229" i="2" s="1"/>
  <c r="H230" i="2" s="1"/>
  <c r="H259" i="2" s="1"/>
  <c r="H274" i="2" s="1"/>
  <c r="H275" i="2" s="1"/>
  <c r="H276" i="2" s="1"/>
  <c r="H293" i="2" s="1"/>
  <c r="H303" i="2" s="1"/>
  <c r="H304" i="2" s="1"/>
  <c r="O82" i="2"/>
  <c r="O81" i="2"/>
  <c r="E82" i="2"/>
  <c r="E81" i="2"/>
  <c r="O84" i="2" l="1"/>
  <c r="E84" i="2"/>
  <c r="O74" i="2"/>
  <c r="O73" i="2"/>
  <c r="E73" i="2"/>
  <c r="E74" i="2"/>
  <c r="O87" i="2" l="1"/>
  <c r="O86" i="2"/>
  <c r="M87" i="2"/>
  <c r="M133" i="2" s="1"/>
  <c r="M134" i="2" s="1"/>
  <c r="M135" i="2" s="1"/>
  <c r="M86" i="2"/>
  <c r="O79" i="2"/>
  <c r="O78" i="2"/>
  <c r="O80" i="2"/>
  <c r="O85" i="2"/>
  <c r="O77" i="2"/>
  <c r="O83" i="2"/>
  <c r="O76" i="2"/>
  <c r="O75" i="2"/>
  <c r="E87" i="2"/>
  <c r="E86" i="2"/>
  <c r="E85" i="2"/>
  <c r="E80" i="2"/>
  <c r="E83" i="2"/>
  <c r="E75" i="2"/>
  <c r="E76" i="2"/>
  <c r="E77" i="2"/>
  <c r="E78" i="2"/>
  <c r="E79" i="2"/>
  <c r="Q13" i="1"/>
  <c r="R13" i="1"/>
  <c r="P13" i="1" s="1"/>
  <c r="E13" i="1"/>
  <c r="G13" i="1"/>
  <c r="M122" i="2" l="1"/>
  <c r="M125" i="2" s="1"/>
  <c r="M129" i="2" s="1"/>
  <c r="M130" i="2" s="1"/>
  <c r="M131" i="2" s="1"/>
  <c r="M132" i="2" s="1"/>
  <c r="O67" i="2"/>
  <c r="E67" i="2" l="1"/>
  <c r="O72" i="2" l="1"/>
  <c r="O71" i="2"/>
  <c r="M72" i="2"/>
  <c r="M118" i="2" s="1"/>
  <c r="M120" i="2" s="1"/>
  <c r="M121" i="2" s="1"/>
  <c r="M123" i="2" s="1"/>
  <c r="M124" i="2" s="1"/>
  <c r="M128" i="2" s="1"/>
  <c r="M71" i="2"/>
  <c r="M109" i="2" s="1"/>
  <c r="M111" i="2" s="1"/>
  <c r="M112" i="2" s="1"/>
  <c r="M117" i="2" s="1"/>
  <c r="M119" i="2" s="1"/>
  <c r="Q12" i="1"/>
  <c r="R12" i="1"/>
  <c r="P12" i="1" s="1"/>
  <c r="E12" i="1"/>
  <c r="G12" i="1"/>
  <c r="O70" i="2"/>
  <c r="O69" i="2"/>
  <c r="O68" i="2"/>
  <c r="O66" i="2"/>
  <c r="O65" i="2"/>
  <c r="E72" i="2"/>
  <c r="E71" i="2"/>
  <c r="E70" i="2"/>
  <c r="E69" i="2"/>
  <c r="E68" i="2"/>
  <c r="E66" i="2"/>
  <c r="E65" i="2"/>
  <c r="O61" i="2" l="1"/>
  <c r="O60" i="2"/>
  <c r="O58" i="2"/>
  <c r="O57" i="2"/>
  <c r="O55" i="2"/>
  <c r="O53" i="2"/>
  <c r="O59" i="2"/>
  <c r="O56" i="2"/>
  <c r="O54" i="2"/>
  <c r="O52" i="2"/>
  <c r="O51" i="2"/>
  <c r="E61" i="2"/>
  <c r="H61" i="2" s="1"/>
  <c r="E60" i="2"/>
  <c r="E59" i="2"/>
  <c r="E58" i="2"/>
  <c r="E57" i="2"/>
  <c r="E56" i="2"/>
  <c r="E55" i="2"/>
  <c r="E53" i="2"/>
  <c r="H81" i="2" l="1"/>
  <c r="H115" i="2" s="1"/>
  <c r="H128" i="2" s="1"/>
  <c r="H155" i="2" s="1"/>
  <c r="H185" i="2" s="1"/>
  <c r="H221" i="2" s="1"/>
  <c r="H245" i="2" s="1"/>
  <c r="H267" i="2" s="1"/>
  <c r="H287" i="2" s="1"/>
  <c r="H310" i="2" s="1"/>
  <c r="M64" i="2"/>
  <c r="M106" i="2" s="1"/>
  <c r="M108" i="2" s="1"/>
  <c r="M110" i="2" s="1"/>
  <c r="M116" i="2" s="1"/>
  <c r="M63" i="2"/>
  <c r="M80" i="2" s="1"/>
  <c r="M99" i="2" s="1"/>
  <c r="M104" i="2" s="1"/>
  <c r="M105" i="2" s="1"/>
  <c r="M107" i="2" s="1"/>
  <c r="M115" i="2" s="1"/>
  <c r="M62" i="2"/>
  <c r="M77" i="2" s="1"/>
  <c r="M85" i="2" s="1"/>
  <c r="M98" i="2" s="1"/>
  <c r="M103" i="2" s="1"/>
  <c r="O64" i="2"/>
  <c r="O63" i="2"/>
  <c r="O62" i="2"/>
  <c r="E54" i="2"/>
  <c r="E62" i="2"/>
  <c r="E63" i="2"/>
  <c r="E64" i="2"/>
  <c r="E52" i="2" l="1"/>
  <c r="H52" i="2" s="1"/>
  <c r="H53" i="2" s="1"/>
  <c r="H94" i="2" s="1"/>
  <c r="H95" i="2" s="1"/>
  <c r="H102" i="2" s="1"/>
  <c r="H103" i="2" s="1"/>
  <c r="H135" i="2" s="1"/>
  <c r="H136" i="2" s="1"/>
  <c r="H171" i="2" s="1"/>
  <c r="H172" i="2" s="1"/>
  <c r="H206" i="2" s="1"/>
  <c r="H207" i="2" s="1"/>
  <c r="H208" i="2" s="1"/>
  <c r="H239" i="2" s="1"/>
  <c r="H240" i="2" s="1"/>
  <c r="H260" i="2" s="1"/>
  <c r="H261" i="2" s="1"/>
  <c r="H289" i="2" s="1"/>
  <c r="E51" i="2"/>
  <c r="M35" i="2"/>
  <c r="O49" i="2" l="1"/>
  <c r="M49" i="2"/>
  <c r="M74" i="2" s="1"/>
  <c r="M81" i="2" s="1"/>
  <c r="M88" i="2" s="1"/>
  <c r="M89" i="2" s="1"/>
  <c r="M90" i="2" s="1"/>
  <c r="M92" i="2" s="1"/>
  <c r="E49" i="2"/>
  <c r="O50" i="2"/>
  <c r="O48" i="2"/>
  <c r="O47" i="2"/>
  <c r="O46" i="2"/>
  <c r="E48" i="2"/>
  <c r="E40" i="2"/>
  <c r="O42" i="2"/>
  <c r="O41" i="2"/>
  <c r="O37" i="2"/>
  <c r="O40" i="2"/>
  <c r="M40" i="2"/>
  <c r="M37" i="2" s="1"/>
  <c r="O38" i="2"/>
  <c r="O39" i="2"/>
  <c r="M38" i="2"/>
  <c r="M39" i="2" s="1"/>
  <c r="M43" i="2" s="1"/>
  <c r="M46" i="2" s="1"/>
  <c r="E39" i="2"/>
  <c r="H39" i="2" s="1"/>
  <c r="H56" i="2" s="1"/>
  <c r="H57" i="2" s="1"/>
  <c r="H58" i="2" s="1"/>
  <c r="H67" i="2" s="1"/>
  <c r="H83" i="2" s="1"/>
  <c r="H97" i="2" s="1"/>
  <c r="H109" i="2" s="1"/>
  <c r="H124" i="2" s="1"/>
  <c r="H139" i="2" s="1"/>
  <c r="H152" i="2" s="1"/>
  <c r="H153" i="2" s="1"/>
  <c r="H173" i="2" s="1"/>
  <c r="H174" i="2" s="1"/>
  <c r="H178" i="2" s="1"/>
  <c r="E38" i="2"/>
  <c r="N11" i="1" l="1"/>
  <c r="N12" i="1" s="1"/>
  <c r="N13" i="1" s="1"/>
  <c r="N14" i="1" s="1"/>
  <c r="Q10" i="1"/>
  <c r="R10" i="1"/>
  <c r="P10" i="1" s="1"/>
  <c r="Q11" i="1"/>
  <c r="R11" i="1"/>
  <c r="P11" i="1" s="1"/>
  <c r="E10" i="1"/>
  <c r="G10" i="1"/>
  <c r="E11" i="1"/>
  <c r="G11" i="1"/>
  <c r="M45" i="2"/>
  <c r="M47" i="2" s="1"/>
  <c r="M48" i="2" s="1"/>
  <c r="M50" i="2" s="1"/>
  <c r="O45" i="2"/>
  <c r="O43" i="2"/>
  <c r="O44" i="2"/>
  <c r="E41" i="2"/>
  <c r="E42" i="2"/>
  <c r="E43" i="2"/>
  <c r="E44" i="2"/>
  <c r="E45" i="2"/>
  <c r="H45" i="2" s="1"/>
  <c r="H78" i="2" s="1"/>
  <c r="H79" i="2" s="1"/>
  <c r="H80" i="2" s="1"/>
  <c r="H92" i="2" s="1"/>
  <c r="H93" i="2" s="1"/>
  <c r="H105" i="2" s="1"/>
  <c r="H106" i="2" s="1"/>
  <c r="H121" i="2" s="1"/>
  <c r="H122" i="2" s="1"/>
  <c r="H132" i="2" s="1"/>
  <c r="H133" i="2" s="1"/>
  <c r="H149" i="2" s="1"/>
  <c r="H150" i="2" s="1"/>
  <c r="H151" i="2" s="1"/>
  <c r="H167" i="2" s="1"/>
  <c r="H168" i="2" s="1"/>
  <c r="H188" i="2" s="1"/>
  <c r="H189" i="2" s="1"/>
  <c r="H202" i="2" s="1"/>
  <c r="H203" i="2" s="1"/>
  <c r="H227" i="2" s="1"/>
  <c r="H228" i="2" s="1"/>
  <c r="H238" i="2" s="1"/>
  <c r="E50" i="2"/>
  <c r="M41" i="2"/>
  <c r="M42" i="2" s="1"/>
  <c r="M44" i="2" s="1"/>
  <c r="E37" i="2" l="1"/>
  <c r="H37" i="2" s="1"/>
  <c r="H48" i="2" s="1"/>
  <c r="H49" i="2" s="1"/>
  <c r="H69" i="2" s="1"/>
  <c r="H70" i="2" s="1"/>
  <c r="H74" i="2" s="1"/>
  <c r="H90" i="2" s="1"/>
  <c r="H112" i="2" s="1"/>
  <c r="H125" i="2" s="1"/>
  <c r="H142" i="2" s="1"/>
  <c r="H143" i="2" s="1"/>
  <c r="H160" i="2" s="1"/>
  <c r="H180" i="2" s="1"/>
  <c r="H181" i="2" s="1"/>
  <c r="H195" i="2" s="1"/>
  <c r="O34" i="2" l="1"/>
  <c r="E34" i="2"/>
  <c r="O35" i="2" l="1"/>
  <c r="E36" i="2"/>
  <c r="E35" i="2"/>
  <c r="O33" i="2"/>
  <c r="O32" i="2"/>
  <c r="O31" i="2"/>
  <c r="M33" i="2"/>
  <c r="M67" i="2" s="1"/>
  <c r="M32" i="2"/>
  <c r="M66" i="2" s="1"/>
  <c r="M68" i="2" s="1"/>
  <c r="M31" i="2"/>
  <c r="M58" i="2" s="1"/>
  <c r="M60" i="2" s="1"/>
  <c r="M61" i="2" s="1"/>
  <c r="M65" i="2" s="1"/>
  <c r="M79" i="2" s="1"/>
  <c r="M70" i="2" l="1"/>
  <c r="M73" i="2" s="1"/>
  <c r="M75" i="2" s="1"/>
  <c r="M76" i="2" s="1"/>
  <c r="M83" i="2" s="1"/>
  <c r="M84" i="2" s="1"/>
  <c r="M69" i="2"/>
  <c r="E29" i="2"/>
  <c r="E30" i="2"/>
  <c r="E31" i="2"/>
  <c r="E32" i="2"/>
  <c r="E33" i="2"/>
  <c r="O11" i="3" l="1"/>
  <c r="E11" i="3"/>
  <c r="H11" i="3" s="1"/>
  <c r="H48" i="3" s="1"/>
  <c r="H49" i="3" s="1"/>
  <c r="H58" i="3" s="1"/>
  <c r="H62" i="3" s="1"/>
  <c r="H63" i="3" s="1"/>
  <c r="H66" i="3" s="1"/>
  <c r="H67" i="3" s="1"/>
  <c r="H80" i="3" s="1"/>
  <c r="H81" i="3" s="1"/>
  <c r="H91" i="3" s="1"/>
  <c r="H92" i="3" s="1"/>
  <c r="H94" i="3" s="1"/>
  <c r="H95" i="3" s="1"/>
  <c r="H96" i="3" s="1"/>
  <c r="H106" i="3" s="1"/>
  <c r="H114" i="3" s="1"/>
  <c r="H115" i="3" s="1"/>
  <c r="H116" i="3" s="1"/>
  <c r="H117" i="3" s="1"/>
  <c r="H124" i="3" s="1"/>
  <c r="O28" i="2"/>
  <c r="O27" i="2"/>
  <c r="O26" i="2"/>
  <c r="E28" i="2"/>
  <c r="E27" i="2"/>
  <c r="E26" i="2"/>
  <c r="Q9" i="1"/>
  <c r="R9" i="1"/>
  <c r="P9" i="1" s="1"/>
  <c r="E9" i="1"/>
  <c r="G9" i="1"/>
  <c r="M22" i="2" l="1"/>
  <c r="M26" i="2" s="1"/>
  <c r="M27" i="2" s="1"/>
  <c r="M28" i="2" s="1"/>
  <c r="M34" i="2" s="1"/>
  <c r="M18" i="2"/>
  <c r="M16" i="2"/>
  <c r="M12" i="2"/>
  <c r="M4" i="2"/>
  <c r="M3" i="2"/>
  <c r="M8" i="3"/>
  <c r="M3" i="3"/>
  <c r="O9" i="3" l="1"/>
  <c r="O10" i="3"/>
  <c r="E10" i="3"/>
  <c r="E9" i="3"/>
  <c r="H9" i="3" s="1"/>
  <c r="H12" i="3" s="1"/>
  <c r="H14" i="3" s="1"/>
  <c r="H15" i="3" s="1"/>
  <c r="H16" i="3" s="1"/>
  <c r="H17" i="3" s="1"/>
  <c r="H20" i="3" s="1"/>
  <c r="H21" i="3" s="1"/>
  <c r="H24" i="3" s="1"/>
  <c r="H25" i="3" s="1"/>
  <c r="H28" i="3" s="1"/>
  <c r="H29" i="3" s="1"/>
  <c r="H31" i="3" s="1"/>
  <c r="H33" i="3" s="1"/>
  <c r="H38" i="3" s="1"/>
  <c r="H39" i="3" s="1"/>
  <c r="H40" i="3" s="1"/>
  <c r="H42" i="3" s="1"/>
  <c r="H43" i="3" s="1"/>
  <c r="H46" i="3" s="1"/>
  <c r="H50" i="3" s="1"/>
  <c r="H51" i="3" s="1"/>
  <c r="H52" i="3" s="1"/>
  <c r="H59" i="3" s="1"/>
  <c r="H60" i="3" s="1"/>
  <c r="H61" i="3" s="1"/>
  <c r="H68" i="3" s="1"/>
  <c r="H69" i="3" s="1"/>
  <c r="H70" i="3" s="1"/>
  <c r="H76" i="3" s="1"/>
  <c r="H77" i="3" s="1"/>
  <c r="H85" i="3" s="1"/>
  <c r="H86" i="3" s="1"/>
  <c r="H87" i="3" s="1"/>
  <c r="H88" i="3" s="1"/>
  <c r="H93" i="3" s="1"/>
  <c r="H100" i="3" s="1"/>
  <c r="H101" i="3" s="1"/>
  <c r="H102" i="3" s="1"/>
  <c r="H103" i="3" s="1"/>
  <c r="H107" i="3" s="1"/>
  <c r="H120" i="3" s="1"/>
  <c r="H121" i="3" s="1"/>
  <c r="H127" i="3" s="1"/>
  <c r="H128" i="3" s="1"/>
  <c r="H129" i="3" s="1"/>
  <c r="H130" i="3" s="1"/>
  <c r="H137" i="3" s="1"/>
  <c r="H138" i="3" s="1"/>
  <c r="H139" i="3" s="1"/>
  <c r="H140" i="3" s="1"/>
  <c r="H145" i="3" s="1"/>
  <c r="H146" i="3" s="1"/>
  <c r="H147" i="3" s="1"/>
  <c r="H158" i="3" s="1"/>
  <c r="H159" i="3" s="1"/>
  <c r="H160" i="3" s="1"/>
  <c r="H161" i="3" s="1"/>
  <c r="H166" i="3" s="1"/>
  <c r="H173" i="3" s="1"/>
  <c r="H174" i="3" s="1"/>
  <c r="H175" i="3" s="1"/>
  <c r="H176" i="3" s="1"/>
  <c r="H180" i="3" s="1"/>
  <c r="H192" i="3" s="1"/>
  <c r="H193" i="3" s="1"/>
  <c r="H194" i="3" s="1"/>
  <c r="H195" i="3" s="1"/>
  <c r="H202" i="3" s="1"/>
  <c r="H210" i="3" s="1"/>
  <c r="H211" i="3" s="1"/>
  <c r="H212" i="3" s="1"/>
  <c r="H213" i="3" s="1"/>
  <c r="H218" i="3" s="1"/>
  <c r="H227" i="3" s="1"/>
  <c r="M25" i="2"/>
  <c r="M57" i="2" s="1"/>
  <c r="M24" i="2"/>
  <c r="M55" i="2" s="1"/>
  <c r="M23" i="2"/>
  <c r="M53" i="2" s="1"/>
  <c r="O25" i="2"/>
  <c r="O24" i="2"/>
  <c r="O23" i="2"/>
  <c r="O22" i="2"/>
  <c r="O20" i="2"/>
  <c r="O21" i="2"/>
  <c r="E23" i="2"/>
  <c r="E24" i="2"/>
  <c r="E25" i="2"/>
  <c r="E20" i="2"/>
  <c r="N8" i="1"/>
  <c r="N9" i="1" s="1"/>
  <c r="N10" i="1" s="1"/>
  <c r="Q8" i="1"/>
  <c r="R8" i="1"/>
  <c r="P8" i="1" s="1"/>
  <c r="R7" i="1"/>
  <c r="P7" i="1" s="1"/>
  <c r="Q7" i="1"/>
  <c r="E8" i="1"/>
  <c r="G8" i="1"/>
  <c r="E7" i="1"/>
  <c r="G7" i="1"/>
  <c r="N3" i="1"/>
  <c r="H228" i="3" l="1"/>
  <c r="O19" i="2"/>
  <c r="O18" i="2"/>
  <c r="O17" i="2"/>
  <c r="O16" i="2"/>
  <c r="O15" i="2"/>
  <c r="E17" i="2"/>
  <c r="H17" i="2" s="1"/>
  <c r="E19" i="2"/>
  <c r="H19" i="2" s="1"/>
  <c r="H40" i="2" s="1"/>
  <c r="H50" i="2" s="1"/>
  <c r="H82" i="2" s="1"/>
  <c r="H116" i="2" s="1"/>
  <c r="H129" i="2" s="1"/>
  <c r="H156" i="2" s="1"/>
  <c r="H186" i="2" s="1"/>
  <c r="H222" i="2" s="1"/>
  <c r="H246" i="2" s="1"/>
  <c r="H268" i="2" s="1"/>
  <c r="H288" i="2" s="1"/>
  <c r="H312" i="2" s="1"/>
  <c r="H340" i="2" s="1"/>
  <c r="H355" i="2" s="1"/>
  <c r="H375" i="2" s="1"/>
  <c r="H398" i="2" s="1"/>
  <c r="H413" i="2" s="1"/>
  <c r="H426" i="2" s="1"/>
  <c r="H437" i="2" s="1"/>
  <c r="H460" i="2" s="1"/>
  <c r="H468" i="2" s="1"/>
  <c r="H483" i="2" s="1"/>
  <c r="H496" i="2" s="1"/>
  <c r="E18" i="2"/>
  <c r="E16" i="2"/>
  <c r="E15" i="2"/>
  <c r="H15" i="2" s="1"/>
  <c r="H229" i="3" l="1"/>
  <c r="H234" i="3" s="1"/>
  <c r="H235" i="3" s="1"/>
  <c r="H247" i="3" s="1"/>
  <c r="H248" i="3" s="1"/>
  <c r="H253" i="3" s="1"/>
  <c r="H254" i="3" s="1"/>
  <c r="H255" i="3" s="1"/>
  <c r="H262" i="3" s="1"/>
  <c r="H263" i="3" s="1"/>
  <c r="H264" i="3" s="1"/>
  <c r="H269" i="3" s="1"/>
  <c r="O14" i="2"/>
  <c r="O13" i="2"/>
  <c r="O12" i="2"/>
  <c r="O11" i="2"/>
  <c r="O10" i="2"/>
  <c r="E13" i="2"/>
  <c r="H13" i="2" s="1"/>
  <c r="H28" i="2" s="1"/>
  <c r="H44" i="2" s="1"/>
  <c r="E12" i="2"/>
  <c r="E11" i="2"/>
  <c r="E10" i="2"/>
  <c r="H10" i="2" s="1"/>
  <c r="H26" i="2" s="1"/>
  <c r="H41" i="2" s="1"/>
  <c r="H75" i="2" s="1"/>
  <c r="H91" i="2" s="1"/>
  <c r="H104" i="2" s="1"/>
  <c r="H130" i="2" s="1"/>
  <c r="H147" i="2" s="1"/>
  <c r="H164" i="2" s="1"/>
  <c r="H165" i="2" s="1"/>
  <c r="H200" i="2" s="1"/>
  <c r="H223" i="2" s="1"/>
  <c r="H254" i="2" s="1"/>
  <c r="H280" i="2" s="1"/>
  <c r="H314" i="2" s="1"/>
  <c r="H327" i="2" s="1"/>
  <c r="H341" i="2" s="1"/>
  <c r="H369" i="2" s="1"/>
  <c r="H383" i="2" s="1"/>
  <c r="H414" i="2" s="1"/>
  <c r="H438" i="2" s="1"/>
  <c r="H450" i="2" s="1"/>
  <c r="H471" i="2" s="1"/>
  <c r="H485" i="2" s="1"/>
  <c r="H510" i="2" s="1"/>
  <c r="H526" i="2" s="1"/>
  <c r="H527" i="2" s="1"/>
  <c r="H543" i="2" s="1"/>
  <c r="H554" i="2" s="1"/>
  <c r="H578" i="2" s="1"/>
  <c r="H594" i="2" s="1"/>
  <c r="H611" i="2" s="1"/>
  <c r="H633" i="2" s="1"/>
  <c r="H645" i="2" s="1"/>
  <c r="H669" i="2" s="1"/>
  <c r="H670" i="2" s="1"/>
  <c r="H677" i="2" s="1"/>
  <c r="H698" i="2" s="1"/>
  <c r="H709" i="2" s="1"/>
  <c r="H710" i="2" s="1"/>
  <c r="H731" i="2" s="1"/>
  <c r="H732" i="2" s="1"/>
  <c r="H744" i="2" s="1"/>
  <c r="H767" i="2" s="1"/>
  <c r="H781" i="2" s="1"/>
  <c r="H790" i="2" s="1"/>
  <c r="H805" i="2" s="1"/>
  <c r="H817" i="2" s="1"/>
  <c r="H848" i="2" s="1"/>
  <c r="H883" i="2" s="1"/>
  <c r="H905" i="2" s="1"/>
  <c r="H942" i="2" s="1"/>
  <c r="H958" i="2" s="1"/>
  <c r="H974" i="2" s="1"/>
  <c r="H975" i="2" s="1"/>
  <c r="H1013" i="2" s="1"/>
  <c r="N6" i="1"/>
  <c r="N37" i="1" s="1"/>
  <c r="N38" i="1" s="1"/>
  <c r="N40" i="1" s="1"/>
  <c r="N5" i="1"/>
  <c r="N34" i="1" s="1"/>
  <c r="N35" i="1" s="1"/>
  <c r="N36" i="1" s="1"/>
  <c r="Q6" i="1"/>
  <c r="R6" i="1"/>
  <c r="P6" i="1" s="1"/>
  <c r="Q5" i="1"/>
  <c r="R5" i="1"/>
  <c r="P5" i="1" s="1"/>
  <c r="Q4" i="1"/>
  <c r="R4" i="1"/>
  <c r="P4" i="1" s="1"/>
  <c r="G4" i="1"/>
  <c r="G5" i="1"/>
  <c r="G6" i="1"/>
  <c r="E4" i="1"/>
  <c r="E5" i="1"/>
  <c r="E6" i="1"/>
  <c r="M6" i="3" l="1"/>
  <c r="M5" i="3"/>
  <c r="O6" i="3"/>
  <c r="O5" i="3"/>
  <c r="O8" i="3"/>
  <c r="O7" i="3"/>
  <c r="O4" i="3"/>
  <c r="E8" i="3"/>
  <c r="E7" i="3"/>
  <c r="H7" i="3" s="1"/>
  <c r="E4" i="3"/>
  <c r="H4" i="3" s="1"/>
  <c r="E5" i="3"/>
  <c r="E6" i="3"/>
  <c r="M9" i="2"/>
  <c r="M51" i="2" s="1"/>
  <c r="M52" i="2" s="1"/>
  <c r="M54" i="2" s="1"/>
  <c r="M56" i="2" s="1"/>
  <c r="M59" i="2" s="1"/>
  <c r="M78" i="2" s="1"/>
  <c r="M8" i="2"/>
  <c r="M95" i="2" s="1"/>
  <c r="M96" i="2" s="1"/>
  <c r="M97" i="2" s="1"/>
  <c r="M102" i="2" s="1"/>
  <c r="M7" i="2"/>
  <c r="M82" i="2" s="1"/>
  <c r="M91" i="2" s="1"/>
  <c r="M93" i="2" s="1"/>
  <c r="M94" i="2" s="1"/>
  <c r="O9" i="2"/>
  <c r="O8" i="2"/>
  <c r="O7" i="2"/>
  <c r="O6" i="2"/>
  <c r="E8" i="2"/>
  <c r="E9" i="2"/>
  <c r="E7" i="2"/>
  <c r="H7" i="2" s="1"/>
  <c r="E6" i="2"/>
  <c r="H6" i="2" s="1"/>
  <c r="H20" i="2" s="1"/>
  <c r="H38" i="2" s="1"/>
  <c r="H65" i="2" s="1"/>
  <c r="H66" i="2" s="1"/>
  <c r="H88" i="2" s="1"/>
  <c r="O3" i="3" l="1"/>
  <c r="E3" i="3"/>
  <c r="H3" i="3" s="1"/>
  <c r="H56" i="3" s="1"/>
  <c r="H57" i="3" s="1"/>
  <c r="H82" i="3" s="1"/>
  <c r="H83" i="3" s="1"/>
  <c r="H84" i="3" s="1"/>
  <c r="H89" i="3" s="1"/>
  <c r="H90" i="3" s="1"/>
  <c r="H97" i="3" s="1"/>
  <c r="H98" i="3" s="1"/>
  <c r="H99" i="3" s="1"/>
  <c r="H104" i="3" s="1"/>
  <c r="H105" i="3" s="1"/>
  <c r="H111" i="3" s="1"/>
  <c r="O5" i="2"/>
  <c r="O4" i="2"/>
  <c r="O3" i="2"/>
  <c r="H5" i="2"/>
  <c r="H14" i="2" s="1"/>
  <c r="E4" i="2"/>
  <c r="E3" i="2"/>
  <c r="H3" i="2" s="1"/>
  <c r="Q3" i="1"/>
  <c r="R3" i="1"/>
  <c r="P3" i="1" s="1"/>
  <c r="E3" i="1"/>
  <c r="I3" i="1" s="1"/>
  <c r="G3" i="1"/>
  <c r="I4" i="1" l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H5" i="3"/>
  <c r="H6" i="3" s="1"/>
  <c r="M9" i="3" l="1"/>
  <c r="M10" i="3" s="1"/>
  <c r="M11" i="3" s="1"/>
  <c r="M19" i="2" l="1"/>
  <c r="M20" i="2" s="1"/>
  <c r="M21" i="2" s="1"/>
  <c r="M17" i="2"/>
  <c r="M13" i="2"/>
  <c r="M14" i="2" s="1"/>
  <c r="M15" i="2" s="1"/>
  <c r="M4" i="3"/>
  <c r="M7" i="3" s="1"/>
  <c r="H8" i="3" l="1"/>
  <c r="H10" i="3" s="1"/>
  <c r="H13" i="3" l="1"/>
  <c r="H18" i="3" s="1"/>
  <c r="H19" i="3" s="1"/>
  <c r="M5" i="2"/>
  <c r="M6" i="2" s="1"/>
  <c r="M10" i="2" s="1"/>
  <c r="M11" i="2" s="1"/>
  <c r="N4" i="1" l="1"/>
  <c r="N7" i="1" s="1"/>
  <c r="H21" i="2" l="1"/>
  <c r="H22" i="2" s="1"/>
  <c r="H46" i="2" s="1"/>
  <c r="H47" i="2" l="1"/>
  <c r="H54" i="2" s="1"/>
  <c r="H55" i="2" s="1"/>
  <c r="H68" i="2" s="1"/>
  <c r="H73" i="2" s="1"/>
  <c r="H84" i="2" s="1"/>
  <c r="H85" i="2" s="1"/>
  <c r="H98" i="2" s="1"/>
  <c r="H99" i="2" s="1"/>
  <c r="H16" i="2"/>
  <c r="H51" i="2" s="1"/>
  <c r="H4" i="2" l="1"/>
  <c r="H11" i="2" s="1"/>
  <c r="H12" i="2" s="1"/>
  <c r="H27" i="2" s="1"/>
  <c r="H42" i="2" s="1"/>
  <c r="H43" i="2" s="1"/>
  <c r="H76" i="2" s="1"/>
  <c r="H77" i="2" s="1"/>
  <c r="H96" i="2" s="1"/>
  <c r="H117" i="2" s="1"/>
  <c r="H8" i="2" l="1"/>
  <c r="H9" i="2" s="1"/>
  <c r="H23" i="2" s="1"/>
  <c r="H24" i="2" s="1"/>
  <c r="H25" i="2" s="1"/>
  <c r="H31" i="2" s="1"/>
  <c r="H32" i="2" s="1"/>
  <c r="H33" i="2" s="1"/>
  <c r="H62" i="2" s="1"/>
  <c r="H63" i="2" s="1"/>
  <c r="H64" i="2" s="1"/>
  <c r="H71" i="2" s="1"/>
  <c r="H72" i="2" s="1"/>
  <c r="H86" i="2" s="1"/>
  <c r="H87" i="2" s="1"/>
  <c r="H100" i="2" s="1"/>
  <c r="H101" i="2" s="1"/>
  <c r="H113" i="2" s="1"/>
  <c r="H114" i="2" s="1"/>
  <c r="H126" i="2" s="1"/>
  <c r="H127" i="2" s="1"/>
  <c r="H144" i="2" s="1"/>
  <c r="H145" i="2" s="1"/>
  <c r="H146" i="2" s="1"/>
  <c r="H161" i="2" s="1"/>
  <c r="H162" i="2" s="1"/>
  <c r="H163" i="2" s="1"/>
  <c r="H182" i="2" s="1"/>
  <c r="H183" i="2" l="1"/>
  <c r="H184" i="2" s="1"/>
  <c r="H198" i="2" s="1"/>
  <c r="H199" i="2" s="1"/>
  <c r="H196" i="2"/>
  <c r="H18" i="2"/>
  <c r="H34" i="2" s="1"/>
  <c r="H35" i="2" s="1"/>
  <c r="H59" i="2" s="1"/>
  <c r="H60" i="2" s="1"/>
</calcChain>
</file>

<file path=xl/comments1.xml><?xml version="1.0" encoding="utf-8"?>
<comments xmlns="http://schemas.openxmlformats.org/spreadsheetml/2006/main">
  <authors>
    <author>賴妍蓁</author>
    <author>C732-PC</author>
  </authors>
  <commentList>
    <comment ref="L184" authorId="0" shapeId="0">
      <text>
        <r>
          <rPr>
            <b/>
            <sz val="9"/>
            <color indexed="81"/>
            <rFont val="細明體"/>
            <family val="3"/>
            <charset val="136"/>
          </rPr>
          <t>賴妍蓁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</t>
        </r>
        <r>
          <rPr>
            <sz val="9"/>
            <color indexed="81"/>
            <rFont val="細明體"/>
            <family val="3"/>
            <charset val="136"/>
          </rPr>
          <t>桶出福懋</t>
        </r>
      </text>
    </comment>
    <comment ref="L334" authorId="1" shapeId="0">
      <text>
        <r>
          <rPr>
            <sz val="9"/>
            <color indexed="81"/>
            <rFont val="Tahoma"/>
            <family val="2"/>
          </rPr>
          <t>25B05M5001#6</t>
        </r>
        <r>
          <rPr>
            <sz val="9"/>
            <color indexed="81"/>
            <rFont val="細明體"/>
            <family val="3"/>
            <charset val="136"/>
          </rPr>
          <t>改成26303M5001#42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6" authorId="1" shapeId="0">
      <text>
        <r>
          <rPr>
            <b/>
            <sz val="9"/>
            <color indexed="81"/>
            <rFont val="Tahoma"/>
            <family val="2"/>
          </rPr>
          <t>25B05M5001#41</t>
        </r>
        <r>
          <rPr>
            <b/>
            <sz val="9"/>
            <color indexed="81"/>
            <rFont val="細明體"/>
            <family val="3"/>
            <charset val="136"/>
          </rPr>
          <t>改成</t>
        </r>
        <r>
          <rPr>
            <b/>
            <sz val="9"/>
            <color indexed="81"/>
            <rFont val="Tahoma"/>
            <family val="2"/>
          </rPr>
          <t>26305M5001#20</t>
        </r>
      </text>
    </comment>
    <comment ref="L364" authorId="1" shapeId="0">
      <text>
        <r>
          <rPr>
            <b/>
            <sz val="9"/>
            <color indexed="81"/>
            <rFont val="Tahoma"/>
            <family val="2"/>
          </rPr>
          <t>25B23M5001#33</t>
        </r>
        <r>
          <rPr>
            <b/>
            <sz val="9"/>
            <color indexed="81"/>
            <rFont val="細明體"/>
            <family val="3"/>
            <charset val="136"/>
          </rPr>
          <t>換標成263105001#42</t>
        </r>
      </text>
    </comment>
    <comment ref="L368" authorId="1" shapeId="0">
      <text>
        <r>
          <rPr>
            <b/>
            <sz val="9"/>
            <color indexed="81"/>
            <rFont val="Tahoma"/>
            <family val="2"/>
          </rPr>
          <t>25B23M5001#34</t>
        </r>
        <r>
          <rPr>
            <b/>
            <sz val="9"/>
            <color indexed="81"/>
            <rFont val="細明體"/>
            <family val="3"/>
            <charset val="136"/>
          </rPr>
          <t>改標26314M5001#42</t>
        </r>
      </text>
    </comment>
    <comment ref="L396" authorId="1" shapeId="0">
      <text>
        <r>
          <rPr>
            <b/>
            <sz val="9"/>
            <color indexed="81"/>
            <rFont val="Tahoma"/>
            <family val="2"/>
          </rPr>
          <t>26320M5001#37-40</t>
        </r>
        <r>
          <rPr>
            <b/>
            <sz val="9"/>
            <color indexed="81"/>
            <rFont val="細明體"/>
            <family val="3"/>
            <charset val="136"/>
          </rPr>
          <t xml:space="preserve">改標26406M5001#1-4，數量扣4桶
</t>
        </r>
      </text>
    </comment>
    <comment ref="K694" authorId="1" shapeId="0">
      <text>
        <r>
          <rPr>
            <b/>
            <sz val="9"/>
            <color indexed="81"/>
            <rFont val="細明體"/>
            <family val="3"/>
            <charset val="136"/>
          </rPr>
          <t>4桶-20260618003
4桶-20260622001</t>
        </r>
      </text>
    </comment>
    <comment ref="L714" authorId="1" shapeId="0">
      <text>
        <r>
          <rPr>
            <b/>
            <sz val="9"/>
            <color indexed="81"/>
            <rFont val="Tahoma"/>
            <family val="2"/>
          </rPr>
          <t xml:space="preserve">26617M5001#37-40
</t>
        </r>
        <r>
          <rPr>
            <b/>
            <sz val="9"/>
            <color indexed="81"/>
            <rFont val="細明體"/>
            <family val="3"/>
            <charset val="136"/>
          </rPr>
          <t>改標為26712M5001#1-4</t>
        </r>
      </text>
    </comment>
    <comment ref="L716" authorId="1" shapeId="0">
      <text>
        <r>
          <rPr>
            <b/>
            <sz val="9"/>
            <color indexed="81"/>
            <rFont val="Tahoma"/>
            <family val="2"/>
          </rPr>
          <t>25B19M5001#37</t>
        </r>
        <r>
          <rPr>
            <b/>
            <sz val="9"/>
            <color indexed="81"/>
            <rFont val="細明體"/>
            <family val="3"/>
            <charset val="136"/>
          </rPr>
          <t>改標26619M5001#42</t>
        </r>
      </text>
    </comment>
    <comment ref="L737" authorId="1" shapeId="0">
      <text>
        <r>
          <rPr>
            <b/>
            <sz val="9"/>
            <color indexed="81"/>
            <rFont val="Tahoma"/>
            <family val="2"/>
          </rPr>
          <t>25B19M5001#38</t>
        </r>
        <r>
          <rPr>
            <b/>
            <sz val="9"/>
            <color indexed="81"/>
            <rFont val="細明體"/>
            <family val="3"/>
            <charset val="136"/>
          </rPr>
          <t>改標</t>
        </r>
        <r>
          <rPr>
            <b/>
            <sz val="9"/>
            <color indexed="81"/>
            <rFont val="Tahoma"/>
            <family val="2"/>
          </rPr>
          <t>26624M5001#42</t>
        </r>
      </text>
    </comment>
    <comment ref="L740" authorId="1" shapeId="0">
      <text>
        <r>
          <rPr>
            <b/>
            <sz val="9"/>
            <color indexed="81"/>
            <rFont val="Tahoma"/>
            <family val="2"/>
          </rPr>
          <t>25B19M5001#37</t>
        </r>
        <r>
          <rPr>
            <b/>
            <sz val="9"/>
            <color indexed="81"/>
            <rFont val="細明體"/>
            <family val="3"/>
            <charset val="136"/>
          </rPr>
          <t>改標</t>
        </r>
        <r>
          <rPr>
            <b/>
            <sz val="9"/>
            <color indexed="81"/>
            <rFont val="Tahoma"/>
            <family val="2"/>
          </rPr>
          <t>26627M5001#39</t>
        </r>
      </text>
    </comment>
    <comment ref="H939" authorId="1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餘量結單
</t>
        </r>
      </text>
    </comment>
  </commentList>
</comments>
</file>

<file path=xl/comments2.xml><?xml version="1.0" encoding="utf-8"?>
<comments xmlns="http://schemas.openxmlformats.org/spreadsheetml/2006/main">
  <authors>
    <author>C732-PC</author>
  </authors>
  <commentList>
    <comment ref="L235" authorId="0" shapeId="0">
      <text>
        <r>
          <rPr>
            <b/>
            <sz val="9"/>
            <color indexed="81"/>
            <rFont val="Tahoma"/>
            <family val="2"/>
          </rPr>
          <t>26608M5101#37-40</t>
        </r>
        <r>
          <rPr>
            <b/>
            <sz val="9"/>
            <color indexed="81"/>
            <rFont val="細明體"/>
            <family val="3"/>
            <charset val="136"/>
          </rPr>
          <t>改標成</t>
        </r>
        <r>
          <rPr>
            <b/>
            <sz val="9"/>
            <color indexed="81"/>
            <rFont val="Tahoma"/>
            <family val="2"/>
          </rPr>
          <t>26702M5101#1-4</t>
        </r>
      </text>
    </comment>
    <comment ref="K274" authorId="0" shapeId="0">
      <text>
        <r>
          <rPr>
            <b/>
            <sz val="9"/>
            <color indexed="81"/>
            <rFont val="Tahoma"/>
            <family val="2"/>
          </rPr>
          <t>20260702008*16</t>
        </r>
        <r>
          <rPr>
            <b/>
            <sz val="9"/>
            <color indexed="81"/>
            <rFont val="細明體"/>
            <family val="3"/>
            <charset val="136"/>
          </rPr>
          <t>桶</t>
        </r>
        <r>
          <rPr>
            <b/>
            <sz val="9"/>
            <color indexed="81"/>
            <rFont val="Tahoma"/>
            <family val="2"/>
          </rPr>
          <t xml:space="preserve">
20260703001*4</t>
        </r>
        <r>
          <rPr>
            <b/>
            <sz val="9"/>
            <color indexed="81"/>
            <rFont val="細明體"/>
            <family val="3"/>
            <charset val="136"/>
          </rPr>
          <t>桶</t>
        </r>
      </text>
    </comment>
    <comment ref="L277" authorId="0" shapeId="0">
      <text>
        <r>
          <rPr>
            <sz val="9"/>
            <color indexed="81"/>
            <rFont val="Tahoma"/>
            <family val="2"/>
          </rPr>
          <t xml:space="preserve">26622M5101#37-40
</t>
        </r>
        <r>
          <rPr>
            <sz val="9"/>
            <color indexed="81"/>
            <rFont val="細明體"/>
            <family val="3"/>
            <charset val="136"/>
          </rPr>
          <t xml:space="preserve">改標成26725M5101#1-4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6" authorId="0" shapeId="0">
      <text>
        <r>
          <rPr>
            <b/>
            <sz val="9"/>
            <color indexed="81"/>
            <rFont val="Tahoma"/>
            <family val="2"/>
          </rPr>
          <t>20260716003</t>
        </r>
        <r>
          <rPr>
            <b/>
            <sz val="9"/>
            <color indexed="81"/>
            <rFont val="細明體"/>
            <family val="3"/>
            <charset val="136"/>
          </rPr>
          <t>出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細明體"/>
            <family val="3"/>
            <charset val="136"/>
          </rPr>
          <t>桶
20260717001出4桶
加起來共出16桶</t>
        </r>
      </text>
    </comment>
    <comment ref="K312" authorId="0" shapeId="0">
      <text>
        <r>
          <rPr>
            <b/>
            <sz val="9"/>
            <color indexed="81"/>
            <rFont val="Tahoma"/>
            <family val="2"/>
          </rPr>
          <t>20260720004</t>
        </r>
        <r>
          <rPr>
            <b/>
            <sz val="9"/>
            <color indexed="81"/>
            <rFont val="細明體"/>
            <family val="3"/>
            <charset val="136"/>
          </rPr>
          <t>出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細明體"/>
            <family val="3"/>
            <charset val="136"/>
          </rPr>
          <t xml:space="preserve">桶
</t>
        </r>
        <r>
          <rPr>
            <b/>
            <sz val="9"/>
            <color indexed="81"/>
            <rFont val="Tahoma"/>
            <family val="2"/>
          </rPr>
          <t>20260721001</t>
        </r>
        <r>
          <rPr>
            <b/>
            <sz val="9"/>
            <color indexed="81"/>
            <rFont val="細明體"/>
            <family val="3"/>
            <charset val="136"/>
          </rPr>
          <t>出8桶
共出20桶</t>
        </r>
      </text>
    </comment>
    <comment ref="K322" authorId="0" shapeId="0">
      <text>
        <r>
          <rPr>
            <sz val="9"/>
            <color indexed="81"/>
            <rFont val="Tahoma"/>
            <family val="2"/>
          </rPr>
          <t>20260723005*5</t>
        </r>
        <r>
          <rPr>
            <sz val="9"/>
            <color indexed="81"/>
            <rFont val="細明體"/>
            <family val="3"/>
            <charset val="136"/>
          </rPr>
          <t xml:space="preserve">桶
20260724001*4桶
共出9桶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7" authorId="0" shapeId="0">
      <text>
        <r>
          <rPr>
            <b/>
            <sz val="9"/>
            <color indexed="81"/>
            <rFont val="細明體"/>
            <family val="3"/>
            <charset val="136"/>
          </rPr>
          <t>餘數結單(除不盡)</t>
        </r>
      </text>
    </comment>
    <comment ref="H359" authorId="0" shapeId="0">
      <text>
        <r>
          <rPr>
            <b/>
            <sz val="9"/>
            <color indexed="81"/>
            <rFont val="細明體"/>
            <family val="3"/>
            <charset val="136"/>
          </rPr>
          <t>餘數結單(除不盡)</t>
        </r>
      </text>
    </comment>
    <comment ref="L363" authorId="0" shapeId="0">
      <text>
        <r>
          <rPr>
            <b/>
            <sz val="9"/>
            <color indexed="81"/>
            <rFont val="Tahoma"/>
            <family val="2"/>
          </rPr>
          <t>26727M5101#37-40</t>
        </r>
        <r>
          <rPr>
            <b/>
            <sz val="9"/>
            <color indexed="81"/>
            <rFont val="細明體"/>
            <family val="3"/>
            <charset val="136"/>
          </rPr>
          <t xml:space="preserve">改標為26908M5101#1-4
</t>
        </r>
      </text>
    </comment>
    <comment ref="G379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385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386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387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398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399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411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412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413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423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424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H427" authorId="0" shapeId="0">
      <text>
        <r>
          <rPr>
            <b/>
            <sz val="9"/>
            <color indexed="81"/>
            <rFont val="細明體"/>
            <family val="3"/>
            <charset val="136"/>
          </rPr>
          <t>餘量結單</t>
        </r>
      </text>
    </comment>
    <comment ref="G440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446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G447" authorId="0" shapeId="0">
      <text>
        <r>
          <rPr>
            <b/>
            <sz val="9"/>
            <color indexed="81"/>
            <rFont val="細明體"/>
            <family val="3"/>
            <charset val="136"/>
          </rPr>
          <t>用</t>
        </r>
        <r>
          <rPr>
            <b/>
            <sz val="9"/>
            <color indexed="81"/>
            <rFont val="Tahoma"/>
            <family val="2"/>
          </rPr>
          <t>L1400241</t>
        </r>
        <r>
          <rPr>
            <b/>
            <sz val="9"/>
            <color indexed="81"/>
            <rFont val="細明體"/>
            <family val="3"/>
            <charset val="136"/>
          </rPr>
          <t>料號的</t>
        </r>
        <r>
          <rPr>
            <b/>
            <sz val="9"/>
            <color indexed="81"/>
            <rFont val="Tahoma"/>
            <family val="2"/>
          </rPr>
          <t xml:space="preserve">PO
</t>
        </r>
      </text>
    </comment>
    <comment ref="H463" authorId="0" shapeId="0">
      <text>
        <r>
          <rPr>
            <b/>
            <sz val="9"/>
            <color indexed="81"/>
            <rFont val="細明體"/>
            <family val="3"/>
            <charset val="136"/>
          </rPr>
          <t>餘量結單</t>
        </r>
      </text>
    </comment>
  </commentList>
</comments>
</file>

<file path=xl/sharedStrings.xml><?xml version="1.0" encoding="utf-8"?>
<sst xmlns="http://schemas.openxmlformats.org/spreadsheetml/2006/main" count="5766" uniqueCount="2297">
  <si>
    <t xml:space="preserve"> </t>
    <phoneticPr fontId="3" type="noConversion"/>
  </si>
  <si>
    <t>廠區</t>
    <phoneticPr fontId="3" type="noConversion"/>
  </si>
  <si>
    <t>總量</t>
    <phoneticPr fontId="3" type="noConversion"/>
  </si>
  <si>
    <t>出貨</t>
    <phoneticPr fontId="3" type="noConversion"/>
  </si>
  <si>
    <t>到貨</t>
    <phoneticPr fontId="3" type="noConversion"/>
  </si>
  <si>
    <r>
      <rPr>
        <b/>
        <sz val="10"/>
        <color theme="1"/>
        <rFont val="新細明體"/>
        <family val="1"/>
        <charset val="136"/>
      </rPr>
      <t>批號</t>
    </r>
    <phoneticPr fontId="3" type="noConversion"/>
  </si>
  <si>
    <t>桶數</t>
    <phoneticPr fontId="3" type="noConversion"/>
  </si>
  <si>
    <t>總重(L)</t>
    <phoneticPr fontId="3" type="noConversion"/>
  </si>
  <si>
    <r>
      <rPr>
        <b/>
        <sz val="10"/>
        <color theme="1"/>
        <rFont val="新細明體"/>
        <family val="1"/>
        <charset val="136"/>
      </rPr>
      <t>到貨地點</t>
    </r>
    <phoneticPr fontId="3" type="noConversion"/>
  </si>
  <si>
    <t>總重(KG)</t>
    <phoneticPr fontId="3" type="noConversion"/>
  </si>
  <si>
    <r>
      <rPr>
        <b/>
        <sz val="10"/>
        <color theme="1"/>
        <rFont val="新細明體"/>
        <family val="1"/>
        <charset val="136"/>
      </rPr>
      <t>採購單號</t>
    </r>
    <phoneticPr fontId="3" type="noConversion"/>
  </si>
  <si>
    <t>PO餘數</t>
    <phoneticPr fontId="3" type="noConversion"/>
  </si>
  <si>
    <t>Pre Use</t>
    <phoneticPr fontId="3" type="noConversion"/>
  </si>
  <si>
    <t>備註</t>
    <phoneticPr fontId="3" type="noConversion"/>
  </si>
  <si>
    <t>單號</t>
    <phoneticPr fontId="3" type="noConversion"/>
  </si>
  <si>
    <r>
      <rPr>
        <b/>
        <sz val="10"/>
        <color theme="1"/>
        <rFont val="新細明體"/>
        <family val="1"/>
        <charset val="136"/>
      </rPr>
      <t>生產桶數</t>
    </r>
    <phoneticPr fontId="3" type="noConversion"/>
  </si>
  <si>
    <r>
      <rPr>
        <b/>
        <sz val="10"/>
        <color theme="1"/>
        <rFont val="新細明體"/>
        <family val="1"/>
        <charset val="136"/>
      </rPr>
      <t>剩餘桶數</t>
    </r>
    <phoneticPr fontId="3" type="noConversion"/>
  </si>
  <si>
    <t>MFD</t>
    <phoneticPr fontId="3" type="noConversion"/>
  </si>
  <si>
    <t>批號到期日</t>
    <phoneticPr fontId="3" type="noConversion"/>
  </si>
  <si>
    <t>相差天數</t>
    <phoneticPr fontId="3" type="noConversion"/>
  </si>
  <si>
    <t>18廠P4</t>
    <phoneticPr fontId="3" type="noConversion"/>
  </si>
  <si>
    <t>到貨地點</t>
    <phoneticPr fontId="3" type="noConversion"/>
  </si>
  <si>
    <t>Pre Use</t>
  </si>
  <si>
    <t>製造日期</t>
    <phoneticPr fontId="3" type="noConversion"/>
  </si>
  <si>
    <t>運費NTD</t>
    <phoneticPr fontId="3" type="noConversion"/>
  </si>
  <si>
    <t>Pre Use</t>
    <phoneticPr fontId="3" type="noConversion"/>
  </si>
  <si>
    <t>F20P1</t>
    <phoneticPr fontId="3" type="noConversion"/>
  </si>
  <si>
    <r>
      <t>12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P8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</si>
  <si>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P6</t>
    </r>
    <phoneticPr fontId="3" type="noConversion"/>
  </si>
  <si>
    <r>
      <t>12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P6</t>
    </r>
    <phoneticPr fontId="3" type="noConversion"/>
  </si>
  <si>
    <t>F22P1A</t>
    <phoneticPr fontId="3" type="noConversion"/>
  </si>
  <si>
    <t>F22P1B</t>
    <phoneticPr fontId="3" type="noConversion"/>
  </si>
  <si>
    <t>4800344767/100</t>
    <phoneticPr fontId="3" type="noConversion"/>
  </si>
  <si>
    <r>
      <t>12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P8</t>
    </r>
    <phoneticPr fontId="3" type="noConversion"/>
  </si>
  <si>
    <t>4800355460/300</t>
    <phoneticPr fontId="3" type="noConversion"/>
  </si>
  <si>
    <t>4800359414/100</t>
    <phoneticPr fontId="3" type="noConversion"/>
  </si>
  <si>
    <t>4800358903/100</t>
    <phoneticPr fontId="3" type="noConversion"/>
  </si>
  <si>
    <t>25B03M5001</t>
    <phoneticPr fontId="3" type="noConversion"/>
  </si>
  <si>
    <t>25B28M8301</t>
    <phoneticPr fontId="3" type="noConversion"/>
  </si>
  <si>
    <t>25B05M5001</t>
    <phoneticPr fontId="3" type="noConversion"/>
  </si>
  <si>
    <t>4800359414/200</t>
    <phoneticPr fontId="3" type="noConversion"/>
  </si>
  <si>
    <t>25B28M5101</t>
    <phoneticPr fontId="3" type="noConversion"/>
  </si>
  <si>
    <t>25B09M5001</t>
    <phoneticPr fontId="3" type="noConversion"/>
  </si>
  <si>
    <t>25B11M5001</t>
    <phoneticPr fontId="3" type="noConversion"/>
  </si>
  <si>
    <t>25B13M5001</t>
    <phoneticPr fontId="3" type="noConversion"/>
  </si>
  <si>
    <t>4800361713/100</t>
    <phoneticPr fontId="3" type="noConversion"/>
  </si>
  <si>
    <t>25B29M5101</t>
    <phoneticPr fontId="3" type="noConversion"/>
  </si>
  <si>
    <t>4800359414/200</t>
    <phoneticPr fontId="3" type="noConversion"/>
  </si>
  <si>
    <t>4800359414/300</t>
    <phoneticPr fontId="3" type="noConversion"/>
  </si>
  <si>
    <t>NSE-1106A  L1400241  200L (195L)</t>
    <phoneticPr fontId="3" type="noConversion"/>
  </si>
  <si>
    <t>NSE-1106A  L1400241-T02  200L (195L)</t>
    <phoneticPr fontId="3" type="noConversion"/>
  </si>
  <si>
    <t>NSE-1106  L140024</t>
    <phoneticPr fontId="3" type="noConversion"/>
  </si>
  <si>
    <t>4800364567/100</t>
    <phoneticPr fontId="3" type="noConversion"/>
  </si>
  <si>
    <t>4800361258/100</t>
    <phoneticPr fontId="3" type="noConversion"/>
  </si>
  <si>
    <t>4800361258/100</t>
    <phoneticPr fontId="3" type="noConversion"/>
  </si>
  <si>
    <t>4800361892/100</t>
    <phoneticPr fontId="3" type="noConversion"/>
  </si>
  <si>
    <t>18廠P2</t>
    <phoneticPr fontId="3" type="noConversion"/>
  </si>
  <si>
    <r>
      <t>12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P8</t>
    </r>
    <phoneticPr fontId="3" type="noConversion"/>
  </si>
  <si>
    <t>25B28M5101</t>
    <phoneticPr fontId="3" type="noConversion"/>
  </si>
  <si>
    <t>4800359414/100</t>
    <phoneticPr fontId="3" type="noConversion"/>
  </si>
  <si>
    <t>4800361258/100</t>
    <phoneticPr fontId="3" type="noConversion"/>
  </si>
  <si>
    <t>4800359414/100</t>
    <phoneticPr fontId="3" type="noConversion"/>
  </si>
  <si>
    <t>4800359414/200</t>
    <phoneticPr fontId="3" type="noConversion"/>
  </si>
  <si>
    <t>4800360879/100</t>
    <phoneticPr fontId="3" type="noConversion"/>
  </si>
  <si>
    <t>25B05M5001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</si>
  <si>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P1</t>
    </r>
    <phoneticPr fontId="3" type="noConversion"/>
  </si>
  <si>
    <t>25C06M5001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</si>
  <si>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P8</t>
    </r>
    <phoneticPr fontId="3" type="noConversion"/>
  </si>
  <si>
    <t>25C10M5001</t>
    <phoneticPr fontId="3" type="noConversion"/>
  </si>
  <si>
    <t>25C12M5001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</si>
  <si>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P8</t>
    </r>
    <phoneticPr fontId="3" type="noConversion"/>
  </si>
  <si>
    <t>25C21M5101</t>
    <phoneticPr fontId="3" type="noConversion"/>
  </si>
  <si>
    <t>25C26M5101</t>
    <phoneticPr fontId="3" type="noConversion"/>
  </si>
  <si>
    <t>25B28M8301</t>
    <phoneticPr fontId="3" type="noConversion"/>
  </si>
  <si>
    <t>25C22M8301</t>
    <phoneticPr fontId="3" type="noConversion"/>
  </si>
  <si>
    <t>25C24M8301</t>
    <phoneticPr fontId="3" type="noConversion"/>
  </si>
  <si>
    <t>18廠P2</t>
    <phoneticPr fontId="3" type="noConversion"/>
  </si>
  <si>
    <t>18廠P2</t>
    <phoneticPr fontId="3" type="noConversion"/>
  </si>
  <si>
    <t>Pre Use</t>
    <phoneticPr fontId="3" type="noConversion"/>
  </si>
  <si>
    <t>25B09M5001</t>
    <phoneticPr fontId="3" type="noConversion"/>
  </si>
  <si>
    <t>F20P1</t>
    <phoneticPr fontId="3" type="noConversion"/>
  </si>
  <si>
    <t>4800354113/100</t>
    <phoneticPr fontId="3" type="noConversion"/>
  </si>
  <si>
    <t>4800361713/100</t>
    <phoneticPr fontId="3" type="noConversion"/>
  </si>
  <si>
    <t>25B11M5001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</si>
  <si>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P3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</si>
  <si>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P3</t>
    </r>
    <phoneticPr fontId="3" type="noConversion"/>
  </si>
  <si>
    <t>25B13M5001</t>
    <phoneticPr fontId="3" type="noConversion"/>
  </si>
  <si>
    <t>4800350542/100</t>
    <phoneticPr fontId="3" type="noConversion"/>
  </si>
  <si>
    <t>25B28M8301</t>
    <phoneticPr fontId="3" type="noConversion"/>
  </si>
  <si>
    <t>25B30M8301</t>
    <phoneticPr fontId="3" type="noConversion"/>
  </si>
  <si>
    <t>25B17M5001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</si>
  <si>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P6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</si>
  <si>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P6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</si>
  <si>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P8</t>
    </r>
    <phoneticPr fontId="3" type="noConversion"/>
  </si>
  <si>
    <t>25C18M5001</t>
    <phoneticPr fontId="3" type="noConversion"/>
  </si>
  <si>
    <t>25C19M5001</t>
    <phoneticPr fontId="3" type="noConversion"/>
  </si>
  <si>
    <t>25C20M5001</t>
    <phoneticPr fontId="3" type="noConversion"/>
  </si>
  <si>
    <t>4800365866/100</t>
    <phoneticPr fontId="3" type="noConversion"/>
  </si>
  <si>
    <t>4800361258/100</t>
    <phoneticPr fontId="3" type="noConversion"/>
  </si>
  <si>
    <t>4800361258/100</t>
    <phoneticPr fontId="3" type="noConversion"/>
  </si>
  <si>
    <t>4800361892/100</t>
    <phoneticPr fontId="3" type="noConversion"/>
  </si>
  <si>
    <t>4800361713/100</t>
    <phoneticPr fontId="3" type="noConversion"/>
  </si>
  <si>
    <t>25B30M8301</t>
    <phoneticPr fontId="3" type="noConversion"/>
  </si>
  <si>
    <t>25B17M5001</t>
    <phoneticPr fontId="3" type="noConversion"/>
  </si>
  <si>
    <r>
      <t>12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P6</t>
    </r>
    <phoneticPr fontId="3" type="noConversion"/>
  </si>
  <si>
    <t>4800366491/100</t>
    <phoneticPr fontId="3" type="noConversion"/>
  </si>
  <si>
    <t>25B19M5001</t>
    <phoneticPr fontId="3" type="noConversion"/>
  </si>
  <si>
    <t>25C22M5001</t>
    <phoneticPr fontId="3" type="noConversion"/>
  </si>
  <si>
    <t>25C24M5001</t>
    <phoneticPr fontId="3" type="noConversion"/>
  </si>
  <si>
    <t>25C25M5001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</si>
  <si>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P4</t>
    </r>
    <phoneticPr fontId="3" type="noConversion"/>
  </si>
  <si>
    <t>4800350542/200</t>
    <phoneticPr fontId="3" type="noConversion"/>
  </si>
  <si>
    <t>25B23M5001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</si>
  <si>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P7</t>
    </r>
    <phoneticPr fontId="3" type="noConversion"/>
  </si>
  <si>
    <t>4505204190/100</t>
    <phoneticPr fontId="3" type="noConversion"/>
  </si>
  <si>
    <t>4505204190/100</t>
    <phoneticPr fontId="3" type="noConversion"/>
  </si>
  <si>
    <t>25B27M5001</t>
    <phoneticPr fontId="3" type="noConversion"/>
  </si>
  <si>
    <t>4800360690/100</t>
    <phoneticPr fontId="3" type="noConversion"/>
  </si>
  <si>
    <t>25B29M5001</t>
    <phoneticPr fontId="3" type="noConversion"/>
  </si>
  <si>
    <t>25C02M8301</t>
    <phoneticPr fontId="3" type="noConversion"/>
  </si>
  <si>
    <t>25B27M5001</t>
    <phoneticPr fontId="3" type="noConversion"/>
  </si>
  <si>
    <t>25B27M5001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</si>
  <si>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P1</t>
    </r>
    <phoneticPr fontId="3" type="noConversion"/>
  </si>
  <si>
    <t>25B27M5001</t>
    <phoneticPr fontId="3" type="noConversion"/>
  </si>
  <si>
    <t>18廠P1</t>
    <phoneticPr fontId="3" type="noConversion"/>
  </si>
  <si>
    <t>25C01M5001</t>
    <phoneticPr fontId="3" type="noConversion"/>
  </si>
  <si>
    <t>4800359414/200</t>
    <phoneticPr fontId="3" type="noConversion"/>
  </si>
  <si>
    <t>4505204190/100</t>
    <phoneticPr fontId="3" type="noConversion"/>
  </si>
  <si>
    <t>4800355460/300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</si>
  <si>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P3</t>
    </r>
    <phoneticPr fontId="3" type="noConversion"/>
  </si>
  <si>
    <t>4800363100/100</t>
    <phoneticPr fontId="3" type="noConversion"/>
  </si>
  <si>
    <t>25C26M5001</t>
    <phoneticPr fontId="3" type="noConversion"/>
  </si>
  <si>
    <t>25C27M5001</t>
    <phoneticPr fontId="3" type="noConversion"/>
  </si>
  <si>
    <t>25C29M5001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</si>
  <si>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P6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</si>
  <si>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P8</t>
    </r>
    <phoneticPr fontId="3" type="noConversion"/>
  </si>
  <si>
    <t>25C18M5001</t>
    <phoneticPr fontId="3" type="noConversion"/>
  </si>
  <si>
    <t>25C19M5001</t>
    <phoneticPr fontId="3" type="noConversion"/>
  </si>
  <si>
    <t>25C20M5001</t>
    <phoneticPr fontId="3" type="noConversion"/>
  </si>
  <si>
    <t>25C22M5001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</si>
  <si>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P4</t>
    </r>
    <phoneticPr fontId="3" type="noConversion"/>
  </si>
  <si>
    <t>4800350542/200</t>
    <phoneticPr fontId="3" type="noConversion"/>
  </si>
  <si>
    <t>4800363100/100</t>
    <phoneticPr fontId="3" type="noConversion"/>
  </si>
  <si>
    <t>4800364585/100</t>
    <phoneticPr fontId="3" type="noConversion"/>
  </si>
  <si>
    <t>25C22M5001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</si>
  <si>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P1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</si>
  <si>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P6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</si>
  <si>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P7</t>
    </r>
    <r>
      <rPr>
        <sz val="12"/>
        <color theme="1"/>
        <rFont val="新細明體"/>
        <family val="2"/>
        <charset val="136"/>
        <scheme val="minor"/>
      </rPr>
      <t/>
    </r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</si>
  <si>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P8</t>
    </r>
    <r>
      <rPr>
        <sz val="12"/>
        <color theme="1"/>
        <rFont val="新細明體"/>
        <family val="2"/>
        <charset val="136"/>
        <scheme val="minor"/>
      </rPr>
      <t/>
    </r>
  </si>
  <si>
    <t>25C31M5001</t>
    <phoneticPr fontId="3" type="noConversion"/>
  </si>
  <si>
    <t>26101M5001</t>
    <phoneticPr fontId="3" type="noConversion"/>
  </si>
  <si>
    <t>25C02M8301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</si>
  <si>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P4</t>
    </r>
    <phoneticPr fontId="3" type="noConversion"/>
  </si>
  <si>
    <t>18廠P2</t>
    <phoneticPr fontId="3" type="noConversion"/>
  </si>
  <si>
    <t>25C12M5001</t>
    <phoneticPr fontId="3" type="noConversion"/>
  </si>
  <si>
    <t>26102M5001</t>
    <phoneticPr fontId="3" type="noConversion"/>
  </si>
  <si>
    <t>26103M5001</t>
    <phoneticPr fontId="3" type="noConversion"/>
  </si>
  <si>
    <t>25C27M5001</t>
    <phoneticPr fontId="3" type="noConversion"/>
  </si>
  <si>
    <t>4800354113/100</t>
    <phoneticPr fontId="3" type="noConversion"/>
  </si>
  <si>
    <t>4800361258/100</t>
    <phoneticPr fontId="3" type="noConversion"/>
  </si>
  <si>
    <t>4800359414/100</t>
    <phoneticPr fontId="3" type="noConversion"/>
  </si>
  <si>
    <t>4800360690/100</t>
    <phoneticPr fontId="3" type="noConversion"/>
  </si>
  <si>
    <t>4800350542/200</t>
    <phoneticPr fontId="3" type="noConversion"/>
  </si>
  <si>
    <t>4800359414/200</t>
    <phoneticPr fontId="3" type="noConversion"/>
  </si>
  <si>
    <t>25C06M5001</t>
    <phoneticPr fontId="3" type="noConversion"/>
  </si>
  <si>
    <t>4800350542/100</t>
    <phoneticPr fontId="3" type="noConversion"/>
  </si>
  <si>
    <t>25C01M5001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</si>
  <si>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P1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</si>
  <si>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P7</t>
    </r>
    <phoneticPr fontId="3" type="noConversion"/>
  </si>
  <si>
    <t>4800363838/100</t>
    <phoneticPr fontId="3" type="noConversion"/>
  </si>
  <si>
    <t>25C04M8301</t>
    <phoneticPr fontId="3" type="noConversion"/>
  </si>
  <si>
    <t>25C10M5001</t>
    <phoneticPr fontId="3" type="noConversion"/>
  </si>
  <si>
    <t>25C27M5001</t>
    <phoneticPr fontId="3" type="noConversion"/>
  </si>
  <si>
    <t>26105M5001</t>
    <phoneticPr fontId="3" type="noConversion"/>
  </si>
  <si>
    <t>26107M5001</t>
    <phoneticPr fontId="3" type="noConversion"/>
  </si>
  <si>
    <t>4800361258/100</t>
    <phoneticPr fontId="3" type="noConversion"/>
  </si>
  <si>
    <t>25C04M8301</t>
    <phoneticPr fontId="3" type="noConversion"/>
  </si>
  <si>
    <t>26109M8301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</si>
  <si>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P1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</si>
  <si>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P4</t>
    </r>
    <phoneticPr fontId="3" type="noConversion"/>
  </si>
  <si>
    <t>25C29M5001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</si>
  <si>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P6</t>
    </r>
    <r>
      <rPr>
        <sz val="12"/>
        <color theme="1"/>
        <rFont val="新細明體"/>
        <family val="2"/>
        <charset val="136"/>
        <scheme val="minor"/>
      </rPr>
      <t/>
    </r>
  </si>
  <si>
    <t>26108M5001</t>
    <phoneticPr fontId="3" type="noConversion"/>
  </si>
  <si>
    <t>26109M5001</t>
    <phoneticPr fontId="3" type="noConversion"/>
  </si>
  <si>
    <t>25C29M5001</t>
    <phoneticPr fontId="3" type="noConversion"/>
  </si>
  <si>
    <t>4800363838/200</t>
    <phoneticPr fontId="3" type="noConversion"/>
  </si>
  <si>
    <t>4800360690/100</t>
    <phoneticPr fontId="3" type="noConversion"/>
  </si>
  <si>
    <t>4800350542/200</t>
    <phoneticPr fontId="3" type="noConversion"/>
  </si>
  <si>
    <t>4800350542/100</t>
    <phoneticPr fontId="3" type="noConversion"/>
  </si>
  <si>
    <t>26101M5001</t>
    <phoneticPr fontId="3" type="noConversion"/>
  </si>
  <si>
    <t>4800363838/300</t>
    <phoneticPr fontId="3" type="noConversion"/>
  </si>
  <si>
    <t>4800363838/200</t>
    <phoneticPr fontId="3" type="noConversion"/>
  </si>
  <si>
    <t>4800363838/200</t>
    <phoneticPr fontId="3" type="noConversion"/>
  </si>
  <si>
    <t>26110M5001</t>
    <phoneticPr fontId="3" type="noConversion"/>
  </si>
  <si>
    <t>26112M5001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</si>
  <si>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P4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</si>
  <si>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P7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</si>
  <si>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P8</t>
    </r>
    <phoneticPr fontId="3" type="noConversion"/>
  </si>
  <si>
    <t>4800363838/100</t>
    <phoneticPr fontId="3" type="noConversion"/>
  </si>
  <si>
    <t>4800364585/100</t>
    <phoneticPr fontId="3" type="noConversion"/>
  </si>
  <si>
    <t>26102M5001</t>
    <phoneticPr fontId="3" type="noConversion"/>
  </si>
  <si>
    <t>25C08M8301</t>
    <phoneticPr fontId="3" type="noConversion"/>
  </si>
  <si>
    <t>26115M8301</t>
    <phoneticPr fontId="3" type="noConversion"/>
  </si>
  <si>
    <t>26102M5001</t>
    <phoneticPr fontId="3" type="noConversion"/>
  </si>
  <si>
    <t>4800361258/100</t>
    <phoneticPr fontId="3" type="noConversion"/>
  </si>
  <si>
    <t>4800360690/100</t>
    <phoneticPr fontId="3" type="noConversion"/>
  </si>
  <si>
    <t>4800363838/200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</si>
  <si>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P3</t>
    </r>
    <phoneticPr fontId="3" type="noConversion"/>
  </si>
  <si>
    <t>4800363100/100</t>
    <phoneticPr fontId="3" type="noConversion"/>
  </si>
  <si>
    <t>18廠P2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</si>
  <si>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P1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</si>
  <si>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P4</t>
    </r>
    <phoneticPr fontId="3" type="noConversion"/>
  </si>
  <si>
    <t>26114M5001</t>
    <phoneticPr fontId="3" type="noConversion"/>
  </si>
  <si>
    <t>26115M5001</t>
    <phoneticPr fontId="3" type="noConversion"/>
  </si>
  <si>
    <t>26116M5001</t>
    <phoneticPr fontId="3" type="noConversion"/>
  </si>
  <si>
    <t>26117M5001</t>
    <phoneticPr fontId="3" type="noConversion"/>
  </si>
  <si>
    <t>4505204190/100</t>
    <phoneticPr fontId="3" type="noConversion"/>
  </si>
  <si>
    <t>25C08M8301</t>
    <phoneticPr fontId="3" type="noConversion"/>
  </si>
  <si>
    <t>18廠P2</t>
    <phoneticPr fontId="3" type="noConversion"/>
  </si>
  <si>
    <t>4800363838/300</t>
    <phoneticPr fontId="3" type="noConversion"/>
  </si>
  <si>
    <t>4800363838/200</t>
    <phoneticPr fontId="3" type="noConversion"/>
  </si>
  <si>
    <t>25B27M5001</t>
    <phoneticPr fontId="3" type="noConversion"/>
  </si>
  <si>
    <t>25A19M5001</t>
    <phoneticPr fontId="3" type="noConversion"/>
  </si>
  <si>
    <t>25B17M5001</t>
    <phoneticPr fontId="3" type="noConversion"/>
  </si>
  <si>
    <t>收貨地點</t>
    <phoneticPr fontId="3" type="noConversion"/>
  </si>
  <si>
    <t>25B09M5001</t>
    <phoneticPr fontId="3" type="noConversion"/>
  </si>
  <si>
    <t>25B11M5001</t>
    <phoneticPr fontId="3" type="noConversion"/>
  </si>
  <si>
    <t>25B19M5001</t>
    <phoneticPr fontId="3" type="noConversion"/>
  </si>
  <si>
    <t>ESXM602-20260129002</t>
  </si>
  <si>
    <t>銷退單號</t>
    <phoneticPr fontId="3" type="noConversion"/>
  </si>
  <si>
    <t>ESXM602-20260129001</t>
  </si>
  <si>
    <t>ESXM602-20260130001</t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</si>
  <si>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P4</t>
    </r>
    <phoneticPr fontId="3" type="noConversion"/>
  </si>
  <si>
    <t>4800350542/200</t>
    <phoneticPr fontId="3" type="noConversion"/>
  </si>
  <si>
    <t>26118M5001</t>
    <phoneticPr fontId="3" type="noConversion"/>
  </si>
  <si>
    <t>26119M5001</t>
    <phoneticPr fontId="3" type="noConversion"/>
  </si>
  <si>
    <t>26121M5001</t>
    <phoneticPr fontId="3" type="noConversion"/>
  </si>
  <si>
    <t>26122M5001</t>
    <phoneticPr fontId="3" type="noConversion"/>
  </si>
  <si>
    <t>26123M5001</t>
    <phoneticPr fontId="3" type="noConversion"/>
  </si>
  <si>
    <t>26124M5001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</si>
  <si>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P1</t>
    </r>
    <phoneticPr fontId="3" type="noConversion"/>
  </si>
  <si>
    <t>4800363838/100</t>
    <phoneticPr fontId="3" type="noConversion"/>
  </si>
  <si>
    <t>4800363838/100</t>
    <phoneticPr fontId="3" type="noConversion"/>
  </si>
  <si>
    <t>ESXM602-20260130002</t>
  </si>
  <si>
    <t>25C08M8301</t>
    <phoneticPr fontId="3" type="noConversion"/>
  </si>
  <si>
    <t>25C16M8301</t>
    <phoneticPr fontId="3" type="noConversion"/>
  </si>
  <si>
    <t>26121M8301</t>
    <phoneticPr fontId="3" type="noConversion"/>
  </si>
  <si>
    <t>26123M8301</t>
    <phoneticPr fontId="3" type="noConversion"/>
  </si>
  <si>
    <t>26115M5001</t>
    <phoneticPr fontId="3" type="noConversion"/>
  </si>
  <si>
    <t>26116M5001</t>
    <phoneticPr fontId="3" type="noConversion"/>
  </si>
  <si>
    <t>26116M5001</t>
    <phoneticPr fontId="3" type="noConversion"/>
  </si>
  <si>
    <t>26117M5001</t>
    <phoneticPr fontId="3" type="noConversion"/>
  </si>
  <si>
    <t>26118M5001</t>
    <phoneticPr fontId="3" type="noConversion"/>
  </si>
  <si>
    <t>4800360690/100</t>
    <phoneticPr fontId="3" type="noConversion"/>
  </si>
  <si>
    <t>4800360690/100</t>
    <phoneticPr fontId="3" type="noConversion"/>
  </si>
  <si>
    <t>4800363838/200</t>
    <phoneticPr fontId="3" type="noConversion"/>
  </si>
  <si>
    <t>ESXM602-20260203001</t>
  </si>
  <si>
    <r>
      <rPr>
        <sz val="10"/>
        <color rgb="FFFF0000"/>
        <rFont val="細明體"/>
        <family val="3"/>
        <charset val="136"/>
      </rPr>
      <t>指定</t>
    </r>
    <r>
      <rPr>
        <sz val="10"/>
        <color rgb="FFFF0000"/>
        <rFont val="Arial"/>
        <family val="2"/>
      </rPr>
      <t>#33-40</t>
    </r>
    <phoneticPr fontId="3" type="noConversion"/>
  </si>
  <si>
    <t>4800365866/100</t>
    <phoneticPr fontId="3" type="noConversion"/>
  </si>
  <si>
    <t>2/5</t>
    <phoneticPr fontId="3" type="noConversion"/>
  </si>
  <si>
    <t>26118M5001</t>
    <phoneticPr fontId="3" type="noConversion"/>
  </si>
  <si>
    <t>26119M5001</t>
    <phoneticPr fontId="3" type="noConversion"/>
  </si>
  <si>
    <t>18廠P3</t>
    <phoneticPr fontId="3" type="noConversion"/>
  </si>
  <si>
    <t>26116M5001</t>
    <phoneticPr fontId="3" type="noConversion"/>
  </si>
  <si>
    <t>26125M5001</t>
    <phoneticPr fontId="3" type="noConversion"/>
  </si>
  <si>
    <t>26126M5001</t>
    <phoneticPr fontId="3" type="noConversion"/>
  </si>
  <si>
    <t>26127M5001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</si>
  <si>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P1</t>
    </r>
    <phoneticPr fontId="3" type="noConversion"/>
  </si>
  <si>
    <t>26119M5001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</si>
  <si>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P6</t>
    </r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</si>
  <si>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P7</t>
    </r>
    <r>
      <rPr>
        <sz val="12"/>
        <color theme="1"/>
        <rFont val="新細明體"/>
        <family val="2"/>
        <charset val="136"/>
        <scheme val="minor"/>
      </rPr>
      <t/>
    </r>
  </si>
  <si>
    <t>26128M5001</t>
    <phoneticPr fontId="3" type="noConversion"/>
  </si>
  <si>
    <t>26129M5001</t>
    <phoneticPr fontId="3" type="noConversion"/>
  </si>
  <si>
    <t>26130M5001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</si>
  <si>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P8</t>
    </r>
    <r>
      <rPr>
        <sz val="12"/>
        <color theme="1"/>
        <rFont val="新細明體"/>
        <family val="2"/>
        <charset val="136"/>
        <scheme val="minor"/>
      </rPr>
      <t/>
    </r>
  </si>
  <si>
    <t>26121M5001</t>
    <phoneticPr fontId="3" type="noConversion"/>
  </si>
  <si>
    <t>26130M5101</t>
    <phoneticPr fontId="3" type="noConversion"/>
  </si>
  <si>
    <r>
      <rPr>
        <sz val="10"/>
        <color rgb="FFFF0000"/>
        <rFont val="細明體"/>
        <family val="3"/>
        <charset val="136"/>
      </rPr>
      <t>指定</t>
    </r>
    <r>
      <rPr>
        <sz val="10"/>
        <color rgb="FFFF0000"/>
        <rFont val="Arial"/>
        <family val="2"/>
      </rPr>
      <t>#25-32</t>
    </r>
    <phoneticPr fontId="3" type="noConversion"/>
  </si>
  <si>
    <t>4800363838/200</t>
    <phoneticPr fontId="3" type="noConversion"/>
  </si>
  <si>
    <t>4800364585/100</t>
    <phoneticPr fontId="3" type="noConversion"/>
  </si>
  <si>
    <t>26129M8301</t>
    <phoneticPr fontId="3" type="noConversion"/>
  </si>
  <si>
    <t>4800363838/200</t>
    <phoneticPr fontId="3" type="noConversion"/>
  </si>
  <si>
    <t>25B29M5101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</si>
  <si>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P4</t>
    </r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</si>
  <si>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P6</t>
    </r>
    <phoneticPr fontId="3" type="noConversion"/>
  </si>
  <si>
    <t>25C26M5101</t>
    <phoneticPr fontId="3" type="noConversion"/>
  </si>
  <si>
    <t>26131M5001</t>
    <phoneticPr fontId="3" type="noConversion"/>
  </si>
  <si>
    <t>26201M5001</t>
    <phoneticPr fontId="3" type="noConversion"/>
  </si>
  <si>
    <t>26202M5001</t>
    <phoneticPr fontId="3" type="noConversion"/>
  </si>
  <si>
    <t>26123M5001</t>
    <phoneticPr fontId="3" type="noConversion"/>
  </si>
  <si>
    <t>26203M5001</t>
    <phoneticPr fontId="3" type="noConversion"/>
  </si>
  <si>
    <t>26204M5001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</si>
  <si>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P1</t>
    </r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</si>
  <si>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P4</t>
    </r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</si>
  <si>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P7</t>
    </r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</si>
  <si>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P8</t>
    </r>
    <phoneticPr fontId="3" type="noConversion"/>
  </si>
  <si>
    <t>4800356068/100</t>
    <phoneticPr fontId="3" type="noConversion"/>
  </si>
  <si>
    <t>4800369385/100</t>
    <phoneticPr fontId="3" type="noConversion"/>
  </si>
  <si>
    <t>4800363838/100</t>
    <phoneticPr fontId="3" type="noConversion"/>
  </si>
  <si>
    <t>25C18M8301</t>
    <phoneticPr fontId="3" type="noConversion"/>
  </si>
  <si>
    <t>26124M5001</t>
    <phoneticPr fontId="3" type="noConversion"/>
  </si>
  <si>
    <t>26125M5001</t>
    <phoneticPr fontId="3" type="noConversion"/>
  </si>
  <si>
    <t>4800361258/100</t>
    <phoneticPr fontId="3" type="noConversion"/>
  </si>
  <si>
    <t>4800360690/100</t>
    <phoneticPr fontId="3" type="noConversion"/>
  </si>
  <si>
    <t>4800363838/200</t>
    <phoneticPr fontId="3" type="noConversion"/>
  </si>
  <si>
    <t>26205M5101</t>
  </si>
  <si>
    <t>ESXM602-20260209001</t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</si>
  <si>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P3</t>
    </r>
    <phoneticPr fontId="3" type="noConversion"/>
  </si>
  <si>
    <t xml:space="preserve">  </t>
    <phoneticPr fontId="3" type="noConversion"/>
  </si>
  <si>
    <t>25C18M8301</t>
    <phoneticPr fontId="3" type="noConversion"/>
  </si>
  <si>
    <t>4800367140/100</t>
    <phoneticPr fontId="3" type="noConversion"/>
  </si>
  <si>
    <t>26124M5001</t>
    <phoneticPr fontId="3" type="noConversion"/>
  </si>
  <si>
    <t>26205M5001</t>
    <phoneticPr fontId="3" type="noConversion"/>
  </si>
  <si>
    <t>26206M5001</t>
    <phoneticPr fontId="3" type="noConversion"/>
  </si>
  <si>
    <t>26207M5001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</si>
  <si>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P6</t>
    </r>
    <r>
      <rPr>
        <sz val="12"/>
        <color theme="1"/>
        <rFont val="新細明體"/>
        <family val="2"/>
        <charset val="136"/>
        <scheme val="minor"/>
      </rPr>
      <t/>
    </r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</si>
  <si>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P1</t>
    </r>
    <phoneticPr fontId="3" type="noConversion"/>
  </si>
  <si>
    <t>26126M5001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</si>
  <si>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P4</t>
    </r>
    <phoneticPr fontId="3" type="noConversion"/>
  </si>
  <si>
    <t>26127M5001</t>
    <phoneticPr fontId="3" type="noConversion"/>
  </si>
  <si>
    <t>26125M5001</t>
    <phoneticPr fontId="3" type="noConversion"/>
  </si>
  <si>
    <t>26208M5001</t>
    <phoneticPr fontId="3" type="noConversion"/>
  </si>
  <si>
    <t>26209M5001</t>
    <phoneticPr fontId="3" type="noConversion"/>
  </si>
  <si>
    <t>26210M5001</t>
    <phoneticPr fontId="3" type="noConversion"/>
  </si>
  <si>
    <t>26124M5001</t>
    <phoneticPr fontId="3" type="noConversion"/>
  </si>
  <si>
    <t>4800366954/100</t>
    <phoneticPr fontId="3" type="noConversion"/>
  </si>
  <si>
    <t>4800356068/100</t>
    <phoneticPr fontId="3" type="noConversion"/>
  </si>
  <si>
    <t>4800363838/100</t>
    <phoneticPr fontId="3" type="noConversion"/>
  </si>
  <si>
    <t>4800365866/100</t>
    <phoneticPr fontId="3" type="noConversion"/>
  </si>
  <si>
    <t>4800363838/200</t>
    <phoneticPr fontId="3" type="noConversion"/>
  </si>
  <si>
    <t>4800369385/100</t>
    <phoneticPr fontId="3" type="noConversion"/>
  </si>
  <si>
    <t>26128M5001</t>
    <phoneticPr fontId="3" type="noConversion"/>
  </si>
  <si>
    <t>26127M5001</t>
    <phoneticPr fontId="3" type="noConversion"/>
  </si>
  <si>
    <t>26129M5001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</si>
  <si>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P4</t>
    </r>
    <phoneticPr fontId="3" type="noConversion"/>
  </si>
  <si>
    <t>26131M5001</t>
    <phoneticPr fontId="3" type="noConversion"/>
  </si>
  <si>
    <t>26211M5001</t>
    <phoneticPr fontId="3" type="noConversion"/>
  </si>
  <si>
    <t>26202M5001</t>
    <phoneticPr fontId="3" type="noConversion"/>
  </si>
  <si>
    <t>26203M5001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</si>
  <si>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P3</t>
    </r>
    <phoneticPr fontId="3" type="noConversion"/>
  </si>
  <si>
    <t>26204M5001</t>
    <phoneticPr fontId="3" type="noConversion"/>
  </si>
  <si>
    <t>25C18M8301</t>
    <phoneticPr fontId="3" type="noConversion"/>
  </si>
  <si>
    <t>26129M5001</t>
    <phoneticPr fontId="3" type="noConversion"/>
  </si>
  <si>
    <t>26130M5001</t>
    <phoneticPr fontId="3" type="noConversion"/>
  </si>
  <si>
    <t>26130M5001</t>
    <phoneticPr fontId="3" type="noConversion"/>
  </si>
  <si>
    <t>26130M5001</t>
    <phoneticPr fontId="3" type="noConversion"/>
  </si>
  <si>
    <t>26212M5001</t>
    <phoneticPr fontId="3" type="noConversion"/>
  </si>
  <si>
    <t>26131M5001</t>
    <phoneticPr fontId="3" type="noConversion"/>
  </si>
  <si>
    <t>26201M5001</t>
    <phoneticPr fontId="3" type="noConversion"/>
  </si>
  <si>
    <t>26201M5001</t>
    <phoneticPr fontId="3" type="noConversion"/>
  </si>
  <si>
    <t>26201M5001</t>
    <phoneticPr fontId="3" type="noConversion"/>
  </si>
  <si>
    <t>26202M5001</t>
    <phoneticPr fontId="3" type="noConversion"/>
  </si>
  <si>
    <t>26203M5001</t>
    <phoneticPr fontId="3" type="noConversion"/>
  </si>
  <si>
    <t>26201M5001</t>
    <phoneticPr fontId="3" type="noConversion"/>
  </si>
  <si>
    <t>4800367140/100</t>
    <phoneticPr fontId="3" type="noConversion"/>
  </si>
  <si>
    <t>4800363838/100</t>
    <phoneticPr fontId="3" type="noConversion"/>
  </si>
  <si>
    <t>4800356068/100</t>
    <phoneticPr fontId="3" type="noConversion"/>
  </si>
  <si>
    <t>4800363838/200</t>
    <phoneticPr fontId="3" type="noConversion"/>
  </si>
  <si>
    <t>4800366954/100</t>
    <phoneticPr fontId="3" type="noConversion"/>
  </si>
  <si>
    <t>4800360690/100</t>
    <phoneticPr fontId="3" type="noConversion"/>
  </si>
  <si>
    <t>4800363100/100</t>
    <phoneticPr fontId="3" type="noConversion"/>
  </si>
  <si>
    <t>4800363838/300</t>
    <phoneticPr fontId="3" type="noConversion"/>
  </si>
  <si>
    <t>4800368660/200</t>
    <phoneticPr fontId="3" type="noConversion"/>
  </si>
  <si>
    <t>4800363838/100</t>
    <phoneticPr fontId="3" type="noConversion"/>
  </si>
  <si>
    <t>4800363838/200</t>
    <phoneticPr fontId="3" type="noConversion"/>
  </si>
  <si>
    <t>4800356068/100</t>
    <phoneticPr fontId="3" type="noConversion"/>
  </si>
  <si>
    <t>4800366954/100</t>
    <phoneticPr fontId="3" type="noConversion"/>
  </si>
  <si>
    <t>4800364585/100</t>
    <phoneticPr fontId="3" type="noConversion"/>
  </si>
  <si>
    <t>4800350542/100</t>
    <phoneticPr fontId="3" type="noConversion"/>
  </si>
  <si>
    <t xml:space="preserve"> </t>
    <phoneticPr fontId="3" type="noConversion"/>
  </si>
  <si>
    <t>26204M5001</t>
    <phoneticPr fontId="3" type="noConversion"/>
  </si>
  <si>
    <t>26213M5001</t>
    <phoneticPr fontId="3" type="noConversion"/>
  </si>
  <si>
    <t>26214M5001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</si>
  <si>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P7</t>
    </r>
    <phoneticPr fontId="3" type="noConversion"/>
  </si>
  <si>
    <t>4800366954/100</t>
    <phoneticPr fontId="3" type="noConversion"/>
  </si>
  <si>
    <t>4800369385/100</t>
    <phoneticPr fontId="3" type="noConversion"/>
  </si>
  <si>
    <r>
      <t>261</t>
    </r>
    <r>
      <rPr>
        <sz val="10"/>
        <color rgb="FFFF0000"/>
        <rFont val="Arial"/>
        <family val="2"/>
      </rPr>
      <t>30</t>
    </r>
    <r>
      <rPr>
        <sz val="10"/>
        <color theme="1"/>
        <rFont val="Arial"/>
        <family val="2"/>
      </rPr>
      <t>M5101</t>
    </r>
    <phoneticPr fontId="3" type="noConversion"/>
  </si>
  <si>
    <t>26205M5001</t>
    <phoneticPr fontId="3" type="noConversion"/>
  </si>
  <si>
    <t>26205M5001</t>
    <phoneticPr fontId="3" type="noConversion"/>
  </si>
  <si>
    <t>26207M5001</t>
    <phoneticPr fontId="3" type="noConversion"/>
  </si>
  <si>
    <t>25C24M8301</t>
    <phoneticPr fontId="3" type="noConversion"/>
  </si>
  <si>
    <t>26212M8301</t>
    <phoneticPr fontId="3" type="noConversion"/>
  </si>
  <si>
    <t>4800367140/100</t>
    <phoneticPr fontId="3" type="noConversion"/>
  </si>
  <si>
    <t>4800363838/300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</si>
  <si>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P1</t>
    </r>
    <phoneticPr fontId="3" type="noConversion"/>
  </si>
  <si>
    <t>26208M5001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</si>
  <si>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P3</t>
    </r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</si>
  <si>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P4</t>
    </r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</si>
  <si>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P7</t>
    </r>
    <phoneticPr fontId="3" type="noConversion"/>
  </si>
  <si>
    <t>26215M5001</t>
    <phoneticPr fontId="3" type="noConversion"/>
  </si>
  <si>
    <t>26216M5001</t>
    <phoneticPr fontId="3" type="noConversion"/>
  </si>
  <si>
    <t>26209M5101</t>
    <phoneticPr fontId="3" type="noConversion"/>
  </si>
  <si>
    <t>4800369385/100</t>
    <phoneticPr fontId="3" type="noConversion"/>
  </si>
  <si>
    <t>4800366954/100</t>
    <phoneticPr fontId="3" type="noConversion"/>
  </si>
  <si>
    <t>4800365866/100</t>
    <phoneticPr fontId="3" type="noConversion"/>
  </si>
  <si>
    <t>26109M8301</t>
    <phoneticPr fontId="3" type="noConversion"/>
  </si>
  <si>
    <t>4800363838/200</t>
    <phoneticPr fontId="3" type="noConversion"/>
  </si>
  <si>
    <t>4800363838/200</t>
    <phoneticPr fontId="3" type="noConversion"/>
  </si>
  <si>
    <t>4800367140/100</t>
    <phoneticPr fontId="3" type="noConversion"/>
  </si>
  <si>
    <t>4800367140/100</t>
    <phoneticPr fontId="3" type="noConversion"/>
  </si>
  <si>
    <t>26209M5001</t>
    <phoneticPr fontId="3" type="noConversion"/>
  </si>
  <si>
    <t>26218M5001</t>
    <phoneticPr fontId="3" type="noConversion"/>
  </si>
  <si>
    <t>26219M5001</t>
    <phoneticPr fontId="3" type="noConversion"/>
  </si>
  <si>
    <t>26220M5001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</si>
  <si>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P1</t>
    </r>
    <phoneticPr fontId="3" type="noConversion"/>
  </si>
  <si>
    <t>26221M5001</t>
    <phoneticPr fontId="3" type="noConversion"/>
  </si>
  <si>
    <t>26222M5001</t>
    <phoneticPr fontId="3" type="noConversion"/>
  </si>
  <si>
    <t>26224M5001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</si>
  <si>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P8</t>
    </r>
    <phoneticPr fontId="3" type="noConversion"/>
  </si>
  <si>
    <t>26211M5101</t>
    <phoneticPr fontId="3" type="noConversion"/>
  </si>
  <si>
    <t>26213M5101</t>
    <phoneticPr fontId="3" type="noConversion"/>
  </si>
  <si>
    <t>26209M5101</t>
    <phoneticPr fontId="3" type="noConversion"/>
  </si>
  <si>
    <t>4800363838/100</t>
    <phoneticPr fontId="3" type="noConversion"/>
  </si>
  <si>
    <t>4800365866/100</t>
    <phoneticPr fontId="3" type="noConversion"/>
  </si>
  <si>
    <t xml:space="preserve"> </t>
    <phoneticPr fontId="3" type="noConversion"/>
  </si>
  <si>
    <t>26109M8301</t>
    <phoneticPr fontId="3" type="noConversion"/>
  </si>
  <si>
    <t>26209M5001</t>
    <phoneticPr fontId="3" type="noConversion"/>
  </si>
  <si>
    <t>26210M5001</t>
    <phoneticPr fontId="3" type="noConversion"/>
  </si>
  <si>
    <t>26211M5001</t>
    <phoneticPr fontId="3" type="noConversion"/>
  </si>
  <si>
    <t>4800354113/100</t>
    <phoneticPr fontId="3" type="noConversion"/>
  </si>
  <si>
    <t>4800363838/200</t>
    <phoneticPr fontId="3" type="noConversion"/>
  </si>
  <si>
    <t>4800364585/100</t>
    <phoneticPr fontId="3" type="noConversion"/>
  </si>
  <si>
    <t>26211M5001</t>
    <phoneticPr fontId="3" type="noConversion"/>
  </si>
  <si>
    <t>4800368660/300</t>
    <phoneticPr fontId="3" type="noConversion"/>
  </si>
  <si>
    <t>26217M5101</t>
    <phoneticPr fontId="3" type="noConversion"/>
  </si>
  <si>
    <t>4800368660/300</t>
    <phoneticPr fontId="3" type="noConversion"/>
  </si>
  <si>
    <t>26115M8301</t>
    <phoneticPr fontId="3" type="noConversion"/>
  </si>
  <si>
    <t>4800366525/100</t>
    <phoneticPr fontId="3" type="noConversion"/>
  </si>
  <si>
    <t>4800366525/100</t>
    <phoneticPr fontId="3" type="noConversion"/>
  </si>
  <si>
    <t>26212M5001</t>
    <phoneticPr fontId="3" type="noConversion"/>
  </si>
  <si>
    <t>26212M5001</t>
    <phoneticPr fontId="3" type="noConversion"/>
  </si>
  <si>
    <t>26213M5001</t>
    <phoneticPr fontId="3" type="noConversion"/>
  </si>
  <si>
    <t>26213M5001</t>
    <phoneticPr fontId="3" type="noConversion"/>
  </si>
  <si>
    <t>26224M8301</t>
    <phoneticPr fontId="3" type="noConversion"/>
  </si>
  <si>
    <t>4800367140/100</t>
    <phoneticPr fontId="3" type="noConversion"/>
  </si>
  <si>
    <t>26223M5101</t>
    <phoneticPr fontId="3" type="noConversion"/>
  </si>
  <si>
    <t>26213M5001</t>
    <phoneticPr fontId="3" type="noConversion"/>
  </si>
  <si>
    <t>26213M5001</t>
    <phoneticPr fontId="3" type="noConversion"/>
  </si>
  <si>
    <t>26219M5101</t>
    <phoneticPr fontId="3" type="noConversion"/>
  </si>
  <si>
    <t>4800367140/100</t>
    <phoneticPr fontId="3" type="noConversion"/>
  </si>
  <si>
    <t>4800368660/200</t>
    <phoneticPr fontId="3" type="noConversion"/>
  </si>
  <si>
    <t>4800369411/100</t>
    <phoneticPr fontId="3" type="noConversion"/>
  </si>
  <si>
    <t>4800365866/100</t>
    <phoneticPr fontId="3" type="noConversion"/>
  </si>
  <si>
    <t>260305007-1</t>
    <phoneticPr fontId="3" type="noConversion"/>
  </si>
  <si>
    <t>F22P2B</t>
    <phoneticPr fontId="3" type="noConversion"/>
  </si>
  <si>
    <t>26226M5001</t>
    <phoneticPr fontId="3" type="noConversion"/>
  </si>
  <si>
    <t>18廠P8</t>
  </si>
  <si>
    <t>26301M5001</t>
    <phoneticPr fontId="3" type="noConversion"/>
  </si>
  <si>
    <t>F22P1B</t>
    <phoneticPr fontId="3" type="noConversion"/>
  </si>
  <si>
    <t>26214M5001</t>
    <phoneticPr fontId="3" type="noConversion"/>
  </si>
  <si>
    <t>26225M5001</t>
    <phoneticPr fontId="3" type="noConversion"/>
  </si>
  <si>
    <t>26227M5001</t>
    <phoneticPr fontId="3" type="noConversion"/>
  </si>
  <si>
    <t>26228M5001</t>
    <phoneticPr fontId="3" type="noConversion"/>
  </si>
  <si>
    <t>26302M5001</t>
    <phoneticPr fontId="3" type="noConversion"/>
  </si>
  <si>
    <t>26214M5001</t>
    <phoneticPr fontId="3" type="noConversion"/>
  </si>
  <si>
    <t>26215M5001</t>
    <phoneticPr fontId="3" type="noConversion"/>
  </si>
  <si>
    <t>26221M5001</t>
    <phoneticPr fontId="3" type="noConversion"/>
  </si>
  <si>
    <r>
      <rPr>
        <sz val="10"/>
        <color rgb="FFFF0000"/>
        <rFont val="細明體"/>
        <family val="3"/>
        <charset val="136"/>
      </rPr>
      <t>指定</t>
    </r>
    <r>
      <rPr>
        <sz val="10"/>
        <color rgb="FFFF0000"/>
        <rFont val="Arial"/>
        <family val="2"/>
      </rPr>
      <t>#5-16</t>
    </r>
    <phoneticPr fontId="3" type="noConversion"/>
  </si>
  <si>
    <t>26217M5101</t>
    <phoneticPr fontId="3" type="noConversion"/>
  </si>
  <si>
    <t>4800366525/100</t>
    <phoneticPr fontId="3" type="noConversion"/>
  </si>
  <si>
    <t>4800368660/400</t>
    <phoneticPr fontId="3" type="noConversion"/>
  </si>
  <si>
    <t>4800366954/100</t>
    <phoneticPr fontId="3" type="noConversion"/>
  </si>
  <si>
    <t>4800371571/100</t>
    <phoneticPr fontId="3" type="noConversion"/>
  </si>
  <si>
    <t>4800350542/100</t>
    <phoneticPr fontId="3" type="noConversion"/>
  </si>
  <si>
    <t>260306005-1</t>
    <phoneticPr fontId="3" type="noConversion"/>
  </si>
  <si>
    <t>4800364585/100</t>
    <phoneticPr fontId="3" type="noConversion"/>
  </si>
  <si>
    <t>260306007-1</t>
    <phoneticPr fontId="3" type="noConversion"/>
  </si>
  <si>
    <t>26225M5101</t>
    <phoneticPr fontId="3" type="noConversion"/>
  </si>
  <si>
    <t>26115M8301</t>
    <phoneticPr fontId="3" type="noConversion"/>
  </si>
  <si>
    <t>26215M5001</t>
    <phoneticPr fontId="3" type="noConversion"/>
  </si>
  <si>
    <t>26221M5001</t>
    <phoneticPr fontId="3" type="noConversion"/>
  </si>
  <si>
    <t>26216M5001</t>
    <phoneticPr fontId="3" type="noConversion"/>
  </si>
  <si>
    <t>4800368660/200</t>
    <phoneticPr fontId="3" type="noConversion"/>
  </si>
  <si>
    <t>4800369411/100</t>
    <phoneticPr fontId="3" type="noConversion"/>
  </si>
  <si>
    <t>4800367140/100</t>
    <phoneticPr fontId="3" type="noConversion"/>
  </si>
  <si>
    <t>4800363838/300</t>
    <phoneticPr fontId="3" type="noConversion"/>
  </si>
  <si>
    <t>4800368660/200</t>
    <phoneticPr fontId="3" type="noConversion"/>
  </si>
  <si>
    <t>4800369411/100</t>
    <phoneticPr fontId="3" type="noConversion"/>
  </si>
  <si>
    <t>4800365866/100</t>
    <phoneticPr fontId="3" type="noConversion"/>
  </si>
  <si>
    <t>AZ #9-24</t>
    <phoneticPr fontId="3" type="noConversion"/>
  </si>
  <si>
    <t>AZ #9-24</t>
    <phoneticPr fontId="3" type="noConversion"/>
  </si>
  <si>
    <t>AZ #5-24</t>
    <phoneticPr fontId="3" type="noConversion"/>
  </si>
  <si>
    <t>AZ #9-24</t>
    <phoneticPr fontId="3" type="noConversion"/>
  </si>
  <si>
    <t>260306009-1</t>
    <phoneticPr fontId="3" type="noConversion"/>
  </si>
  <si>
    <t>4800368660/100</t>
    <phoneticPr fontId="3" type="noConversion"/>
  </si>
  <si>
    <t>4800368660/300</t>
    <phoneticPr fontId="3" type="noConversion"/>
  </si>
  <si>
    <t>26218M5001</t>
    <phoneticPr fontId="3" type="noConversion"/>
  </si>
  <si>
    <t>4800344767/100</t>
    <phoneticPr fontId="3" type="noConversion"/>
  </si>
  <si>
    <t>4800367140/100</t>
    <phoneticPr fontId="3" type="noConversion"/>
  </si>
  <si>
    <t>26115M8301</t>
    <phoneticPr fontId="3" type="noConversion"/>
  </si>
  <si>
    <t>26121M8301</t>
    <phoneticPr fontId="3" type="noConversion"/>
  </si>
  <si>
    <t>26219M5001</t>
    <phoneticPr fontId="3" type="noConversion"/>
  </si>
  <si>
    <t>26219M5001</t>
    <phoneticPr fontId="3" type="noConversion"/>
  </si>
  <si>
    <t>26302M5101</t>
    <phoneticPr fontId="3" type="noConversion"/>
  </si>
  <si>
    <t>26223M5101</t>
    <phoneticPr fontId="3" type="noConversion"/>
  </si>
  <si>
    <t>4800369411/100</t>
    <phoneticPr fontId="3" type="noConversion"/>
  </si>
  <si>
    <t>4800366954/100</t>
    <phoneticPr fontId="3" type="noConversion"/>
  </si>
  <si>
    <t>4800366954/100</t>
    <phoneticPr fontId="3" type="noConversion"/>
  </si>
  <si>
    <t>4800369411/100</t>
    <phoneticPr fontId="3" type="noConversion"/>
  </si>
  <si>
    <t>260311005-1</t>
    <phoneticPr fontId="3" type="noConversion"/>
  </si>
  <si>
    <t>4800365866/100</t>
    <phoneticPr fontId="3" type="noConversion"/>
  </si>
  <si>
    <t>4800366525/100</t>
    <phoneticPr fontId="3" type="noConversion"/>
  </si>
  <si>
    <t>4800369411/100</t>
    <phoneticPr fontId="3" type="noConversion"/>
  </si>
  <si>
    <t>26121M8301</t>
    <phoneticPr fontId="3" type="noConversion"/>
  </si>
  <si>
    <t>26221M5001</t>
    <phoneticPr fontId="3" type="noConversion"/>
  </si>
  <si>
    <t>26224M5001</t>
    <phoneticPr fontId="3" type="noConversion"/>
  </si>
  <si>
    <t>26221M5001</t>
    <phoneticPr fontId="3" type="noConversion"/>
  </si>
  <si>
    <t>26304M5101</t>
    <phoneticPr fontId="3" type="noConversion"/>
  </si>
  <si>
    <t>4800367140/100</t>
    <phoneticPr fontId="3" type="noConversion"/>
  </si>
  <si>
    <t>4800354113/100</t>
    <phoneticPr fontId="3" type="noConversion"/>
  </si>
  <si>
    <t>260312005-1</t>
    <phoneticPr fontId="3" type="noConversion"/>
  </si>
  <si>
    <t>4800369411/200</t>
    <phoneticPr fontId="3" type="noConversion"/>
  </si>
  <si>
    <t>4800365866/100</t>
    <phoneticPr fontId="3" type="noConversion"/>
  </si>
  <si>
    <t>26303M5001</t>
    <phoneticPr fontId="3" type="noConversion"/>
  </si>
  <si>
    <t>26304M5001</t>
    <phoneticPr fontId="3" type="noConversion"/>
  </si>
  <si>
    <t>26305M5001</t>
    <phoneticPr fontId="3" type="noConversion"/>
  </si>
  <si>
    <t>26306M5001</t>
    <phoneticPr fontId="3" type="noConversion"/>
  </si>
  <si>
    <t>26307M5001</t>
    <phoneticPr fontId="3" type="noConversion"/>
  </si>
  <si>
    <t>4800369411/200</t>
    <phoneticPr fontId="3" type="noConversion"/>
  </si>
  <si>
    <t>4800371311/100</t>
    <phoneticPr fontId="3" type="noConversion"/>
  </si>
  <si>
    <t>26222M5001</t>
    <phoneticPr fontId="3" type="noConversion"/>
  </si>
  <si>
    <t>26222M5001</t>
    <phoneticPr fontId="3" type="noConversion"/>
  </si>
  <si>
    <t>26224M5001</t>
    <phoneticPr fontId="3" type="noConversion"/>
  </si>
  <si>
    <t>26225M5001</t>
    <phoneticPr fontId="3" type="noConversion"/>
  </si>
  <si>
    <t>26226M5001</t>
    <phoneticPr fontId="3" type="noConversion"/>
  </si>
  <si>
    <t>26225M5001</t>
    <phoneticPr fontId="3" type="noConversion"/>
  </si>
  <si>
    <t>26130M5101</t>
    <phoneticPr fontId="3" type="noConversion"/>
  </si>
  <si>
    <t>4800367140/100</t>
    <phoneticPr fontId="3" type="noConversion"/>
  </si>
  <si>
    <t>26121M8301</t>
    <phoneticPr fontId="3" type="noConversion"/>
  </si>
  <si>
    <t>4800354113/100</t>
    <phoneticPr fontId="3" type="noConversion"/>
  </si>
  <si>
    <t>4800371311/100</t>
    <phoneticPr fontId="3" type="noConversion"/>
  </si>
  <si>
    <t>4800369411/100</t>
    <phoneticPr fontId="3" type="noConversion"/>
  </si>
  <si>
    <t>4800365866/100</t>
    <phoneticPr fontId="3" type="noConversion"/>
  </si>
  <si>
    <t>F22P1B</t>
    <phoneticPr fontId="3" type="noConversion"/>
  </si>
  <si>
    <t>#9-24 AZ</t>
    <phoneticPr fontId="3" type="noConversion"/>
  </si>
  <si>
    <t>#5-24 AZ</t>
    <phoneticPr fontId="3" type="noConversion"/>
  </si>
  <si>
    <t>26226M5001</t>
    <phoneticPr fontId="3" type="noConversion"/>
  </si>
  <si>
    <t>4800367140/100</t>
    <phoneticPr fontId="3" type="noConversion"/>
  </si>
  <si>
    <t>4800366525/100</t>
    <phoneticPr fontId="3" type="noConversion"/>
  </si>
  <si>
    <t>4800368660/400</t>
    <phoneticPr fontId="3" type="noConversion"/>
  </si>
  <si>
    <t>26121M8301</t>
    <phoneticPr fontId="3" type="noConversion"/>
  </si>
  <si>
    <t>26123M8301</t>
    <phoneticPr fontId="3" type="noConversion"/>
  </si>
  <si>
    <t>26226M5001</t>
    <phoneticPr fontId="3" type="noConversion"/>
  </si>
  <si>
    <t>26225M5001</t>
    <phoneticPr fontId="3" type="noConversion"/>
  </si>
  <si>
    <t>26302M5101</t>
    <phoneticPr fontId="3" type="noConversion"/>
  </si>
  <si>
    <t>4800369411/100</t>
    <phoneticPr fontId="3" type="noConversion"/>
  </si>
  <si>
    <t>4800366954/100</t>
    <phoneticPr fontId="3" type="noConversion"/>
  </si>
  <si>
    <t>4800368660/100</t>
    <phoneticPr fontId="3" type="noConversion"/>
  </si>
  <si>
    <t>4800350542/100</t>
    <phoneticPr fontId="3" type="noConversion"/>
  </si>
  <si>
    <t>18廠P2</t>
  </si>
  <si>
    <t>26309M8301</t>
    <phoneticPr fontId="3" type="noConversion"/>
  </si>
  <si>
    <t>4800369411/200</t>
    <phoneticPr fontId="3" type="noConversion"/>
  </si>
  <si>
    <t>26123M8301</t>
    <phoneticPr fontId="3" type="noConversion"/>
  </si>
  <si>
    <t>26227M5001</t>
    <phoneticPr fontId="3" type="noConversion"/>
  </si>
  <si>
    <t>4800367140/100</t>
    <phoneticPr fontId="3" type="noConversion"/>
  </si>
  <si>
    <t>4800369411/100</t>
    <phoneticPr fontId="3" type="noConversion"/>
  </si>
  <si>
    <t>26312M5001</t>
    <phoneticPr fontId="3" type="noConversion"/>
  </si>
  <si>
    <t>26313M5001</t>
    <phoneticPr fontId="3" type="noConversion"/>
  </si>
  <si>
    <t>26314M5001</t>
    <phoneticPr fontId="3" type="noConversion"/>
  </si>
  <si>
    <t>26306M5101</t>
    <phoneticPr fontId="3" type="noConversion"/>
  </si>
  <si>
    <t>4800371311/100</t>
    <phoneticPr fontId="3" type="noConversion"/>
  </si>
  <si>
    <t>4800368660/400</t>
    <phoneticPr fontId="3" type="noConversion"/>
  </si>
  <si>
    <t>4800366954/100</t>
    <phoneticPr fontId="3" type="noConversion"/>
  </si>
  <si>
    <t>4800366954/100</t>
    <phoneticPr fontId="3" type="noConversion"/>
  </si>
  <si>
    <t>4800366525/100</t>
    <phoneticPr fontId="3" type="noConversion"/>
  </si>
  <si>
    <t>26301M5001</t>
    <phoneticPr fontId="3" type="noConversion"/>
  </si>
  <si>
    <t>26308M5001</t>
    <phoneticPr fontId="3" type="noConversion"/>
  </si>
  <si>
    <t>26310M5001</t>
    <phoneticPr fontId="3" type="noConversion"/>
  </si>
  <si>
    <t>26311M5001</t>
    <phoneticPr fontId="3" type="noConversion"/>
  </si>
  <si>
    <t>26309M5101</t>
    <phoneticPr fontId="3" type="noConversion"/>
  </si>
  <si>
    <t>4800368660/400</t>
    <phoneticPr fontId="3" type="noConversion"/>
  </si>
  <si>
    <t>4800371311/100</t>
    <phoneticPr fontId="3" type="noConversion"/>
  </si>
  <si>
    <t>4800365866/100</t>
    <phoneticPr fontId="3" type="noConversion"/>
  </si>
  <si>
    <t>26302M5001</t>
    <phoneticPr fontId="3" type="noConversion"/>
  </si>
  <si>
    <t>26302M5001</t>
    <phoneticPr fontId="3" type="noConversion"/>
  </si>
  <si>
    <t>26306M5101</t>
    <phoneticPr fontId="3" type="noConversion"/>
  </si>
  <si>
    <t>26309M5101</t>
    <phoneticPr fontId="3" type="noConversion"/>
  </si>
  <si>
    <t>4800367140/100</t>
    <phoneticPr fontId="3" type="noConversion"/>
  </si>
  <si>
    <t>4800354113/100</t>
    <phoneticPr fontId="3" type="noConversion"/>
  </si>
  <si>
    <t>4800369411/200</t>
    <phoneticPr fontId="3" type="noConversion"/>
  </si>
  <si>
    <t>4800368660/100</t>
    <phoneticPr fontId="3" type="noConversion"/>
  </si>
  <si>
    <t>260323006-1</t>
    <phoneticPr fontId="3" type="noConversion"/>
  </si>
  <si>
    <t>260323005-1</t>
    <phoneticPr fontId="3" type="noConversion"/>
  </si>
  <si>
    <t>260323005-1</t>
    <phoneticPr fontId="3" type="noConversion"/>
  </si>
  <si>
    <t>4800371311/100</t>
    <phoneticPr fontId="3" type="noConversion"/>
  </si>
  <si>
    <t>4800368660/300</t>
    <phoneticPr fontId="3" type="noConversion"/>
  </si>
  <si>
    <t>4800367140/100</t>
    <phoneticPr fontId="3" type="noConversion"/>
  </si>
  <si>
    <t>26123M8301</t>
    <phoneticPr fontId="3" type="noConversion"/>
  </si>
  <si>
    <t>26129M8301</t>
    <phoneticPr fontId="3" type="noConversion"/>
  </si>
  <si>
    <t>26306M5001</t>
    <phoneticPr fontId="3" type="noConversion"/>
  </si>
  <si>
    <t>26306M5001</t>
    <phoneticPr fontId="3" type="noConversion"/>
  </si>
  <si>
    <t>26311M5101</t>
    <phoneticPr fontId="3" type="noConversion"/>
  </si>
  <si>
    <t>4800368660/400</t>
    <phoneticPr fontId="3" type="noConversion"/>
  </si>
  <si>
    <t>4800369411/100</t>
    <phoneticPr fontId="3" type="noConversion"/>
  </si>
  <si>
    <t>4800366954/100</t>
    <phoneticPr fontId="3" type="noConversion"/>
  </si>
  <si>
    <t>4800365866/100</t>
    <phoneticPr fontId="3" type="noConversion"/>
  </si>
  <si>
    <t>4800366525/100</t>
    <phoneticPr fontId="3" type="noConversion"/>
  </si>
  <si>
    <t>4800367140/100</t>
    <phoneticPr fontId="3" type="noConversion"/>
  </si>
  <si>
    <t>26129M8301</t>
    <phoneticPr fontId="3" type="noConversion"/>
  </si>
  <si>
    <t>26318M8301</t>
    <phoneticPr fontId="3" type="noConversion"/>
  </si>
  <si>
    <t>26306M5001</t>
    <phoneticPr fontId="3" type="noConversion"/>
  </si>
  <si>
    <t>26307M5001</t>
    <phoneticPr fontId="3" type="noConversion"/>
  </si>
  <si>
    <t>26306M5001</t>
    <phoneticPr fontId="3" type="noConversion"/>
  </si>
  <si>
    <t>4800354113/100</t>
    <phoneticPr fontId="3" type="noConversion"/>
  </si>
  <si>
    <t>4800369411/200</t>
    <phoneticPr fontId="3" type="noConversion"/>
  </si>
  <si>
    <t>4800369411/100</t>
    <phoneticPr fontId="3" type="noConversion"/>
  </si>
  <si>
    <t>26308M5001</t>
    <phoneticPr fontId="3" type="noConversion"/>
  </si>
  <si>
    <t>4800371311/100</t>
    <phoneticPr fontId="3" type="noConversion"/>
  </si>
  <si>
    <t>260326006-1</t>
    <phoneticPr fontId="3" type="noConversion"/>
  </si>
  <si>
    <r>
      <rPr>
        <sz val="10"/>
        <color rgb="FFFF0000"/>
        <rFont val="細明體"/>
        <family val="3"/>
        <charset val="136"/>
      </rPr>
      <t>指定</t>
    </r>
    <r>
      <rPr>
        <sz val="10"/>
        <color rgb="FFFF0000"/>
        <rFont val="Arial"/>
        <family val="2"/>
      </rPr>
      <t>#17-24</t>
    </r>
    <r>
      <rPr>
        <sz val="10"/>
        <color rgb="FFFF0000"/>
        <rFont val="細明體"/>
        <family val="3"/>
        <charset val="136"/>
      </rPr>
      <t>、</t>
    </r>
    <r>
      <rPr>
        <sz val="10"/>
        <color rgb="FFFF0000"/>
        <rFont val="Arial"/>
        <family val="2"/>
      </rPr>
      <t>#25-32</t>
    </r>
    <phoneticPr fontId="3" type="noConversion"/>
  </si>
  <si>
    <t>260326008-1</t>
    <phoneticPr fontId="3" type="noConversion"/>
  </si>
  <si>
    <t>26316M5001</t>
    <phoneticPr fontId="3" type="noConversion"/>
  </si>
  <si>
    <t>26320M5001</t>
    <phoneticPr fontId="3" type="noConversion"/>
  </si>
  <si>
    <t>4800368660/400</t>
    <phoneticPr fontId="3" type="noConversion"/>
  </si>
  <si>
    <r>
      <t>18</t>
    </r>
    <r>
      <rPr>
        <sz val="10"/>
        <color theme="1"/>
        <rFont val="新細明體"/>
        <family val="1"/>
        <charset val="136"/>
      </rPr>
      <t>廠</t>
    </r>
    <r>
      <rPr>
        <sz val="10"/>
        <color theme="1"/>
        <rFont val="Arial"/>
        <family val="2"/>
      </rPr>
      <t>P7</t>
    </r>
    <phoneticPr fontId="3" type="noConversion"/>
  </si>
  <si>
    <r>
      <t>18</t>
    </r>
    <r>
      <rPr>
        <sz val="10"/>
        <color theme="1"/>
        <rFont val="新細明體"/>
        <family val="1"/>
        <charset val="136"/>
      </rPr>
      <t>廠</t>
    </r>
    <r>
      <rPr>
        <sz val="10"/>
        <color theme="1"/>
        <rFont val="Arial"/>
        <family val="2"/>
      </rPr>
      <t>P4</t>
    </r>
    <phoneticPr fontId="3" type="noConversion"/>
  </si>
  <si>
    <r>
      <t>18</t>
    </r>
    <r>
      <rPr>
        <sz val="10"/>
        <color theme="1"/>
        <rFont val="新細明體"/>
        <family val="1"/>
        <charset val="136"/>
      </rPr>
      <t>廠</t>
    </r>
    <r>
      <rPr>
        <sz val="10"/>
        <color theme="1"/>
        <rFont val="Arial"/>
        <family val="2"/>
      </rPr>
      <t>P7</t>
    </r>
    <phoneticPr fontId="3" type="noConversion"/>
  </si>
  <si>
    <r>
      <t>18</t>
    </r>
    <r>
      <rPr>
        <sz val="10"/>
        <color theme="1"/>
        <rFont val="新細明體"/>
        <family val="1"/>
        <charset val="136"/>
      </rPr>
      <t>廠</t>
    </r>
    <r>
      <rPr>
        <sz val="10"/>
        <color theme="1"/>
        <rFont val="Arial"/>
        <family val="2"/>
      </rPr>
      <t>P4</t>
    </r>
    <phoneticPr fontId="3" type="noConversion"/>
  </si>
  <si>
    <r>
      <t>18</t>
    </r>
    <r>
      <rPr>
        <sz val="10"/>
        <color theme="1"/>
        <rFont val="新細明體"/>
        <family val="1"/>
        <charset val="136"/>
      </rPr>
      <t>廠</t>
    </r>
    <r>
      <rPr>
        <sz val="10"/>
        <color theme="1"/>
        <rFont val="Arial"/>
        <family val="2"/>
      </rPr>
      <t>P6</t>
    </r>
    <phoneticPr fontId="3" type="noConversion"/>
  </si>
  <si>
    <r>
      <t>18</t>
    </r>
    <r>
      <rPr>
        <sz val="10"/>
        <color theme="1"/>
        <rFont val="新細明體"/>
        <family val="1"/>
        <charset val="136"/>
      </rPr>
      <t>廠</t>
    </r>
    <r>
      <rPr>
        <sz val="10"/>
        <color theme="1"/>
        <rFont val="Arial"/>
        <family val="2"/>
      </rPr>
      <t>P4</t>
    </r>
    <phoneticPr fontId="3" type="noConversion"/>
  </si>
  <si>
    <t>4800366954/100</t>
    <phoneticPr fontId="3" type="noConversion"/>
  </si>
  <si>
    <t>4800365866/100</t>
    <phoneticPr fontId="3" type="noConversion"/>
  </si>
  <si>
    <t>26308M5001</t>
    <phoneticPr fontId="3" type="noConversion"/>
  </si>
  <si>
    <t>26308M5001</t>
    <phoneticPr fontId="3" type="noConversion"/>
  </si>
  <si>
    <t>26317M5001</t>
    <phoneticPr fontId="3" type="noConversion"/>
  </si>
  <si>
    <t>26318M5001</t>
    <phoneticPr fontId="3" type="noConversion"/>
  </si>
  <si>
    <t>26319M5001</t>
    <phoneticPr fontId="3" type="noConversion"/>
  </si>
  <si>
    <t>26308M5001</t>
    <phoneticPr fontId="3" type="noConversion"/>
  </si>
  <si>
    <t>26313M5101</t>
    <phoneticPr fontId="3" type="noConversion"/>
  </si>
  <si>
    <t>26315M5101</t>
    <phoneticPr fontId="3" type="noConversion"/>
  </si>
  <si>
    <t>26313M5101</t>
    <phoneticPr fontId="3" type="noConversion"/>
  </si>
  <si>
    <t>26315M5101</t>
    <phoneticPr fontId="3" type="noConversion"/>
  </si>
  <si>
    <t>4800371311/100</t>
    <phoneticPr fontId="3" type="noConversion"/>
  </si>
  <si>
    <t>4800366954/100</t>
    <phoneticPr fontId="3" type="noConversion"/>
  </si>
  <si>
    <t>4800368660/100</t>
    <phoneticPr fontId="3" type="noConversion"/>
  </si>
  <si>
    <t>4800365866/100</t>
    <phoneticPr fontId="3" type="noConversion"/>
  </si>
  <si>
    <t>F22P2B</t>
    <phoneticPr fontId="3" type="noConversion"/>
  </si>
  <si>
    <t>4800371571/100</t>
    <phoneticPr fontId="3" type="noConversion"/>
  </si>
  <si>
    <t>26311M5001</t>
    <phoneticPr fontId="3" type="noConversion"/>
  </si>
  <si>
    <t>26313M5001</t>
    <phoneticPr fontId="3" type="noConversion"/>
  </si>
  <si>
    <t>26312M5001</t>
    <phoneticPr fontId="3" type="noConversion"/>
  </si>
  <si>
    <t>26313M5001</t>
    <phoneticPr fontId="3" type="noConversion"/>
  </si>
  <si>
    <r>
      <rPr>
        <sz val="10"/>
        <color rgb="FFFF0000"/>
        <rFont val="細明體"/>
        <family val="3"/>
        <charset val="136"/>
      </rPr>
      <t>指定</t>
    </r>
    <r>
      <rPr>
        <sz val="10"/>
        <color rgb="FFFF0000"/>
        <rFont val="Arial"/>
        <family val="2"/>
      </rPr>
      <t>#33-36</t>
    </r>
    <phoneticPr fontId="3" type="noConversion"/>
  </si>
  <si>
    <r>
      <rPr>
        <sz val="10"/>
        <color rgb="FFFF0000"/>
        <rFont val="細明體"/>
        <family val="3"/>
        <charset val="136"/>
      </rPr>
      <t>指定</t>
    </r>
    <r>
      <rPr>
        <sz val="10"/>
        <color rgb="FFFF0000"/>
        <rFont val="Arial"/>
        <family val="2"/>
      </rPr>
      <t>/#25-36</t>
    </r>
    <phoneticPr fontId="3" type="noConversion"/>
  </si>
  <si>
    <t>4800369411/200</t>
    <phoneticPr fontId="3" type="noConversion"/>
  </si>
  <si>
    <t>4800369411/100</t>
    <phoneticPr fontId="3" type="noConversion"/>
  </si>
  <si>
    <t>4800371571/100</t>
    <phoneticPr fontId="3" type="noConversion"/>
  </si>
  <si>
    <t>26129M8301</t>
    <phoneticPr fontId="3" type="noConversion"/>
  </si>
  <si>
    <t>26310M5001</t>
    <phoneticPr fontId="3" type="noConversion"/>
  </si>
  <si>
    <t>26311M5001</t>
    <phoneticPr fontId="3" type="noConversion"/>
  </si>
  <si>
    <t>26311M5001</t>
    <phoneticPr fontId="3" type="noConversion"/>
  </si>
  <si>
    <t>26313M5001</t>
    <phoneticPr fontId="3" type="noConversion"/>
  </si>
  <si>
    <r>
      <rPr>
        <sz val="10"/>
        <color rgb="FFFF0000"/>
        <rFont val="細明體"/>
        <family val="3"/>
        <charset val="136"/>
      </rPr>
      <t>指定</t>
    </r>
    <r>
      <rPr>
        <sz val="10"/>
        <color rgb="FFFF0000"/>
        <rFont val="Arial"/>
        <family val="2"/>
      </rPr>
      <t>/#21-24</t>
    </r>
    <phoneticPr fontId="3" type="noConversion"/>
  </si>
  <si>
    <t>260330009-1</t>
    <phoneticPr fontId="3" type="noConversion"/>
  </si>
  <si>
    <t>4800369411/200</t>
    <phoneticPr fontId="3" type="noConversion"/>
  </si>
  <si>
    <t>4800371571/100</t>
    <phoneticPr fontId="3" type="noConversion"/>
  </si>
  <si>
    <t>4800374911/100</t>
    <phoneticPr fontId="3" type="noConversion"/>
  </si>
  <si>
    <t>4800368660/300</t>
    <phoneticPr fontId="3" type="noConversion"/>
  </si>
  <si>
    <t>26313M5001</t>
    <phoneticPr fontId="3" type="noConversion"/>
  </si>
  <si>
    <t>26314M5001</t>
    <phoneticPr fontId="3" type="noConversion"/>
  </si>
  <si>
    <t>26314M5001</t>
    <phoneticPr fontId="3" type="noConversion"/>
  </si>
  <si>
    <t>26310M5001</t>
    <phoneticPr fontId="3" type="noConversion"/>
  </si>
  <si>
    <t>26317M5101</t>
    <phoneticPr fontId="3" type="noConversion"/>
  </si>
  <si>
    <t>26317M5101</t>
    <phoneticPr fontId="3" type="noConversion"/>
  </si>
  <si>
    <t>4800368660/100</t>
    <phoneticPr fontId="3" type="noConversion"/>
  </si>
  <si>
    <t>4800350542/100</t>
    <phoneticPr fontId="3" type="noConversion"/>
  </si>
  <si>
    <t>26205M5101</t>
    <phoneticPr fontId="3" type="noConversion"/>
  </si>
  <si>
    <t>26212M8301</t>
    <phoneticPr fontId="3" type="noConversion"/>
  </si>
  <si>
    <t>4800367140/100</t>
    <phoneticPr fontId="3" type="noConversion"/>
  </si>
  <si>
    <t>4800367140/100</t>
    <phoneticPr fontId="3" type="noConversion"/>
  </si>
  <si>
    <t>4800371311/200</t>
    <phoneticPr fontId="3" type="noConversion"/>
  </si>
  <si>
    <r>
      <rPr>
        <sz val="10"/>
        <color rgb="FFFF0000"/>
        <rFont val="細明體"/>
        <family val="3"/>
        <charset val="136"/>
      </rPr>
      <t>請把</t>
    </r>
    <r>
      <rPr>
        <sz val="10"/>
        <color rgb="FFFF0000"/>
        <rFont val="Arial"/>
        <family val="2"/>
      </rPr>
      <t>PRE USE</t>
    </r>
    <r>
      <rPr>
        <sz val="10"/>
        <color rgb="FFFF0000"/>
        <rFont val="細明體"/>
        <family val="3"/>
        <charset val="136"/>
      </rPr>
      <t>貼紙撕掉</t>
    </r>
    <phoneticPr fontId="3" type="noConversion"/>
  </si>
  <si>
    <t>26325M5101</t>
    <phoneticPr fontId="3" type="noConversion"/>
  </si>
  <si>
    <t>26314M5001</t>
    <phoneticPr fontId="3" type="noConversion"/>
  </si>
  <si>
    <t>26316M5001</t>
    <phoneticPr fontId="3" type="noConversion"/>
  </si>
  <si>
    <t>26316M5001</t>
    <phoneticPr fontId="3" type="noConversion"/>
  </si>
  <si>
    <t>26327M5001</t>
    <phoneticPr fontId="3" type="noConversion"/>
  </si>
  <si>
    <t>26328M5001</t>
    <phoneticPr fontId="3" type="noConversion"/>
  </si>
  <si>
    <t>26324M5001</t>
    <phoneticPr fontId="3" type="noConversion"/>
  </si>
  <si>
    <t>26325M5001</t>
    <phoneticPr fontId="3" type="noConversion"/>
  </si>
  <si>
    <t>26326M5001</t>
    <phoneticPr fontId="3" type="noConversion"/>
  </si>
  <si>
    <t>26316M5001</t>
    <phoneticPr fontId="3" type="noConversion"/>
  </si>
  <si>
    <t>26130M5101</t>
    <phoneticPr fontId="3" type="noConversion"/>
  </si>
  <si>
    <t>26319M5101</t>
    <phoneticPr fontId="3" type="noConversion"/>
  </si>
  <si>
    <t>26323M5101</t>
    <phoneticPr fontId="3" type="noConversion"/>
  </si>
  <si>
    <t>26323M5101</t>
    <phoneticPr fontId="3" type="noConversion"/>
  </si>
  <si>
    <t>4800369411/100</t>
    <phoneticPr fontId="3" type="noConversion"/>
  </si>
  <si>
    <t>4800368660/400</t>
    <phoneticPr fontId="3" type="noConversion"/>
  </si>
  <si>
    <t>4800371311/200</t>
    <phoneticPr fontId="3" type="noConversion"/>
  </si>
  <si>
    <t>4800366491/100</t>
    <phoneticPr fontId="3" type="noConversion"/>
  </si>
  <si>
    <t>4800365866/100</t>
    <phoneticPr fontId="3" type="noConversion"/>
  </si>
  <si>
    <t>4800365866/100</t>
    <phoneticPr fontId="3" type="noConversion"/>
  </si>
  <si>
    <t>4800366525/100</t>
    <phoneticPr fontId="3" type="noConversion"/>
  </si>
  <si>
    <t>4800366525/100</t>
    <phoneticPr fontId="3" type="noConversion"/>
  </si>
  <si>
    <t>4800354113/100</t>
    <phoneticPr fontId="3" type="noConversion"/>
  </si>
  <si>
    <t>4800369411/100</t>
    <phoneticPr fontId="3" type="noConversion"/>
  </si>
  <si>
    <t>4800368660/400</t>
    <phoneticPr fontId="3" type="noConversion"/>
  </si>
  <si>
    <t>4800350542/100</t>
    <phoneticPr fontId="3" type="noConversion"/>
  </si>
  <si>
    <t>4800366491/100</t>
    <phoneticPr fontId="3" type="noConversion"/>
  </si>
  <si>
    <t>26325M5101</t>
    <phoneticPr fontId="3" type="noConversion"/>
  </si>
  <si>
    <t>4800366525/100</t>
    <phoneticPr fontId="3" type="noConversion"/>
  </si>
  <si>
    <t>#9-24 AZ</t>
  </si>
  <si>
    <t>#5-24 AZ</t>
  </si>
  <si>
    <t>26212M8301</t>
  </si>
  <si>
    <t>4800369411/200</t>
    <phoneticPr fontId="3" type="noConversion"/>
  </si>
  <si>
    <t>4800360879/100</t>
    <phoneticPr fontId="3" type="noConversion"/>
  </si>
  <si>
    <t>26316M5001</t>
    <phoneticPr fontId="3" type="noConversion"/>
  </si>
  <si>
    <t>26317M5001</t>
    <phoneticPr fontId="3" type="noConversion"/>
  </si>
  <si>
    <t>26318M5001</t>
    <phoneticPr fontId="3" type="noConversion"/>
  </si>
  <si>
    <t>26205M5101</t>
    <phoneticPr fontId="3" type="noConversion"/>
  </si>
  <si>
    <t>26205M5101</t>
    <phoneticPr fontId="3" type="noConversion"/>
  </si>
  <si>
    <t>260402004-1</t>
    <phoneticPr fontId="3" type="noConversion"/>
  </si>
  <si>
    <t>4800367140/100</t>
    <phoneticPr fontId="3" type="noConversion"/>
  </si>
  <si>
    <t>260402002-1</t>
    <phoneticPr fontId="3" type="noConversion"/>
  </si>
  <si>
    <t>4800360879/100</t>
    <phoneticPr fontId="3" type="noConversion"/>
  </si>
  <si>
    <t>4800366491/100</t>
    <phoneticPr fontId="3" type="noConversion"/>
  </si>
  <si>
    <t>4800368660/300</t>
    <phoneticPr fontId="3" type="noConversion"/>
  </si>
  <si>
    <t>26327M5101</t>
    <phoneticPr fontId="3" type="noConversion"/>
  </si>
  <si>
    <t>26318M5001</t>
    <phoneticPr fontId="3" type="noConversion"/>
  </si>
  <si>
    <t>26319M5001</t>
    <phoneticPr fontId="3" type="noConversion"/>
  </si>
  <si>
    <t>26320M5001</t>
    <phoneticPr fontId="3" type="noConversion"/>
  </si>
  <si>
    <t>4800368660/300</t>
    <phoneticPr fontId="3" type="noConversion"/>
  </si>
  <si>
    <t>4800371427/100</t>
    <phoneticPr fontId="3" type="noConversion"/>
  </si>
  <si>
    <t>4800371311/200</t>
    <phoneticPr fontId="3" type="noConversion"/>
  </si>
  <si>
    <t>4800365866/100</t>
    <phoneticPr fontId="3" type="noConversion"/>
  </si>
  <si>
    <t>4800366525/100</t>
    <phoneticPr fontId="3" type="noConversion"/>
  </si>
  <si>
    <t>26224M8301</t>
    <phoneticPr fontId="3" type="noConversion"/>
  </si>
  <si>
    <t>26318M5001</t>
    <phoneticPr fontId="3" type="noConversion"/>
  </si>
  <si>
    <t>26317M5001</t>
    <phoneticPr fontId="3" type="noConversion"/>
  </si>
  <si>
    <t>26205M5101</t>
    <phoneticPr fontId="3" type="noConversion"/>
  </si>
  <si>
    <t>26211M5101</t>
    <phoneticPr fontId="3" type="noConversion"/>
  </si>
  <si>
    <t>26213M5101</t>
    <phoneticPr fontId="3" type="noConversion"/>
  </si>
  <si>
    <t>26209M5101</t>
    <phoneticPr fontId="3" type="noConversion"/>
  </si>
  <si>
    <t>26327M5101</t>
    <phoneticPr fontId="3" type="noConversion"/>
  </si>
  <si>
    <t>4800371427/100</t>
    <phoneticPr fontId="3" type="noConversion"/>
  </si>
  <si>
    <t>4800368660/400</t>
    <phoneticPr fontId="3" type="noConversion"/>
  </si>
  <si>
    <t>4800350542/100</t>
    <phoneticPr fontId="3" type="noConversion"/>
  </si>
  <si>
    <t>4800365866/100</t>
    <phoneticPr fontId="3" type="noConversion"/>
  </si>
  <si>
    <t>4800366491/100</t>
    <phoneticPr fontId="3" type="noConversion"/>
  </si>
  <si>
    <t>4800366525/100</t>
    <phoneticPr fontId="3" type="noConversion"/>
  </si>
  <si>
    <t>26326M8301</t>
    <phoneticPr fontId="3" type="noConversion"/>
  </si>
  <si>
    <r>
      <t>12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P8</t>
    </r>
    <phoneticPr fontId="3" type="noConversion"/>
  </si>
  <si>
    <t>4800366491/100</t>
    <phoneticPr fontId="3" type="noConversion"/>
  </si>
  <si>
    <t>4800369411/200</t>
    <phoneticPr fontId="3" type="noConversion"/>
  </si>
  <si>
    <t>26224M8301</t>
    <phoneticPr fontId="3" type="noConversion"/>
  </si>
  <si>
    <t>26320M5001</t>
    <phoneticPr fontId="3" type="noConversion"/>
  </si>
  <si>
    <t>26324M5001</t>
    <phoneticPr fontId="3" type="noConversion"/>
  </si>
  <si>
    <t>26324M5001</t>
    <phoneticPr fontId="3" type="noConversion"/>
  </si>
  <si>
    <t>26213M5101</t>
    <phoneticPr fontId="3" type="noConversion"/>
  </si>
  <si>
    <t>26217M5101</t>
    <phoneticPr fontId="3" type="noConversion"/>
  </si>
  <si>
    <t>4800371427/100</t>
    <phoneticPr fontId="3" type="noConversion"/>
  </si>
  <si>
    <t>4800354113/100</t>
    <phoneticPr fontId="3" type="noConversion"/>
  </si>
  <si>
    <t>4800371311/100</t>
    <phoneticPr fontId="3" type="noConversion"/>
  </si>
  <si>
    <t>4800366491/100</t>
    <phoneticPr fontId="3" type="noConversion"/>
  </si>
  <si>
    <t>260409004-1</t>
    <phoneticPr fontId="3" type="noConversion"/>
  </si>
  <si>
    <t>260409004-1</t>
    <phoneticPr fontId="3" type="noConversion"/>
  </si>
  <si>
    <t>4800369411/200</t>
    <phoneticPr fontId="3" type="noConversion"/>
  </si>
  <si>
    <t>26401M5101</t>
    <phoneticPr fontId="3" type="noConversion"/>
  </si>
  <si>
    <t>F22P1B</t>
  </si>
  <si>
    <t>26401M5001</t>
    <phoneticPr fontId="3" type="noConversion"/>
  </si>
  <si>
    <t>4800368660/400</t>
    <phoneticPr fontId="3" type="noConversion"/>
  </si>
  <si>
    <t>26324M5001</t>
    <phoneticPr fontId="3" type="noConversion"/>
  </si>
  <si>
    <t>26325M5001</t>
    <phoneticPr fontId="3" type="noConversion"/>
  </si>
  <si>
    <t>26324M5001</t>
    <phoneticPr fontId="3" type="noConversion"/>
  </si>
  <si>
    <t>26402M5001</t>
    <phoneticPr fontId="3" type="noConversion"/>
  </si>
  <si>
    <t>26329M5001</t>
    <phoneticPr fontId="3" type="noConversion"/>
  </si>
  <si>
    <t>26330M5001</t>
    <phoneticPr fontId="3" type="noConversion"/>
  </si>
  <si>
    <t>26331M5001</t>
    <phoneticPr fontId="3" type="noConversion"/>
  </si>
  <si>
    <t>26217M5101</t>
    <phoneticPr fontId="3" type="noConversion"/>
  </si>
  <si>
    <t>26330M5101</t>
    <phoneticPr fontId="3" type="noConversion"/>
  </si>
  <si>
    <t>26330M5101</t>
    <phoneticPr fontId="3" type="noConversion"/>
  </si>
  <si>
    <t>26401M5101</t>
    <phoneticPr fontId="3" type="noConversion"/>
  </si>
  <si>
    <t>4800366525/100</t>
    <phoneticPr fontId="3" type="noConversion"/>
  </si>
  <si>
    <t>4800371311/100</t>
    <phoneticPr fontId="3" type="noConversion"/>
  </si>
  <si>
    <t>4800365866/100</t>
    <phoneticPr fontId="3" type="noConversion"/>
  </si>
  <si>
    <t>4800366525/100</t>
    <phoneticPr fontId="3" type="noConversion"/>
  </si>
  <si>
    <t>4800371311/200</t>
    <phoneticPr fontId="3" type="noConversion"/>
  </si>
  <si>
    <t>4800371311/200</t>
    <phoneticPr fontId="3" type="noConversion"/>
  </si>
  <si>
    <t>260410005-1</t>
    <phoneticPr fontId="3" type="noConversion"/>
  </si>
  <si>
    <t>4800373312/400</t>
    <phoneticPr fontId="3" type="noConversion"/>
  </si>
  <si>
    <t>4800369411/200</t>
    <phoneticPr fontId="3" type="noConversion"/>
  </si>
  <si>
    <t>26224M8301</t>
    <phoneticPr fontId="3" type="noConversion"/>
  </si>
  <si>
    <t>26327M5001</t>
    <phoneticPr fontId="3" type="noConversion"/>
  </si>
  <si>
    <t>26325M5001</t>
    <phoneticPr fontId="3" type="noConversion"/>
  </si>
  <si>
    <t>26327M5001</t>
    <phoneticPr fontId="3" type="noConversion"/>
  </si>
  <si>
    <t>26328M5001</t>
    <phoneticPr fontId="3" type="noConversion"/>
  </si>
  <si>
    <t>26325M5001</t>
    <phoneticPr fontId="3" type="noConversion"/>
  </si>
  <si>
    <t>26205M5101</t>
    <phoneticPr fontId="3" type="noConversion"/>
  </si>
  <si>
    <t>260413007-1</t>
    <phoneticPr fontId="3" type="noConversion"/>
  </si>
  <si>
    <t>4800369411/100</t>
    <phoneticPr fontId="3" type="noConversion"/>
  </si>
  <si>
    <t>4800375878/100</t>
    <phoneticPr fontId="3" type="noConversion"/>
  </si>
  <si>
    <t>4800371427/100</t>
    <phoneticPr fontId="3" type="noConversion"/>
  </si>
  <si>
    <t>4800354113/100</t>
    <phoneticPr fontId="3" type="noConversion"/>
  </si>
  <si>
    <t>4800369411/200</t>
    <phoneticPr fontId="3" type="noConversion"/>
  </si>
  <si>
    <t>260413004-1</t>
    <phoneticPr fontId="3" type="noConversion"/>
  </si>
  <si>
    <t>260413006-1</t>
    <phoneticPr fontId="3" type="noConversion"/>
  </si>
  <si>
    <t>4800373312/300</t>
    <phoneticPr fontId="3" type="noConversion"/>
  </si>
  <si>
    <t>4800368660/100</t>
    <phoneticPr fontId="3" type="noConversion"/>
  </si>
  <si>
    <t>4800350542/100</t>
    <phoneticPr fontId="3" type="noConversion"/>
  </si>
  <si>
    <t>4800375878/100</t>
    <phoneticPr fontId="3" type="noConversion"/>
  </si>
  <si>
    <t>26329M5001</t>
    <phoneticPr fontId="3" type="noConversion"/>
  </si>
  <si>
    <t>4800368660/300</t>
    <phoneticPr fontId="3" type="noConversion"/>
  </si>
  <si>
    <t>4800371427/100</t>
    <phoneticPr fontId="3" type="noConversion"/>
  </si>
  <si>
    <t>4800366525/100</t>
    <phoneticPr fontId="3" type="noConversion"/>
  </si>
  <si>
    <t>26330M5001</t>
    <phoneticPr fontId="3" type="noConversion"/>
  </si>
  <si>
    <t>4800374911/100</t>
    <phoneticPr fontId="3" type="noConversion"/>
  </si>
  <si>
    <t>26309M8301</t>
    <phoneticPr fontId="3" type="noConversion"/>
  </si>
  <si>
    <t>26329M5001</t>
    <phoneticPr fontId="3" type="noConversion"/>
  </si>
  <si>
    <t>26330M5001</t>
    <phoneticPr fontId="3" type="noConversion"/>
  </si>
  <si>
    <t>26330M5001</t>
    <phoneticPr fontId="3" type="noConversion"/>
  </si>
  <si>
    <t>26329M5001</t>
    <phoneticPr fontId="3" type="noConversion"/>
  </si>
  <si>
    <t>26328M5001</t>
    <phoneticPr fontId="3" type="noConversion"/>
  </si>
  <si>
    <t>26330M5001</t>
    <phoneticPr fontId="3" type="noConversion"/>
  </si>
  <si>
    <t>26219M5101</t>
    <phoneticPr fontId="3" type="noConversion"/>
  </si>
  <si>
    <t>26219M5101</t>
    <phoneticPr fontId="3" type="noConversion"/>
  </si>
  <si>
    <t>4800368660/400</t>
    <phoneticPr fontId="3" type="noConversion"/>
  </si>
  <si>
    <t>4800369411/100</t>
    <phoneticPr fontId="3" type="noConversion"/>
  </si>
  <si>
    <t>4800371311/200</t>
    <phoneticPr fontId="3" type="noConversion"/>
  </si>
  <si>
    <t>4800373312/400</t>
    <phoneticPr fontId="3" type="noConversion"/>
  </si>
  <si>
    <t>4800350542/100</t>
    <phoneticPr fontId="3" type="noConversion"/>
  </si>
  <si>
    <t>4800374911/100</t>
    <phoneticPr fontId="3" type="noConversion"/>
  </si>
  <si>
    <t>4800366525/100</t>
    <phoneticPr fontId="3" type="noConversion"/>
  </si>
  <si>
    <t>26408M8301</t>
    <phoneticPr fontId="3" type="noConversion"/>
  </si>
  <si>
    <t>4800369411/200</t>
    <phoneticPr fontId="3" type="noConversion"/>
  </si>
  <si>
    <t>4800373312/300</t>
    <phoneticPr fontId="3" type="noConversion"/>
  </si>
  <si>
    <t>4800366491/100</t>
    <phoneticPr fontId="3" type="noConversion"/>
  </si>
  <si>
    <t>26309M8301</t>
    <phoneticPr fontId="3" type="noConversion"/>
  </si>
  <si>
    <t>26410M8301</t>
    <phoneticPr fontId="3" type="noConversion"/>
  </si>
  <si>
    <t>26330M5001</t>
    <phoneticPr fontId="3" type="noConversion"/>
  </si>
  <si>
    <t>26331M5001</t>
    <phoneticPr fontId="3" type="noConversion"/>
  </si>
  <si>
    <t>26329M5001</t>
    <phoneticPr fontId="3" type="noConversion"/>
  </si>
  <si>
    <t>26331M5001</t>
    <phoneticPr fontId="3" type="noConversion"/>
  </si>
  <si>
    <t>26223M5101</t>
    <phoneticPr fontId="3" type="noConversion"/>
  </si>
  <si>
    <t>26225M5101</t>
    <phoneticPr fontId="3" type="noConversion"/>
  </si>
  <si>
    <t>4800371427/100</t>
    <phoneticPr fontId="3" type="noConversion"/>
  </si>
  <si>
    <t>4800354113/100</t>
    <phoneticPr fontId="3" type="noConversion"/>
  </si>
  <si>
    <t>26408M5101</t>
    <phoneticPr fontId="3" type="noConversion"/>
  </si>
  <si>
    <t>4800360879/100</t>
    <phoneticPr fontId="3" type="noConversion"/>
  </si>
  <si>
    <t>26405M5001</t>
    <phoneticPr fontId="3" type="noConversion"/>
  </si>
  <si>
    <t>26407M5001</t>
    <phoneticPr fontId="3" type="noConversion"/>
  </si>
  <si>
    <t>4800368660/400</t>
    <phoneticPr fontId="3" type="noConversion"/>
  </si>
  <si>
    <t>4800360879/100</t>
    <phoneticPr fontId="3" type="noConversion"/>
  </si>
  <si>
    <t>26403M5001</t>
    <phoneticPr fontId="3" type="noConversion"/>
  </si>
  <si>
    <t>26404M5001</t>
    <phoneticPr fontId="3" type="noConversion"/>
  </si>
  <si>
    <t>26406M5001</t>
    <phoneticPr fontId="3" type="noConversion"/>
  </si>
  <si>
    <t>26408M5001</t>
    <phoneticPr fontId="3" type="noConversion"/>
  </si>
  <si>
    <t>26401M5001</t>
    <phoneticPr fontId="3" type="noConversion"/>
  </si>
  <si>
    <t>26211M5101</t>
    <phoneticPr fontId="3" type="noConversion"/>
  </si>
  <si>
    <t>26213M5101</t>
    <phoneticPr fontId="3" type="noConversion"/>
  </si>
  <si>
    <t>26217M5101</t>
    <phoneticPr fontId="3" type="noConversion"/>
  </si>
  <si>
    <t>26225M5101</t>
    <phoneticPr fontId="3" type="noConversion"/>
  </si>
  <si>
    <t>26403M5101</t>
    <phoneticPr fontId="3" type="noConversion"/>
  </si>
  <si>
    <t>26406M5101</t>
    <phoneticPr fontId="3" type="noConversion"/>
  </si>
  <si>
    <t>4800368660/400</t>
    <phoneticPr fontId="3" type="noConversion"/>
  </si>
  <si>
    <t>4800371311/200</t>
    <phoneticPr fontId="3" type="noConversion"/>
  </si>
  <si>
    <t>260417004-1</t>
    <phoneticPr fontId="3" type="noConversion"/>
  </si>
  <si>
    <t>4800371311/200</t>
    <phoneticPr fontId="3" type="noConversion"/>
  </si>
  <si>
    <t>4800360879/100</t>
    <phoneticPr fontId="3" type="noConversion"/>
  </si>
  <si>
    <t>26331M5001</t>
    <phoneticPr fontId="3" type="noConversion"/>
  </si>
  <si>
    <t>4800373312/400</t>
    <phoneticPr fontId="3" type="noConversion"/>
  </si>
  <si>
    <r>
      <t>18</t>
    </r>
    <r>
      <rPr>
        <sz val="10"/>
        <color theme="1"/>
        <rFont val="細明體"/>
        <family val="3"/>
        <charset val="136"/>
      </rPr>
      <t>廠</t>
    </r>
    <r>
      <rPr>
        <sz val="10"/>
        <color theme="1"/>
        <rFont val="Arial"/>
        <family val="2"/>
      </rPr>
      <t>P7</t>
    </r>
    <phoneticPr fontId="3" type="noConversion"/>
  </si>
  <si>
    <t>4800369385/100</t>
    <phoneticPr fontId="3" type="noConversion"/>
  </si>
  <si>
    <t>26219M5101</t>
    <phoneticPr fontId="3" type="noConversion"/>
  </si>
  <si>
    <t>26309M8301</t>
    <phoneticPr fontId="3" type="noConversion"/>
  </si>
  <si>
    <t>26401M5001</t>
    <phoneticPr fontId="3" type="noConversion"/>
  </si>
  <si>
    <t>26402M5001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</si>
  <si>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P3</t>
    </r>
    <phoneticPr fontId="3" type="noConversion"/>
  </si>
  <si>
    <t>4800373312/200</t>
    <phoneticPr fontId="3" type="noConversion"/>
  </si>
  <si>
    <t>26411M5001</t>
    <phoneticPr fontId="3" type="noConversion"/>
  </si>
  <si>
    <t>4800376580/100</t>
    <phoneticPr fontId="3" type="noConversion"/>
  </si>
  <si>
    <t>26309M8301</t>
    <phoneticPr fontId="3" type="noConversion"/>
  </si>
  <si>
    <t>26318M8301</t>
    <phoneticPr fontId="3" type="noConversion"/>
  </si>
  <si>
    <t>26409M5001</t>
    <phoneticPr fontId="3" type="noConversion"/>
  </si>
  <si>
    <t>26402M5001</t>
    <phoneticPr fontId="3" type="noConversion"/>
  </si>
  <si>
    <t>26410M5001</t>
    <phoneticPr fontId="3" type="noConversion"/>
  </si>
  <si>
    <t>26403M5001</t>
    <phoneticPr fontId="3" type="noConversion"/>
  </si>
  <si>
    <t>26302M5101</t>
    <phoneticPr fontId="3" type="noConversion"/>
  </si>
  <si>
    <t>26302M5101</t>
    <phoneticPr fontId="3" type="noConversion"/>
  </si>
  <si>
    <t>26304M5101</t>
    <phoneticPr fontId="3" type="noConversion"/>
  </si>
  <si>
    <t>4800371427/100</t>
    <phoneticPr fontId="3" type="noConversion"/>
  </si>
  <si>
    <t>4800368660/400</t>
    <phoneticPr fontId="3" type="noConversion"/>
  </si>
  <si>
    <t>4800371311/200</t>
    <phoneticPr fontId="3" type="noConversion"/>
  </si>
  <si>
    <t>4800350542/100</t>
    <phoneticPr fontId="3" type="noConversion"/>
  </si>
  <si>
    <t>4800366491/100</t>
    <phoneticPr fontId="3" type="noConversion"/>
  </si>
  <si>
    <t>4800369385/100</t>
    <phoneticPr fontId="3" type="noConversion"/>
  </si>
  <si>
    <t>4800373312/400</t>
    <phoneticPr fontId="3" type="noConversion"/>
  </si>
  <si>
    <t>260422007-1</t>
    <phoneticPr fontId="3" type="noConversion"/>
  </si>
  <si>
    <t>4800365866/100</t>
    <phoneticPr fontId="3" type="noConversion"/>
  </si>
  <si>
    <t>4800366491/100</t>
    <phoneticPr fontId="3" type="noConversion"/>
  </si>
  <si>
    <t>26318M8301</t>
    <phoneticPr fontId="3" type="noConversion"/>
  </si>
  <si>
    <t>26225M5101</t>
    <phoneticPr fontId="3" type="noConversion"/>
  </si>
  <si>
    <t>26403M5001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</si>
  <si>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P6</t>
    </r>
    <phoneticPr fontId="3" type="noConversion"/>
  </si>
  <si>
    <t>4800369411/200</t>
    <phoneticPr fontId="3" type="noConversion"/>
  </si>
  <si>
    <t>26412M5001</t>
    <phoneticPr fontId="3" type="noConversion"/>
  </si>
  <si>
    <t>26414M5001</t>
    <phoneticPr fontId="3" type="noConversion"/>
  </si>
  <si>
    <t>26415M5001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</si>
  <si>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P7</t>
    </r>
    <phoneticPr fontId="3" type="noConversion"/>
  </si>
  <si>
    <t>26416M5001</t>
    <phoneticPr fontId="3" type="noConversion"/>
  </si>
  <si>
    <t>26417M5001</t>
    <phoneticPr fontId="3" type="noConversion"/>
  </si>
  <si>
    <t>26418M5001</t>
    <phoneticPr fontId="3" type="noConversion"/>
  </si>
  <si>
    <t>26410M5101</t>
    <phoneticPr fontId="3" type="noConversion"/>
  </si>
  <si>
    <t>26413M5101</t>
    <phoneticPr fontId="3" type="noConversion"/>
  </si>
  <si>
    <t>26415M5101</t>
    <phoneticPr fontId="3" type="noConversion"/>
  </si>
  <si>
    <t>26417M5101</t>
    <phoneticPr fontId="3" type="noConversion"/>
  </si>
  <si>
    <t>4800369385/100</t>
    <phoneticPr fontId="3" type="noConversion"/>
  </si>
  <si>
    <t>26424M5001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</si>
  <si>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P1</t>
    </r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</si>
  <si>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P7</t>
    </r>
    <phoneticPr fontId="3" type="noConversion"/>
  </si>
  <si>
    <t>4800373973/200</t>
    <phoneticPr fontId="3" type="noConversion"/>
  </si>
  <si>
    <t>26407M5001</t>
    <phoneticPr fontId="3" type="noConversion"/>
  </si>
  <si>
    <t>26318M8301</t>
    <phoneticPr fontId="3" type="noConversion"/>
  </si>
  <si>
    <t>26326M8301</t>
    <phoneticPr fontId="3" type="noConversion"/>
  </si>
  <si>
    <t>26309M5101</t>
    <phoneticPr fontId="3" type="noConversion"/>
  </si>
  <si>
    <t>26311M5101</t>
    <phoneticPr fontId="3" type="noConversion"/>
  </si>
  <si>
    <t>26313M5101</t>
    <phoneticPr fontId="3" type="noConversion"/>
  </si>
  <si>
    <t>4800376579/200</t>
    <phoneticPr fontId="3" type="noConversion"/>
  </si>
  <si>
    <t>4800366491/100</t>
    <phoneticPr fontId="3" type="noConversion"/>
  </si>
  <si>
    <t>4800371427/100</t>
    <phoneticPr fontId="3" type="noConversion"/>
  </si>
  <si>
    <t>4800371311/200</t>
    <phoneticPr fontId="3" type="noConversion"/>
  </si>
  <si>
    <t>4800360879/100</t>
    <phoneticPr fontId="3" type="noConversion"/>
  </si>
  <si>
    <t>4800366491/100</t>
    <phoneticPr fontId="3" type="noConversion"/>
  </si>
  <si>
    <t>26408M5001</t>
    <phoneticPr fontId="3" type="noConversion"/>
  </si>
  <si>
    <t>26409M5001</t>
    <phoneticPr fontId="3" type="noConversion"/>
  </si>
  <si>
    <r>
      <t>18</t>
    </r>
    <r>
      <rPr>
        <sz val="10"/>
        <rFont val="細明體"/>
        <family val="3"/>
        <charset val="136"/>
      </rPr>
      <t>廠</t>
    </r>
    <r>
      <rPr>
        <sz val="10"/>
        <rFont val="Arial"/>
        <family val="2"/>
      </rPr>
      <t>P1</t>
    </r>
    <phoneticPr fontId="3" type="noConversion"/>
  </si>
  <si>
    <t>4800376579/200</t>
    <phoneticPr fontId="3" type="noConversion"/>
  </si>
  <si>
    <t>26423M8301</t>
    <phoneticPr fontId="3" type="noConversion"/>
  </si>
  <si>
    <t>26411M5001</t>
    <phoneticPr fontId="3" type="noConversion"/>
  </si>
  <si>
    <t>F22P1A</t>
    <phoneticPr fontId="3" type="noConversion"/>
  </si>
  <si>
    <t>F22P1B</t>
    <phoneticPr fontId="3" type="noConversion"/>
  </si>
  <si>
    <t>4800354113/100</t>
    <phoneticPr fontId="3" type="noConversion"/>
  </si>
  <si>
    <t>4800377655/100</t>
    <phoneticPr fontId="3" type="noConversion"/>
  </si>
  <si>
    <t>4800377655/100</t>
    <phoneticPr fontId="3" type="noConversion"/>
  </si>
  <si>
    <t>26421M8301</t>
    <phoneticPr fontId="3" type="noConversion"/>
  </si>
  <si>
    <t>26409M5001</t>
    <phoneticPr fontId="3" type="noConversion"/>
  </si>
  <si>
    <t>26411M5001</t>
    <phoneticPr fontId="3" type="noConversion"/>
  </si>
  <si>
    <t>26411M5001</t>
    <phoneticPr fontId="3" type="noConversion"/>
  </si>
  <si>
    <t>260504008-1</t>
    <phoneticPr fontId="3" type="noConversion"/>
  </si>
  <si>
    <t>260504012-1</t>
    <phoneticPr fontId="3" type="noConversion"/>
  </si>
  <si>
    <t>4800373973/100</t>
    <phoneticPr fontId="3" type="noConversion"/>
  </si>
  <si>
    <t>4800376580/100</t>
    <phoneticPr fontId="3" type="noConversion"/>
  </si>
  <si>
    <t>4800366491/100</t>
    <phoneticPr fontId="3" type="noConversion"/>
  </si>
  <si>
    <t>260504011-1</t>
    <phoneticPr fontId="3" type="noConversion"/>
  </si>
  <si>
    <t>4800376579/200</t>
    <phoneticPr fontId="3" type="noConversion"/>
  </si>
  <si>
    <t>260504011-1</t>
    <phoneticPr fontId="3" type="noConversion"/>
  </si>
  <si>
    <t>4800376579/200</t>
    <phoneticPr fontId="3" type="noConversion"/>
  </si>
  <si>
    <t>4800373312/200</t>
    <phoneticPr fontId="3" type="noConversion"/>
  </si>
  <si>
    <t>26423M5101</t>
    <phoneticPr fontId="3" type="noConversion"/>
  </si>
  <si>
    <t>26412M5001</t>
    <phoneticPr fontId="3" type="noConversion"/>
  </si>
  <si>
    <t>4800373312/200</t>
    <phoneticPr fontId="3" type="noConversion"/>
  </si>
  <si>
    <t>26426M5001</t>
    <phoneticPr fontId="3" type="noConversion"/>
  </si>
  <si>
    <t>4800369385/100</t>
    <phoneticPr fontId="3" type="noConversion"/>
  </si>
  <si>
    <t>26326M8301</t>
    <phoneticPr fontId="3" type="noConversion"/>
  </si>
  <si>
    <t>26408M8301</t>
    <phoneticPr fontId="3" type="noConversion"/>
  </si>
  <si>
    <t>26412M5001</t>
    <phoneticPr fontId="3" type="noConversion"/>
  </si>
  <si>
    <t>26412M5001</t>
    <phoneticPr fontId="3" type="noConversion"/>
  </si>
  <si>
    <t>26414M5001</t>
    <phoneticPr fontId="3" type="noConversion"/>
  </si>
  <si>
    <t>26419M5001</t>
    <phoneticPr fontId="3" type="noConversion"/>
  </si>
  <si>
    <t>26414M5001</t>
    <phoneticPr fontId="3" type="noConversion"/>
  </si>
  <si>
    <t>26419M5101</t>
    <phoneticPr fontId="3" type="noConversion"/>
  </si>
  <si>
    <t>26421M5101</t>
    <phoneticPr fontId="3" type="noConversion"/>
  </si>
  <si>
    <t>26422M5101</t>
    <phoneticPr fontId="3" type="noConversion"/>
  </si>
  <si>
    <t>26319M5101</t>
    <phoneticPr fontId="3" type="noConversion"/>
  </si>
  <si>
    <t>26323M5101</t>
    <phoneticPr fontId="3" type="noConversion"/>
  </si>
  <si>
    <t>4800373973/200</t>
    <phoneticPr fontId="3" type="noConversion"/>
  </si>
  <si>
    <t>4800369385/100</t>
    <phoneticPr fontId="3" type="noConversion"/>
  </si>
  <si>
    <t>4800373312/400</t>
    <phoneticPr fontId="3" type="noConversion"/>
  </si>
  <si>
    <t>4800365866/100</t>
    <phoneticPr fontId="3" type="noConversion"/>
  </si>
  <si>
    <t>4800377655/100</t>
    <phoneticPr fontId="3" type="noConversion"/>
  </si>
  <si>
    <t>4800377655/100</t>
    <phoneticPr fontId="3" type="noConversion"/>
  </si>
  <si>
    <t>26408M8301</t>
    <phoneticPr fontId="3" type="noConversion"/>
  </si>
  <si>
    <t>26323M5101</t>
    <phoneticPr fontId="3" type="noConversion"/>
  </si>
  <si>
    <t>26323M5101</t>
    <phoneticPr fontId="3" type="noConversion"/>
  </si>
  <si>
    <t>26325M5101</t>
    <phoneticPr fontId="3" type="noConversion"/>
  </si>
  <si>
    <t>4800354113/100</t>
    <phoneticPr fontId="3" type="noConversion"/>
  </si>
  <si>
    <t>4800376579/200</t>
    <phoneticPr fontId="3" type="noConversion"/>
  </si>
  <si>
    <t>4800377655/100</t>
    <phoneticPr fontId="3" type="noConversion"/>
  </si>
  <si>
    <t>26427M5101</t>
    <phoneticPr fontId="3" type="noConversion"/>
  </si>
  <si>
    <t>26414M5001</t>
    <phoneticPr fontId="3" type="noConversion"/>
  </si>
  <si>
    <t>26415M5001</t>
    <phoneticPr fontId="3" type="noConversion"/>
  </si>
  <si>
    <t>4800374911/100</t>
    <phoneticPr fontId="3" type="noConversion"/>
  </si>
  <si>
    <t>4800374911/100</t>
    <phoneticPr fontId="3" type="noConversion"/>
  </si>
  <si>
    <t>26428M5001</t>
    <phoneticPr fontId="3" type="noConversion"/>
  </si>
  <si>
    <t>26430M5001</t>
    <phoneticPr fontId="3" type="noConversion"/>
  </si>
  <si>
    <t>4800373973/200</t>
    <phoneticPr fontId="3" type="noConversion"/>
  </si>
  <si>
    <t>4800371311/200</t>
    <phoneticPr fontId="3" type="noConversion"/>
  </si>
  <si>
    <t>26429M5001</t>
    <phoneticPr fontId="3" type="noConversion"/>
  </si>
  <si>
    <t>26415M5001</t>
    <phoneticPr fontId="3" type="noConversion"/>
  </si>
  <si>
    <t>26501M5001</t>
    <phoneticPr fontId="3" type="noConversion"/>
  </si>
  <si>
    <t>26502M5001</t>
    <phoneticPr fontId="3" type="noConversion"/>
  </si>
  <si>
    <t>26503M5001</t>
    <phoneticPr fontId="3" type="noConversion"/>
  </si>
  <si>
    <t>26325M5101</t>
    <phoneticPr fontId="3" type="noConversion"/>
  </si>
  <si>
    <t>26424M5101</t>
    <phoneticPr fontId="3" type="noConversion"/>
  </si>
  <si>
    <t>26425M5101</t>
    <phoneticPr fontId="3" type="noConversion"/>
  </si>
  <si>
    <t>26426M5101</t>
    <phoneticPr fontId="3" type="noConversion"/>
  </si>
  <si>
    <t>4800371311/200</t>
    <phoneticPr fontId="3" type="noConversion"/>
  </si>
  <si>
    <t>260508005-1</t>
    <phoneticPr fontId="3" type="noConversion"/>
  </si>
  <si>
    <t>4800371311/200</t>
    <phoneticPr fontId="3" type="noConversion"/>
  </si>
  <si>
    <t>4800365866/100</t>
    <phoneticPr fontId="3" type="noConversion"/>
  </si>
  <si>
    <t>4800376579/200</t>
    <phoneticPr fontId="3" type="noConversion"/>
  </si>
  <si>
    <t>26408M8301</t>
    <phoneticPr fontId="3" type="noConversion"/>
  </si>
  <si>
    <t>26429M8301</t>
    <phoneticPr fontId="3" type="noConversion"/>
  </si>
  <si>
    <t>26415M5001</t>
    <phoneticPr fontId="3" type="noConversion"/>
  </si>
  <si>
    <t>26416M5001</t>
    <phoneticPr fontId="3" type="noConversion"/>
  </si>
  <si>
    <t>26219M5101</t>
    <phoneticPr fontId="3" type="noConversion"/>
  </si>
  <si>
    <t>26416M5001</t>
    <phoneticPr fontId="3" type="noConversion"/>
  </si>
  <si>
    <t>26325M5101</t>
    <phoneticPr fontId="3" type="noConversion"/>
  </si>
  <si>
    <t>26327M5101</t>
    <phoneticPr fontId="3" type="noConversion"/>
  </si>
  <si>
    <t>26325M5101</t>
    <phoneticPr fontId="3" type="noConversion"/>
  </si>
  <si>
    <t>260511007-1</t>
    <phoneticPr fontId="3" type="noConversion"/>
  </si>
  <si>
    <t>4800373312/400</t>
    <phoneticPr fontId="3" type="noConversion"/>
  </si>
  <si>
    <t>4800375878/100</t>
    <phoneticPr fontId="3" type="noConversion"/>
  </si>
  <si>
    <t>4800374911/100</t>
    <phoneticPr fontId="3" type="noConversion"/>
  </si>
  <si>
    <t>4800376579/200</t>
    <phoneticPr fontId="3" type="noConversion"/>
  </si>
  <si>
    <t>4800377655/100</t>
    <phoneticPr fontId="3" type="noConversion"/>
  </si>
  <si>
    <t>4800373312/200</t>
    <phoneticPr fontId="3" type="noConversion"/>
  </si>
  <si>
    <t>26416M5001</t>
    <phoneticPr fontId="3" type="noConversion"/>
  </si>
  <si>
    <t>4800369385/100</t>
    <phoneticPr fontId="3" type="noConversion"/>
  </si>
  <si>
    <t>26408M8301</t>
    <phoneticPr fontId="3" type="noConversion"/>
  </si>
  <si>
    <t>26418M5001</t>
    <phoneticPr fontId="3" type="noConversion"/>
  </si>
  <si>
    <t>26504M5001</t>
    <phoneticPr fontId="3" type="noConversion"/>
  </si>
  <si>
    <t>26417M5001</t>
    <phoneticPr fontId="3" type="noConversion"/>
  </si>
  <si>
    <t>26327M5101</t>
    <phoneticPr fontId="3" type="noConversion"/>
  </si>
  <si>
    <t>26429M5101</t>
    <phoneticPr fontId="3" type="noConversion"/>
  </si>
  <si>
    <t>26501M5101</t>
    <phoneticPr fontId="3" type="noConversion"/>
  </si>
  <si>
    <t>26327M5101</t>
    <phoneticPr fontId="3" type="noConversion"/>
  </si>
  <si>
    <t>4800371427/100</t>
    <phoneticPr fontId="3" type="noConversion"/>
  </si>
  <si>
    <t>4800373312/400</t>
    <phoneticPr fontId="3" type="noConversion"/>
  </si>
  <si>
    <t>4800376580/100</t>
    <phoneticPr fontId="3" type="noConversion"/>
  </si>
  <si>
    <t>4800371311/200</t>
    <phoneticPr fontId="3" type="noConversion"/>
  </si>
  <si>
    <r>
      <t>18</t>
    </r>
    <r>
      <rPr>
        <strike/>
        <sz val="10"/>
        <rFont val="新細明體"/>
        <family val="1"/>
        <charset val="136"/>
      </rPr>
      <t>廠</t>
    </r>
    <r>
      <rPr>
        <strike/>
        <sz val="10"/>
        <rFont val="Arial"/>
        <family val="2"/>
      </rPr>
      <t>P1</t>
    </r>
    <phoneticPr fontId="3" type="noConversion"/>
  </si>
  <si>
    <t>26418M5001</t>
    <phoneticPr fontId="3" type="noConversion"/>
  </si>
  <si>
    <t>取消出貨</t>
    <phoneticPr fontId="3" type="noConversion"/>
  </si>
  <si>
    <t>26424M5001</t>
    <phoneticPr fontId="3" type="noConversion"/>
  </si>
  <si>
    <t>26418M5001</t>
    <phoneticPr fontId="3" type="noConversion"/>
  </si>
  <si>
    <t>26330M5101</t>
    <phoneticPr fontId="3" type="noConversion"/>
  </si>
  <si>
    <t>26330M5101</t>
    <phoneticPr fontId="3" type="noConversion"/>
  </si>
  <si>
    <t>26401M5101</t>
    <phoneticPr fontId="3" type="noConversion"/>
  </si>
  <si>
    <t>4800371427/100</t>
    <phoneticPr fontId="3" type="noConversion"/>
  </si>
  <si>
    <t>4800377655/100</t>
    <phoneticPr fontId="3" type="noConversion"/>
  </si>
  <si>
    <t>26505M5001</t>
    <phoneticPr fontId="3" type="noConversion"/>
  </si>
  <si>
    <t>26506M5001</t>
    <phoneticPr fontId="3" type="noConversion"/>
  </si>
  <si>
    <r>
      <t>18</t>
    </r>
    <r>
      <rPr>
        <sz val="10"/>
        <color theme="1"/>
        <rFont val="新細明體"/>
        <family val="1"/>
        <charset val="136"/>
      </rPr>
      <t>廠</t>
    </r>
    <r>
      <rPr>
        <sz val="10"/>
        <color theme="1"/>
        <rFont val="Arial"/>
        <family val="2"/>
      </rPr>
      <t>P6</t>
    </r>
    <phoneticPr fontId="3" type="noConversion"/>
  </si>
  <si>
    <r>
      <t>18</t>
    </r>
    <r>
      <rPr>
        <sz val="10"/>
        <color theme="1"/>
        <rFont val="細明體"/>
        <family val="3"/>
        <charset val="136"/>
      </rPr>
      <t>廠</t>
    </r>
    <r>
      <rPr>
        <sz val="10"/>
        <color theme="1"/>
        <rFont val="Arial"/>
        <family val="2"/>
      </rPr>
      <t>P1</t>
    </r>
    <phoneticPr fontId="3" type="noConversion"/>
  </si>
  <si>
    <t>26508M5101</t>
    <phoneticPr fontId="3" type="noConversion"/>
  </si>
  <si>
    <t>26401M5101</t>
    <phoneticPr fontId="3" type="noConversion"/>
  </si>
  <si>
    <t>4800376579/200</t>
    <phoneticPr fontId="3" type="noConversion"/>
  </si>
  <si>
    <t>260514004-1</t>
    <phoneticPr fontId="3" type="noConversion"/>
  </si>
  <si>
    <t>4800376579/200</t>
    <phoneticPr fontId="3" type="noConversion"/>
  </si>
  <si>
    <t>4800378672/200</t>
    <phoneticPr fontId="3" type="noConversion"/>
  </si>
  <si>
    <t>4800378672/200</t>
    <phoneticPr fontId="3" type="noConversion"/>
  </si>
  <si>
    <t>4800378672/200</t>
    <phoneticPr fontId="3" type="noConversion"/>
  </si>
  <si>
    <t>4800371311/200</t>
    <phoneticPr fontId="3" type="noConversion"/>
  </si>
  <si>
    <t>4800371311/200</t>
    <phoneticPr fontId="3" type="noConversion"/>
  </si>
  <si>
    <t>26419M5001</t>
    <phoneticPr fontId="3" type="noConversion"/>
  </si>
  <si>
    <t>26507M5001</t>
    <phoneticPr fontId="3" type="noConversion"/>
  </si>
  <si>
    <t>26223M5101</t>
    <phoneticPr fontId="3" type="noConversion"/>
  </si>
  <si>
    <t>26225M5101</t>
    <phoneticPr fontId="3" type="noConversion"/>
  </si>
  <si>
    <t>26302M5101</t>
    <phoneticPr fontId="3" type="noConversion"/>
  </si>
  <si>
    <t>26401M5101</t>
    <phoneticPr fontId="3" type="noConversion"/>
  </si>
  <si>
    <t>26504M5101</t>
    <phoneticPr fontId="3" type="noConversion"/>
  </si>
  <si>
    <t>26506M5101</t>
    <phoneticPr fontId="3" type="noConversion"/>
  </si>
  <si>
    <t>4800371311/200</t>
    <phoneticPr fontId="3" type="noConversion"/>
  </si>
  <si>
    <t>4800373312/400</t>
    <phoneticPr fontId="3" type="noConversion"/>
  </si>
  <si>
    <t>4800376580/100</t>
    <phoneticPr fontId="3" type="noConversion"/>
  </si>
  <si>
    <t>4800365866/100</t>
    <phoneticPr fontId="3" type="noConversion"/>
  </si>
  <si>
    <t>26510M8301</t>
    <phoneticPr fontId="3" type="noConversion"/>
  </si>
  <si>
    <t>4800373312/200</t>
    <phoneticPr fontId="3" type="noConversion"/>
  </si>
  <si>
    <t>4800377655/100</t>
    <phoneticPr fontId="3" type="noConversion"/>
  </si>
  <si>
    <t>26410M8301</t>
    <phoneticPr fontId="3" type="noConversion"/>
  </si>
  <si>
    <t>26505M8301</t>
    <phoneticPr fontId="3" type="noConversion"/>
  </si>
  <si>
    <t>26507M8301</t>
    <phoneticPr fontId="3" type="noConversion"/>
  </si>
  <si>
    <t>26419M5001</t>
    <phoneticPr fontId="3" type="noConversion"/>
  </si>
  <si>
    <t>26419M5001</t>
    <phoneticPr fontId="3" type="noConversion"/>
  </si>
  <si>
    <t>26419M5001</t>
    <phoneticPr fontId="3" type="noConversion"/>
  </si>
  <si>
    <t>26424M5001</t>
    <phoneticPr fontId="3" type="noConversion"/>
  </si>
  <si>
    <t>26403M5101</t>
    <phoneticPr fontId="3" type="noConversion"/>
  </si>
  <si>
    <t>26401M5101</t>
    <phoneticPr fontId="3" type="noConversion"/>
  </si>
  <si>
    <t>4800371427/100</t>
    <phoneticPr fontId="3" type="noConversion"/>
  </si>
  <si>
    <t>4800354113/100</t>
    <phoneticPr fontId="3" type="noConversion"/>
  </si>
  <si>
    <t>4800373973/100</t>
    <phoneticPr fontId="3" type="noConversion"/>
  </si>
  <si>
    <t>4800377655/100</t>
    <phoneticPr fontId="3" type="noConversion"/>
  </si>
  <si>
    <t>4800378672/100</t>
    <phoneticPr fontId="3" type="noConversion"/>
  </si>
  <si>
    <t>26426M5001</t>
    <phoneticPr fontId="3" type="noConversion"/>
  </si>
  <si>
    <t>4800376579/200</t>
    <phoneticPr fontId="3" type="noConversion"/>
  </si>
  <si>
    <t>260518005-2</t>
    <phoneticPr fontId="3" type="noConversion"/>
  </si>
  <si>
    <t>260518005-3</t>
    <phoneticPr fontId="3" type="noConversion"/>
  </si>
  <si>
    <t>26508M5001</t>
    <phoneticPr fontId="3" type="noConversion"/>
  </si>
  <si>
    <t>4800376001/100</t>
    <phoneticPr fontId="3" type="noConversion"/>
  </si>
  <si>
    <t>26428M5001</t>
    <phoneticPr fontId="3" type="noConversion"/>
  </si>
  <si>
    <t>4800374911/100</t>
    <phoneticPr fontId="3" type="noConversion"/>
  </si>
  <si>
    <t>4800377655/100</t>
    <phoneticPr fontId="3" type="noConversion"/>
  </si>
  <si>
    <t>4800369385/100</t>
    <phoneticPr fontId="3" type="noConversion"/>
  </si>
  <si>
    <t>26410M8301</t>
    <phoneticPr fontId="3" type="noConversion"/>
  </si>
  <si>
    <t>26426M5001</t>
    <phoneticPr fontId="3" type="noConversion"/>
  </si>
  <si>
    <t>26428M5001</t>
    <phoneticPr fontId="3" type="noConversion"/>
  </si>
  <si>
    <t>26429M5001</t>
    <phoneticPr fontId="3" type="noConversion"/>
  </si>
  <si>
    <t>26509M5001</t>
    <phoneticPr fontId="3" type="noConversion"/>
  </si>
  <si>
    <t>26510M5001</t>
    <phoneticPr fontId="3" type="noConversion"/>
  </si>
  <si>
    <t>26428M5001</t>
    <phoneticPr fontId="3" type="noConversion"/>
  </si>
  <si>
    <t>26403M5101</t>
    <phoneticPr fontId="3" type="noConversion"/>
  </si>
  <si>
    <t>4800371427/100</t>
    <phoneticPr fontId="3" type="noConversion"/>
  </si>
  <si>
    <t>4800373973/200</t>
    <phoneticPr fontId="3" type="noConversion"/>
  </si>
  <si>
    <t>4800369385/100</t>
    <phoneticPr fontId="3" type="noConversion"/>
  </si>
  <si>
    <t>4800376001/100</t>
    <phoneticPr fontId="3" type="noConversion"/>
  </si>
  <si>
    <t>4800376580/100</t>
    <phoneticPr fontId="3" type="noConversion"/>
  </si>
  <si>
    <t>4800377655/100</t>
    <phoneticPr fontId="3" type="noConversion"/>
  </si>
  <si>
    <t>4800373973/100</t>
    <phoneticPr fontId="3" type="noConversion"/>
  </si>
  <si>
    <t>4800374911/100</t>
    <phoneticPr fontId="3" type="noConversion"/>
  </si>
  <si>
    <t>26421M8301</t>
    <phoneticPr fontId="3" type="noConversion"/>
  </si>
  <si>
    <t>26428M5001</t>
    <phoneticPr fontId="3" type="noConversion"/>
  </si>
  <si>
    <t>26429M5001</t>
    <phoneticPr fontId="3" type="noConversion"/>
  </si>
  <si>
    <t>26406M5101</t>
    <phoneticPr fontId="3" type="noConversion"/>
  </si>
  <si>
    <t>26406M5101</t>
    <phoneticPr fontId="3" type="noConversion"/>
  </si>
  <si>
    <t>4800371427/100</t>
    <phoneticPr fontId="3" type="noConversion"/>
  </si>
  <si>
    <t>260521002-1</t>
    <phoneticPr fontId="3" type="noConversion"/>
  </si>
  <si>
    <t>4800354113/100</t>
    <phoneticPr fontId="3" type="noConversion"/>
  </si>
  <si>
    <t>4800373973/100</t>
    <phoneticPr fontId="3" type="noConversion"/>
  </si>
  <si>
    <t>4800374911/100</t>
    <phoneticPr fontId="3" type="noConversion"/>
  </si>
  <si>
    <t>4800377655/100</t>
    <phoneticPr fontId="3" type="noConversion"/>
  </si>
  <si>
    <t>26515M5101</t>
    <phoneticPr fontId="3" type="noConversion"/>
  </si>
  <si>
    <t>26512M5001</t>
    <phoneticPr fontId="3" type="noConversion"/>
  </si>
  <si>
    <t>26513M5001</t>
    <phoneticPr fontId="3" type="noConversion"/>
  </si>
  <si>
    <t>26516M5001</t>
    <phoneticPr fontId="3" type="noConversion"/>
  </si>
  <si>
    <t>4800376665/100</t>
    <phoneticPr fontId="3" type="noConversion"/>
  </si>
  <si>
    <t>4800373973/200</t>
    <phoneticPr fontId="3" type="noConversion"/>
  </si>
  <si>
    <t>4800373973/200</t>
    <phoneticPr fontId="3" type="noConversion"/>
  </si>
  <si>
    <t>4800369385/100</t>
    <phoneticPr fontId="3" type="noConversion"/>
  </si>
  <si>
    <t>4800376580/100</t>
    <phoneticPr fontId="3" type="noConversion"/>
  </si>
  <si>
    <t>26514M5001</t>
    <phoneticPr fontId="3" type="noConversion"/>
  </si>
  <si>
    <t>26515M5001</t>
    <phoneticPr fontId="3" type="noConversion"/>
  </si>
  <si>
    <t>26517M5001</t>
    <phoneticPr fontId="3" type="noConversion"/>
  </si>
  <si>
    <t>26501M5001</t>
    <phoneticPr fontId="3" type="noConversion"/>
  </si>
  <si>
    <t>26511M5101</t>
    <phoneticPr fontId="3" type="noConversion"/>
  </si>
  <si>
    <t>26513M5101</t>
    <phoneticPr fontId="3" type="noConversion"/>
  </si>
  <si>
    <t>260522012-1</t>
    <phoneticPr fontId="3" type="noConversion"/>
  </si>
  <si>
    <t>4800376001/100</t>
    <phoneticPr fontId="3" type="noConversion"/>
  </si>
  <si>
    <t>4800373312/400</t>
    <phoneticPr fontId="3" type="noConversion"/>
  </si>
  <si>
    <t>4800376580/100</t>
    <phoneticPr fontId="3" type="noConversion"/>
  </si>
  <si>
    <t>4800365866/100</t>
    <phoneticPr fontId="3" type="noConversion"/>
  </si>
  <si>
    <t>4800376000/100</t>
    <phoneticPr fontId="3" type="noConversion"/>
  </si>
  <si>
    <t>4800377259/100</t>
    <phoneticPr fontId="3" type="noConversion"/>
  </si>
  <si>
    <t>4800377655/100</t>
    <phoneticPr fontId="3" type="noConversion"/>
  </si>
  <si>
    <t>26421M8301</t>
    <phoneticPr fontId="3" type="noConversion"/>
  </si>
  <si>
    <t>26502M5001</t>
    <phoneticPr fontId="3" type="noConversion"/>
  </si>
  <si>
    <t>26502M5001</t>
    <phoneticPr fontId="3" type="noConversion"/>
  </si>
  <si>
    <t>26503M5001</t>
    <phoneticPr fontId="3" type="noConversion"/>
  </si>
  <si>
    <t>26410M5101</t>
    <phoneticPr fontId="3" type="noConversion"/>
  </si>
  <si>
    <t>26408M5101</t>
    <phoneticPr fontId="3" type="noConversion"/>
  </si>
  <si>
    <t>26410M5101</t>
    <phoneticPr fontId="3" type="noConversion"/>
  </si>
  <si>
    <t>260525001-1</t>
    <phoneticPr fontId="3" type="noConversion"/>
  </si>
  <si>
    <t>260525003-1</t>
    <phoneticPr fontId="3" type="noConversion"/>
  </si>
  <si>
    <t>4800371427/100</t>
    <phoneticPr fontId="3" type="noConversion"/>
  </si>
  <si>
    <t>26421M8301</t>
    <phoneticPr fontId="3" type="noConversion"/>
  </si>
  <si>
    <t>4800373973/100</t>
    <phoneticPr fontId="3" type="noConversion"/>
  </si>
  <si>
    <t>4800373312/200</t>
    <phoneticPr fontId="3" type="noConversion"/>
  </si>
  <si>
    <t>4800377259/100</t>
    <phoneticPr fontId="3" type="noConversion"/>
  </si>
  <si>
    <t>4800378672/100</t>
    <phoneticPr fontId="3" type="noConversion"/>
  </si>
  <si>
    <t>4800377655/100</t>
    <phoneticPr fontId="3" type="noConversion"/>
  </si>
  <si>
    <t>26503M5001</t>
    <phoneticPr fontId="3" type="noConversion"/>
  </si>
  <si>
    <t>4800354113/100</t>
    <phoneticPr fontId="3" type="noConversion"/>
  </si>
  <si>
    <t>4800376001/100</t>
    <phoneticPr fontId="3" type="noConversion"/>
  </si>
  <si>
    <t>4800377655/100</t>
    <phoneticPr fontId="3" type="noConversion"/>
  </si>
  <si>
    <t>26421M8301</t>
    <phoneticPr fontId="3" type="noConversion"/>
  </si>
  <si>
    <t>26514M8301</t>
    <phoneticPr fontId="3" type="noConversion"/>
  </si>
  <si>
    <t>26503M5001</t>
    <phoneticPr fontId="3" type="noConversion"/>
  </si>
  <si>
    <t>26504M5001</t>
    <phoneticPr fontId="3" type="noConversion"/>
  </si>
  <si>
    <t>26504M5001</t>
    <phoneticPr fontId="3" type="noConversion"/>
  </si>
  <si>
    <t>26503M5001</t>
    <phoneticPr fontId="3" type="noConversion"/>
  </si>
  <si>
    <t>26410M5101</t>
    <phoneticPr fontId="3" type="noConversion"/>
  </si>
  <si>
    <t>26413M5101</t>
    <phoneticPr fontId="3" type="noConversion"/>
  </si>
  <si>
    <t>4800376000/100</t>
    <phoneticPr fontId="3" type="noConversion"/>
  </si>
  <si>
    <t>4800373973/200</t>
    <phoneticPr fontId="3" type="noConversion"/>
  </si>
  <si>
    <t>4800369385/100</t>
    <phoneticPr fontId="3" type="noConversion"/>
  </si>
  <si>
    <t>4800376001/100</t>
    <phoneticPr fontId="3" type="noConversion"/>
  </si>
  <si>
    <t>4800376580/100</t>
    <phoneticPr fontId="3" type="noConversion"/>
  </si>
  <si>
    <t>4800365866/100</t>
    <phoneticPr fontId="3" type="noConversion"/>
  </si>
  <si>
    <t>4800377655/100</t>
    <phoneticPr fontId="3" type="noConversion"/>
  </si>
  <si>
    <t>26306M5101</t>
    <phoneticPr fontId="3" type="noConversion"/>
  </si>
  <si>
    <t>260527007-1</t>
    <phoneticPr fontId="3" type="noConversion"/>
  </si>
  <si>
    <t>4800375878/100</t>
    <phoneticPr fontId="3" type="noConversion"/>
  </si>
  <si>
    <t>取消出貨</t>
    <phoneticPr fontId="3" type="noConversion"/>
  </si>
  <si>
    <t>4800379384/100</t>
    <phoneticPr fontId="3" type="noConversion"/>
  </si>
  <si>
    <t>4800376000/100</t>
    <phoneticPr fontId="3" type="noConversion"/>
  </si>
  <si>
    <t>4800378672/100</t>
    <phoneticPr fontId="3" type="noConversion"/>
  </si>
  <si>
    <t>26421M8301</t>
    <phoneticPr fontId="3" type="noConversion"/>
  </si>
  <si>
    <t>26423M8301</t>
    <phoneticPr fontId="3" type="noConversion"/>
  </si>
  <si>
    <t>26413M5101</t>
    <phoneticPr fontId="3" type="noConversion"/>
  </si>
  <si>
    <t>260528004-1</t>
    <phoneticPr fontId="3" type="noConversion"/>
  </si>
  <si>
    <t>4800376000/100</t>
    <phoneticPr fontId="3" type="noConversion"/>
  </si>
  <si>
    <t>4800378672/100</t>
    <phoneticPr fontId="3" type="noConversion"/>
  </si>
  <si>
    <t>4800379384/100</t>
    <phoneticPr fontId="3" type="noConversion"/>
  </si>
  <si>
    <t>26519M5001</t>
    <phoneticPr fontId="3" type="noConversion"/>
  </si>
  <si>
    <t>26522M5001</t>
    <phoneticPr fontId="3" type="noConversion"/>
  </si>
  <si>
    <t>26523M5001</t>
    <phoneticPr fontId="3" type="noConversion"/>
  </si>
  <si>
    <r>
      <t>18</t>
    </r>
    <r>
      <rPr>
        <sz val="10"/>
        <color theme="1"/>
        <rFont val="新細明體"/>
        <family val="1"/>
        <charset val="136"/>
      </rPr>
      <t>廠</t>
    </r>
    <r>
      <rPr>
        <sz val="10"/>
        <color theme="1"/>
        <rFont val="Arial"/>
        <family val="2"/>
      </rPr>
      <t>P4</t>
    </r>
    <phoneticPr fontId="3" type="noConversion"/>
  </si>
  <si>
    <r>
      <t>18</t>
    </r>
    <r>
      <rPr>
        <sz val="10"/>
        <color theme="1"/>
        <rFont val="細明體"/>
        <family val="3"/>
        <charset val="136"/>
      </rPr>
      <t>廠</t>
    </r>
    <r>
      <rPr>
        <sz val="10"/>
        <color theme="1"/>
        <rFont val="Arial"/>
        <family val="2"/>
      </rPr>
      <t>P7</t>
    </r>
    <phoneticPr fontId="3" type="noConversion"/>
  </si>
  <si>
    <t>4800376580/100</t>
    <phoneticPr fontId="3" type="noConversion"/>
  </si>
  <si>
    <t>4800366525/100</t>
    <phoneticPr fontId="3" type="noConversion"/>
  </si>
  <si>
    <t>26520M5001</t>
    <phoneticPr fontId="3" type="noConversion"/>
  </si>
  <si>
    <t>26521M5001</t>
    <phoneticPr fontId="3" type="noConversion"/>
  </si>
  <si>
    <t>26524M5001</t>
    <phoneticPr fontId="3" type="noConversion"/>
  </si>
  <si>
    <t>26505M5001</t>
    <phoneticPr fontId="3" type="noConversion"/>
  </si>
  <si>
    <t>26503M5001</t>
    <phoneticPr fontId="3" type="noConversion"/>
  </si>
  <si>
    <t>26506M5001</t>
    <phoneticPr fontId="3" type="noConversion"/>
  </si>
  <si>
    <t>26415M5101</t>
    <phoneticPr fontId="3" type="noConversion"/>
  </si>
  <si>
    <t>26415M5101</t>
    <phoneticPr fontId="3" type="noConversion"/>
  </si>
  <si>
    <t>26518M5101</t>
    <phoneticPr fontId="3" type="noConversion"/>
  </si>
  <si>
    <t>26520M5101</t>
    <phoneticPr fontId="3" type="noConversion"/>
  </si>
  <si>
    <t>26522M5101</t>
    <phoneticPr fontId="3" type="noConversion"/>
  </si>
  <si>
    <t>26403M5101</t>
    <phoneticPr fontId="3" type="noConversion"/>
  </si>
  <si>
    <t>26406M5101</t>
    <phoneticPr fontId="3" type="noConversion"/>
  </si>
  <si>
    <t>26408M5101</t>
    <phoneticPr fontId="3" type="noConversion"/>
  </si>
  <si>
    <t>260529007-1</t>
    <phoneticPr fontId="3" type="noConversion"/>
  </si>
  <si>
    <t>4800373973/200</t>
    <phoneticPr fontId="3" type="noConversion"/>
  </si>
  <si>
    <t>4800376001/100</t>
    <phoneticPr fontId="3" type="noConversion"/>
  </si>
  <si>
    <t>260529003-1</t>
    <phoneticPr fontId="3" type="noConversion"/>
  </si>
  <si>
    <t>4800376001/100</t>
    <phoneticPr fontId="3" type="noConversion"/>
  </si>
  <si>
    <t>4800376665/100</t>
    <phoneticPr fontId="3" type="noConversion"/>
  </si>
  <si>
    <t>4800376580/100</t>
    <phoneticPr fontId="3" type="noConversion"/>
  </si>
  <si>
    <t>4800379384/200</t>
    <phoneticPr fontId="3" type="noConversion"/>
  </si>
  <si>
    <t>4800366525/100</t>
    <phoneticPr fontId="3" type="noConversion"/>
  </si>
  <si>
    <t>4800376000/100</t>
  </si>
  <si>
    <t>26508M5001</t>
    <phoneticPr fontId="3" type="noConversion"/>
  </si>
  <si>
    <t>4800379384/100</t>
    <phoneticPr fontId="3" type="noConversion"/>
  </si>
  <si>
    <t>26423M8301</t>
    <phoneticPr fontId="3" type="noConversion"/>
  </si>
  <si>
    <t>26521M8301</t>
    <phoneticPr fontId="3" type="noConversion"/>
  </si>
  <si>
    <t>26507M5001</t>
    <phoneticPr fontId="3" type="noConversion"/>
  </si>
  <si>
    <t>26508M5001</t>
    <phoneticPr fontId="3" type="noConversion"/>
  </si>
  <si>
    <t>26505M5001</t>
    <phoneticPr fontId="3" type="noConversion"/>
  </si>
  <si>
    <t>4800373973/100</t>
    <phoneticPr fontId="3" type="noConversion"/>
  </si>
  <si>
    <t>4800377259/100</t>
    <phoneticPr fontId="3" type="noConversion"/>
  </si>
  <si>
    <t>4800377259/100</t>
    <phoneticPr fontId="3" type="noConversion"/>
  </si>
  <si>
    <t>4800373973/200</t>
    <phoneticPr fontId="3" type="noConversion"/>
  </si>
  <si>
    <t>26423M8301</t>
    <phoneticPr fontId="3" type="noConversion"/>
  </si>
  <si>
    <t>26508M5001</t>
    <phoneticPr fontId="3" type="noConversion"/>
  </si>
  <si>
    <t>26509M5001</t>
    <phoneticPr fontId="3" type="noConversion"/>
  </si>
  <si>
    <t>26509M5001</t>
    <phoneticPr fontId="3" type="noConversion"/>
  </si>
  <si>
    <t>26417M5101</t>
    <phoneticPr fontId="3" type="noConversion"/>
  </si>
  <si>
    <t>26417M5101</t>
    <phoneticPr fontId="3" type="noConversion"/>
  </si>
  <si>
    <t>26419M5101</t>
    <phoneticPr fontId="3" type="noConversion"/>
  </si>
  <si>
    <t>26417M5101</t>
    <phoneticPr fontId="3" type="noConversion"/>
  </si>
  <si>
    <t>4800376001/100</t>
    <phoneticPr fontId="3" type="noConversion"/>
  </si>
  <si>
    <t>4800365866/100</t>
    <phoneticPr fontId="3" type="noConversion"/>
  </si>
  <si>
    <t>4800379384/100</t>
    <phoneticPr fontId="3" type="noConversion"/>
  </si>
  <si>
    <t>4800366525/100</t>
    <phoneticPr fontId="3" type="noConversion"/>
  </si>
  <si>
    <t>26509M5001</t>
    <phoneticPr fontId="3" type="noConversion"/>
  </si>
  <si>
    <t>4800373973/100</t>
    <phoneticPr fontId="3" type="noConversion"/>
  </si>
  <si>
    <t>4800379384/100</t>
    <phoneticPr fontId="3" type="noConversion"/>
  </si>
  <si>
    <t>4800376000/100</t>
    <phoneticPr fontId="3" type="noConversion"/>
  </si>
  <si>
    <t>26510M5001</t>
    <phoneticPr fontId="3" type="noConversion"/>
  </si>
  <si>
    <t>26419M5101</t>
    <phoneticPr fontId="3" type="noConversion"/>
  </si>
  <si>
    <t>26419M5101</t>
    <phoneticPr fontId="3" type="noConversion"/>
  </si>
  <si>
    <t>26421M5101</t>
    <phoneticPr fontId="3" type="noConversion"/>
  </si>
  <si>
    <t>4800373973/100</t>
    <phoneticPr fontId="3" type="noConversion"/>
  </si>
  <si>
    <t>4800379384/200</t>
    <phoneticPr fontId="3" type="noConversion"/>
  </si>
  <si>
    <t>26510M5001</t>
    <phoneticPr fontId="3" type="noConversion"/>
  </si>
  <si>
    <t>26526M5001</t>
    <phoneticPr fontId="3" type="noConversion"/>
  </si>
  <si>
    <t>26527M5001</t>
    <phoneticPr fontId="3" type="noConversion"/>
  </si>
  <si>
    <t>26529M5001</t>
    <phoneticPr fontId="3" type="noConversion"/>
  </si>
  <si>
    <t>26527M5101</t>
    <phoneticPr fontId="3" type="noConversion"/>
  </si>
  <si>
    <t>26529M5101</t>
    <phoneticPr fontId="3" type="noConversion"/>
  </si>
  <si>
    <t>4800373973/200</t>
    <phoneticPr fontId="3" type="noConversion"/>
  </si>
  <si>
    <t>4800373973/200</t>
    <phoneticPr fontId="3" type="noConversion"/>
  </si>
  <si>
    <t>4800373973/200</t>
    <phoneticPr fontId="3" type="noConversion"/>
  </si>
  <si>
    <t>26528M5001</t>
    <phoneticPr fontId="3" type="noConversion"/>
  </si>
  <si>
    <t>26530M5001</t>
    <phoneticPr fontId="3" type="noConversion"/>
  </si>
  <si>
    <t>26531M5001</t>
    <phoneticPr fontId="3" type="noConversion"/>
  </si>
  <si>
    <t>26421M5101</t>
    <phoneticPr fontId="3" type="noConversion"/>
  </si>
  <si>
    <t>26525M5101</t>
    <phoneticPr fontId="3" type="noConversion"/>
  </si>
  <si>
    <t>4800373973/200</t>
    <phoneticPr fontId="3" type="noConversion"/>
  </si>
  <si>
    <t>260605003-1</t>
    <phoneticPr fontId="3" type="noConversion"/>
  </si>
  <si>
    <t>4800376001/100</t>
    <phoneticPr fontId="3" type="noConversion"/>
  </si>
  <si>
    <t>260605004-1</t>
    <phoneticPr fontId="3" type="noConversion"/>
  </si>
  <si>
    <t>4800376580/100</t>
    <phoneticPr fontId="3" type="noConversion"/>
  </si>
  <si>
    <t>4800374911/100</t>
    <phoneticPr fontId="3" type="noConversion"/>
  </si>
  <si>
    <t>4800365866/100</t>
    <phoneticPr fontId="3" type="noConversion"/>
  </si>
  <si>
    <t>4800366525/100</t>
    <phoneticPr fontId="3" type="noConversion"/>
  </si>
  <si>
    <t>260605010-1</t>
    <phoneticPr fontId="3" type="noConversion"/>
  </si>
  <si>
    <t>4800380449/100</t>
    <phoneticPr fontId="3" type="noConversion"/>
  </si>
  <si>
    <t>26429M8301</t>
    <phoneticPr fontId="3" type="noConversion"/>
  </si>
  <si>
    <t>26528M8301</t>
    <phoneticPr fontId="3" type="noConversion"/>
  </si>
  <si>
    <t>26422M5101</t>
    <phoneticPr fontId="3" type="noConversion"/>
  </si>
  <si>
    <t>26421M5101</t>
    <phoneticPr fontId="3" type="noConversion"/>
  </si>
  <si>
    <t>4800373973/100</t>
    <phoneticPr fontId="3" type="noConversion"/>
  </si>
  <si>
    <t>4800379384/100</t>
    <phoneticPr fontId="3" type="noConversion"/>
  </si>
  <si>
    <t>260608006-1</t>
    <phoneticPr fontId="3" type="noConversion"/>
  </si>
  <si>
    <t>remain life time</t>
    <phoneticPr fontId="3" type="noConversion"/>
  </si>
  <si>
    <t>4800379384/100</t>
    <phoneticPr fontId="3" type="noConversion"/>
  </si>
  <si>
    <t>4800366525/100</t>
    <phoneticPr fontId="3" type="noConversion"/>
  </si>
  <si>
    <t>26429M8301</t>
    <phoneticPr fontId="3" type="noConversion"/>
  </si>
  <si>
    <t>26513M5001</t>
    <phoneticPr fontId="3" type="noConversion"/>
  </si>
  <si>
    <t>26514M5001</t>
    <phoneticPr fontId="3" type="noConversion"/>
  </si>
  <si>
    <t>26513M5001</t>
    <phoneticPr fontId="3" type="noConversion"/>
  </si>
  <si>
    <t>26514M5001</t>
    <phoneticPr fontId="3" type="noConversion"/>
  </si>
  <si>
    <t>26423M5101</t>
    <phoneticPr fontId="3" type="noConversion"/>
  </si>
  <si>
    <t>26423M5101</t>
    <phoneticPr fontId="3" type="noConversion"/>
  </si>
  <si>
    <r>
      <t>18</t>
    </r>
    <r>
      <rPr>
        <strike/>
        <sz val="10"/>
        <color theme="1"/>
        <rFont val="新細明體"/>
        <family val="1"/>
        <charset val="136"/>
      </rPr>
      <t>廠</t>
    </r>
    <r>
      <rPr>
        <strike/>
        <sz val="10"/>
        <color theme="1"/>
        <rFont val="Arial"/>
        <family val="2"/>
      </rPr>
      <t>P7</t>
    </r>
    <phoneticPr fontId="3" type="noConversion"/>
  </si>
  <si>
    <t>4800376000/100</t>
    <phoneticPr fontId="3" type="noConversion"/>
  </si>
  <si>
    <t>4800373973/200</t>
    <phoneticPr fontId="3" type="noConversion"/>
  </si>
  <si>
    <t>4800376580/100</t>
    <phoneticPr fontId="3" type="noConversion"/>
  </si>
  <si>
    <t>4800374911/100</t>
    <phoneticPr fontId="3" type="noConversion"/>
  </si>
  <si>
    <t>4800365866/100</t>
    <phoneticPr fontId="3" type="noConversion"/>
  </si>
  <si>
    <t>4800379384/100</t>
    <phoneticPr fontId="3" type="noConversion"/>
  </si>
  <si>
    <t>26429M8301</t>
    <phoneticPr fontId="3" type="noConversion"/>
  </si>
  <si>
    <t>26505M8301</t>
    <phoneticPr fontId="3" type="noConversion"/>
  </si>
  <si>
    <t>4800376000/100</t>
    <phoneticPr fontId="3" type="noConversion"/>
  </si>
  <si>
    <t>4800354113/100</t>
    <phoneticPr fontId="3" type="noConversion"/>
  </si>
  <si>
    <t>26514M5001</t>
    <phoneticPr fontId="3" type="noConversion"/>
  </si>
  <si>
    <t>26515M5001</t>
    <phoneticPr fontId="3" type="noConversion"/>
  </si>
  <si>
    <t>26515M5001</t>
    <phoneticPr fontId="3" type="noConversion"/>
  </si>
  <si>
    <t>26423M5101</t>
    <phoneticPr fontId="3" type="noConversion"/>
  </si>
  <si>
    <t>26424M5101</t>
    <phoneticPr fontId="3" type="noConversion"/>
  </si>
  <si>
    <t>4800376000/100</t>
    <phoneticPr fontId="3" type="noConversion"/>
  </si>
  <si>
    <t>4800354113/100</t>
    <phoneticPr fontId="3" type="noConversion"/>
  </si>
  <si>
    <t>4800373973/100</t>
    <phoneticPr fontId="3" type="noConversion"/>
  </si>
  <si>
    <t>4800380449/100</t>
    <phoneticPr fontId="3" type="noConversion"/>
  </si>
  <si>
    <t>4800379384/100</t>
    <phoneticPr fontId="3" type="noConversion"/>
  </si>
  <si>
    <t>26603M5101</t>
    <phoneticPr fontId="3" type="noConversion"/>
  </si>
  <si>
    <t>26605M5101</t>
    <phoneticPr fontId="3" type="noConversion"/>
  </si>
  <si>
    <t>26602M5001</t>
    <phoneticPr fontId="3" type="noConversion"/>
  </si>
  <si>
    <t>4800373973/200</t>
    <phoneticPr fontId="3" type="noConversion"/>
  </si>
  <si>
    <t>26603M5001</t>
    <phoneticPr fontId="3" type="noConversion"/>
  </si>
  <si>
    <t>26604M5001</t>
    <phoneticPr fontId="3" type="noConversion"/>
  </si>
  <si>
    <t>26605M5001</t>
    <phoneticPr fontId="3" type="noConversion"/>
  </si>
  <si>
    <t>26606M5001</t>
    <phoneticPr fontId="3" type="noConversion"/>
  </si>
  <si>
    <t>26601M5101</t>
    <phoneticPr fontId="3" type="noConversion"/>
  </si>
  <si>
    <t>4800376001/100</t>
    <phoneticPr fontId="3" type="noConversion"/>
  </si>
  <si>
    <t>4800365866/100</t>
    <phoneticPr fontId="3" type="noConversion"/>
  </si>
  <si>
    <t>4800380449/100</t>
    <phoneticPr fontId="3" type="noConversion"/>
  </si>
  <si>
    <r>
      <t>18</t>
    </r>
    <r>
      <rPr>
        <strike/>
        <sz val="10"/>
        <color theme="1"/>
        <rFont val="新細明體"/>
        <family val="1"/>
        <charset val="136"/>
      </rPr>
      <t>廠</t>
    </r>
    <r>
      <rPr>
        <strike/>
        <sz val="10"/>
        <color theme="1"/>
        <rFont val="Arial"/>
        <family val="2"/>
      </rPr>
      <t>P6</t>
    </r>
    <phoneticPr fontId="3" type="noConversion"/>
  </si>
  <si>
    <r>
      <t>18</t>
    </r>
    <r>
      <rPr>
        <strike/>
        <sz val="10"/>
        <color theme="1"/>
        <rFont val="新細明體"/>
        <family val="1"/>
        <charset val="136"/>
      </rPr>
      <t>廠</t>
    </r>
    <r>
      <rPr>
        <strike/>
        <sz val="10"/>
        <color theme="1"/>
        <rFont val="Arial"/>
        <family val="2"/>
      </rPr>
      <t>P6</t>
    </r>
    <phoneticPr fontId="3" type="noConversion"/>
  </si>
  <si>
    <t>6/15泰立退回</t>
    <phoneticPr fontId="3" type="noConversion"/>
  </si>
  <si>
    <t>4800379384/100</t>
    <phoneticPr fontId="3" type="noConversion"/>
  </si>
  <si>
    <t>26515M5001</t>
  </si>
  <si>
    <t>26516M5001</t>
    <phoneticPr fontId="3" type="noConversion"/>
  </si>
  <si>
    <t>26517M5001</t>
    <phoneticPr fontId="3" type="noConversion"/>
  </si>
  <si>
    <t>4800376000/100</t>
    <phoneticPr fontId="3" type="noConversion"/>
  </si>
  <si>
    <t>4800373973/100</t>
    <phoneticPr fontId="3" type="noConversion"/>
  </si>
  <si>
    <t>4800380449/100</t>
    <phoneticPr fontId="3" type="noConversion"/>
  </si>
  <si>
    <t>4800379384/100</t>
    <phoneticPr fontId="3" type="noConversion"/>
  </si>
  <si>
    <t>4800373973/100</t>
    <phoneticPr fontId="3" type="noConversion"/>
  </si>
  <si>
    <t>26515M5001</t>
    <phoneticPr fontId="3" type="noConversion"/>
  </si>
  <si>
    <t>4800377259/100</t>
    <phoneticPr fontId="3" type="noConversion"/>
  </si>
  <si>
    <t>26425M5101</t>
    <phoneticPr fontId="3" type="noConversion"/>
  </si>
  <si>
    <t>4800377259/100</t>
    <phoneticPr fontId="3" type="noConversion"/>
  </si>
  <si>
    <t>26516M5001</t>
    <phoneticPr fontId="3" type="noConversion"/>
  </si>
  <si>
    <t>26515M5101</t>
    <phoneticPr fontId="3" type="noConversion"/>
  </si>
  <si>
    <t>26609M5001</t>
    <phoneticPr fontId="3" type="noConversion"/>
  </si>
  <si>
    <t>4800366525/100</t>
    <phoneticPr fontId="3" type="noConversion"/>
  </si>
  <si>
    <t>26516M5001</t>
    <phoneticPr fontId="3" type="noConversion"/>
  </si>
  <si>
    <t>26517M5001</t>
    <phoneticPr fontId="3" type="noConversion"/>
  </si>
  <si>
    <t>26607M5001</t>
    <phoneticPr fontId="3" type="noConversion"/>
  </si>
  <si>
    <t>26517M5001</t>
    <phoneticPr fontId="3" type="noConversion"/>
  </si>
  <si>
    <t>26608M5101</t>
    <phoneticPr fontId="3" type="noConversion"/>
  </si>
  <si>
    <t>26425M5101</t>
    <phoneticPr fontId="3" type="noConversion"/>
  </si>
  <si>
    <t>4800373973/200</t>
    <phoneticPr fontId="3" type="noConversion"/>
  </si>
  <si>
    <t>4800376665/100</t>
    <phoneticPr fontId="3" type="noConversion"/>
  </si>
  <si>
    <t>4800376580/100</t>
    <phoneticPr fontId="3" type="noConversion"/>
  </si>
  <si>
    <t>4800374911/100</t>
    <phoneticPr fontId="3" type="noConversion"/>
  </si>
  <si>
    <t>4800366525/100</t>
    <phoneticPr fontId="3" type="noConversion"/>
  </si>
  <si>
    <t>4800365866/100</t>
    <phoneticPr fontId="3" type="noConversion"/>
  </si>
  <si>
    <t>4800381446/100</t>
    <phoneticPr fontId="3" type="noConversion"/>
  </si>
  <si>
    <t>26505M8301</t>
    <phoneticPr fontId="3" type="noConversion"/>
  </si>
  <si>
    <t>26604M8301</t>
    <phoneticPr fontId="3" type="noConversion"/>
  </si>
  <si>
    <t>26607M8301</t>
    <phoneticPr fontId="3" type="noConversion"/>
  </si>
  <si>
    <t>26505M8301</t>
    <phoneticPr fontId="3" type="noConversion"/>
  </si>
  <si>
    <t>26426M5101</t>
    <phoneticPr fontId="3" type="noConversion"/>
  </si>
  <si>
    <t>260617008-1</t>
    <phoneticPr fontId="3" type="noConversion"/>
  </si>
  <si>
    <t>26309M5101</t>
    <phoneticPr fontId="3" type="noConversion"/>
  </si>
  <si>
    <t>26311M5101</t>
    <phoneticPr fontId="3" type="noConversion"/>
  </si>
  <si>
    <t>4800375878/100</t>
    <phoneticPr fontId="3" type="noConversion"/>
  </si>
  <si>
    <t>4800375878/100</t>
    <phoneticPr fontId="3" type="noConversion"/>
  </si>
  <si>
    <t>4800377259/100</t>
    <phoneticPr fontId="3" type="noConversion"/>
  </si>
  <si>
    <t>26519M5001</t>
    <phoneticPr fontId="3" type="noConversion"/>
  </si>
  <si>
    <t>26520M5001</t>
    <phoneticPr fontId="3" type="noConversion"/>
  </si>
  <si>
    <t>26521M5001</t>
    <phoneticPr fontId="3" type="noConversion"/>
  </si>
  <si>
    <t>26520M5001</t>
    <phoneticPr fontId="3" type="noConversion"/>
  </si>
  <si>
    <t>26520M5001</t>
    <phoneticPr fontId="3" type="noConversion"/>
  </si>
  <si>
    <t>26519M5001</t>
    <phoneticPr fontId="3" type="noConversion"/>
  </si>
  <si>
    <t>26426M5101</t>
    <phoneticPr fontId="3" type="noConversion"/>
  </si>
  <si>
    <t>26427M5101</t>
    <phoneticPr fontId="3" type="noConversion"/>
  </si>
  <si>
    <t>26515M5101</t>
    <phoneticPr fontId="3" type="noConversion"/>
  </si>
  <si>
    <t>26518M5101</t>
    <phoneticPr fontId="3" type="noConversion"/>
  </si>
  <si>
    <t>26426M5101</t>
    <phoneticPr fontId="3" type="noConversion"/>
  </si>
  <si>
    <t>4800377259/100</t>
    <phoneticPr fontId="3" type="noConversion"/>
  </si>
  <si>
    <t>260618003-1</t>
    <phoneticPr fontId="3" type="noConversion"/>
  </si>
  <si>
    <t>260618003-2</t>
    <phoneticPr fontId="3" type="noConversion"/>
  </si>
  <si>
    <t>4800380252/100</t>
    <phoneticPr fontId="3" type="noConversion"/>
  </si>
  <si>
    <t>4800374911/100</t>
    <phoneticPr fontId="3" type="noConversion"/>
  </si>
  <si>
    <t>4800380449/100</t>
    <phoneticPr fontId="3" type="noConversion"/>
  </si>
  <si>
    <t>4800365866/100</t>
    <phoneticPr fontId="3" type="noConversion"/>
  </si>
  <si>
    <t>4800376579/100</t>
    <phoneticPr fontId="3" type="noConversion"/>
  </si>
  <si>
    <t>26522M5001</t>
    <phoneticPr fontId="3" type="noConversion"/>
  </si>
  <si>
    <t>4800376000/100</t>
    <phoneticPr fontId="3" type="noConversion"/>
  </si>
  <si>
    <t>26505M8301</t>
    <phoneticPr fontId="3" type="noConversion"/>
  </si>
  <si>
    <t>26507M8301</t>
    <phoneticPr fontId="3" type="noConversion"/>
  </si>
  <si>
    <t>26611M8301</t>
    <phoneticPr fontId="3" type="noConversion"/>
  </si>
  <si>
    <t>26522M5001</t>
    <phoneticPr fontId="3" type="noConversion"/>
  </si>
  <si>
    <t>26521M5001</t>
    <phoneticPr fontId="3" type="noConversion"/>
  </si>
  <si>
    <t>26427M5101</t>
    <phoneticPr fontId="3" type="noConversion"/>
  </si>
  <si>
    <t>26520M5101</t>
    <phoneticPr fontId="3" type="noConversion"/>
  </si>
  <si>
    <t>260622006-1</t>
    <phoneticPr fontId="3" type="noConversion"/>
  </si>
  <si>
    <t>4800376000/100</t>
    <phoneticPr fontId="3" type="noConversion"/>
  </si>
  <si>
    <t>4800381446/100</t>
    <phoneticPr fontId="3" type="noConversion"/>
  </si>
  <si>
    <t>26611M5001</t>
    <phoneticPr fontId="3" type="noConversion"/>
  </si>
  <si>
    <t>26612M5001</t>
    <phoneticPr fontId="3" type="noConversion"/>
  </si>
  <si>
    <t>26612M5101</t>
    <phoneticPr fontId="3" type="noConversion"/>
  </si>
  <si>
    <t>4800378988/200</t>
    <phoneticPr fontId="3" type="noConversion"/>
  </si>
  <si>
    <t>4800376001/100</t>
    <phoneticPr fontId="3" type="noConversion"/>
  </si>
  <si>
    <t>4800376001/100</t>
    <phoneticPr fontId="3" type="noConversion"/>
  </si>
  <si>
    <t>26507M8301</t>
    <phoneticPr fontId="3" type="noConversion"/>
  </si>
  <si>
    <t>26523M5001</t>
    <phoneticPr fontId="3" type="noConversion"/>
  </si>
  <si>
    <t>26610M5001</t>
    <phoneticPr fontId="3" type="noConversion"/>
  </si>
  <si>
    <t>26613M5001</t>
    <phoneticPr fontId="3" type="noConversion"/>
  </si>
  <si>
    <t>26614M5001</t>
    <phoneticPr fontId="3" type="noConversion"/>
  </si>
  <si>
    <t>26523M5001</t>
    <phoneticPr fontId="3" type="noConversion"/>
  </si>
  <si>
    <t>26522M5001</t>
    <phoneticPr fontId="3" type="noConversion"/>
  </si>
  <si>
    <t>26520M5101</t>
    <phoneticPr fontId="3" type="noConversion"/>
  </si>
  <si>
    <t>26610M5101</t>
    <phoneticPr fontId="3" type="noConversion"/>
  </si>
  <si>
    <t>26427M5101</t>
    <phoneticPr fontId="3" type="noConversion"/>
  </si>
  <si>
    <t>4800378988/200</t>
    <phoneticPr fontId="3" type="noConversion"/>
  </si>
  <si>
    <t>4800376001/100</t>
    <phoneticPr fontId="3" type="noConversion"/>
  </si>
  <si>
    <t>4800376665/100</t>
    <phoneticPr fontId="3" type="noConversion"/>
  </si>
  <si>
    <t>4800376580/100</t>
    <phoneticPr fontId="3" type="noConversion"/>
  </si>
  <si>
    <t>4800365866/100</t>
    <phoneticPr fontId="3" type="noConversion"/>
  </si>
  <si>
    <t>4800381446/100</t>
    <phoneticPr fontId="3" type="noConversion"/>
  </si>
  <si>
    <t>4800376579/100</t>
    <phoneticPr fontId="3" type="noConversion"/>
  </si>
  <si>
    <t>4800354113/100</t>
    <phoneticPr fontId="3" type="noConversion"/>
  </si>
  <si>
    <t>4800380449/100</t>
    <phoneticPr fontId="3" type="noConversion"/>
  </si>
  <si>
    <t>4800381446/100</t>
    <phoneticPr fontId="3" type="noConversion"/>
  </si>
  <si>
    <t>26523M5001</t>
    <phoneticPr fontId="3" type="noConversion"/>
  </si>
  <si>
    <t>26523M5001</t>
    <phoneticPr fontId="3" type="noConversion"/>
  </si>
  <si>
    <t>26427M5101</t>
    <phoneticPr fontId="3" type="noConversion"/>
  </si>
  <si>
    <t>26429M5101</t>
    <phoneticPr fontId="3" type="noConversion"/>
  </si>
  <si>
    <t>26520M5101</t>
    <phoneticPr fontId="3" type="noConversion"/>
  </si>
  <si>
    <t>4800380449/100</t>
    <phoneticPr fontId="3" type="noConversion"/>
  </si>
  <si>
    <t>26617M5001</t>
    <phoneticPr fontId="3" type="noConversion"/>
  </si>
  <si>
    <t>26620M5001</t>
    <phoneticPr fontId="3" type="noConversion"/>
  </si>
  <si>
    <t>4800378988/200</t>
    <phoneticPr fontId="3" type="noConversion"/>
  </si>
  <si>
    <t>4800376001/100</t>
    <phoneticPr fontId="3" type="noConversion"/>
  </si>
  <si>
    <t>26523M5001</t>
    <phoneticPr fontId="3" type="noConversion"/>
  </si>
  <si>
    <t>26616M5001</t>
    <phoneticPr fontId="3" type="noConversion"/>
  </si>
  <si>
    <t>26618M5001</t>
    <phoneticPr fontId="3" type="noConversion"/>
  </si>
  <si>
    <t>26619M5001</t>
    <phoneticPr fontId="3" type="noConversion"/>
  </si>
  <si>
    <t>26615M5101</t>
    <phoneticPr fontId="3" type="noConversion"/>
  </si>
  <si>
    <t>26617M5101</t>
    <phoneticPr fontId="3" type="noConversion"/>
  </si>
  <si>
    <t>26619M5101</t>
    <phoneticPr fontId="3" type="noConversion"/>
  </si>
  <si>
    <t>26429M5101</t>
    <phoneticPr fontId="3" type="noConversion"/>
  </si>
  <si>
    <t>4800376001/100</t>
    <phoneticPr fontId="3" type="noConversion"/>
  </si>
  <si>
    <t>4800374911/100</t>
    <phoneticPr fontId="3" type="noConversion"/>
  </si>
  <si>
    <t>4800365866/100</t>
    <phoneticPr fontId="3" type="noConversion"/>
  </si>
  <si>
    <t>4800376579/100</t>
    <phoneticPr fontId="3" type="noConversion"/>
  </si>
  <si>
    <t>26524M5001</t>
    <phoneticPr fontId="3" type="noConversion"/>
  </si>
  <si>
    <t>4800378988/100</t>
    <phoneticPr fontId="3" type="noConversion"/>
  </si>
  <si>
    <t>26617M8301</t>
    <phoneticPr fontId="3" type="noConversion"/>
  </si>
  <si>
    <t>4800376000/100</t>
    <phoneticPr fontId="3" type="noConversion"/>
  </si>
  <si>
    <t>4800380449/100</t>
    <phoneticPr fontId="3" type="noConversion"/>
  </si>
  <si>
    <r>
      <t>12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P8</t>
    </r>
    <phoneticPr fontId="3" type="noConversion"/>
  </si>
  <si>
    <t>4800378988/100</t>
    <phoneticPr fontId="3" type="noConversion"/>
  </si>
  <si>
    <t>26510M8301</t>
    <phoneticPr fontId="3" type="noConversion"/>
  </si>
  <si>
    <t>26507M8301</t>
    <phoneticPr fontId="3" type="noConversion"/>
  </si>
  <si>
    <t>26523M5001</t>
    <phoneticPr fontId="3" type="noConversion"/>
  </si>
  <si>
    <t>26524M5001</t>
    <phoneticPr fontId="3" type="noConversion"/>
  </si>
  <si>
    <t>26501M5101</t>
    <phoneticPr fontId="3" type="noConversion"/>
  </si>
  <si>
    <t>26522M5101</t>
    <phoneticPr fontId="3" type="noConversion"/>
  </si>
  <si>
    <t>260629002-1</t>
    <phoneticPr fontId="3" type="noConversion"/>
  </si>
  <si>
    <t>4800381446/100</t>
    <phoneticPr fontId="3" type="noConversion"/>
  </si>
  <si>
    <t>4800380252/100</t>
    <phoneticPr fontId="3" type="noConversion"/>
  </si>
  <si>
    <t>4800379596/100</t>
    <phoneticPr fontId="3" type="noConversion"/>
  </si>
  <si>
    <t>4800381891/100</t>
    <phoneticPr fontId="3" type="noConversion"/>
  </si>
  <si>
    <t>26526M5001</t>
    <phoneticPr fontId="3" type="noConversion"/>
  </si>
  <si>
    <t>26527M5001</t>
    <phoneticPr fontId="3" type="noConversion"/>
  </si>
  <si>
    <t>26527M5001</t>
    <phoneticPr fontId="3" type="noConversion"/>
  </si>
  <si>
    <t>26526M5001</t>
    <phoneticPr fontId="3" type="noConversion"/>
  </si>
  <si>
    <t>4800376000/100</t>
    <phoneticPr fontId="3" type="noConversion"/>
  </si>
  <si>
    <t>260701004-1</t>
    <phoneticPr fontId="3" type="noConversion"/>
  </si>
  <si>
    <t>4800376665/100</t>
    <phoneticPr fontId="3" type="noConversion"/>
  </si>
  <si>
    <t>26526M5001</t>
    <phoneticPr fontId="3" type="noConversion"/>
  </si>
  <si>
    <t>4800376580/100</t>
    <phoneticPr fontId="3" type="noConversion"/>
  </si>
  <si>
    <t>4800374911/100</t>
    <phoneticPr fontId="3" type="noConversion"/>
  </si>
  <si>
    <t>260701008-1</t>
    <phoneticPr fontId="3" type="noConversion"/>
  </si>
  <si>
    <t>4800381891/100</t>
    <phoneticPr fontId="3" type="noConversion"/>
  </si>
  <si>
    <t>4800381446/100</t>
    <phoneticPr fontId="3" type="noConversion"/>
  </si>
  <si>
    <t>4800376579/100</t>
    <phoneticPr fontId="3" type="noConversion"/>
  </si>
  <si>
    <t>4800354113/100</t>
    <phoneticPr fontId="3" type="noConversion"/>
  </si>
  <si>
    <t>26625M8301</t>
    <phoneticPr fontId="3" type="noConversion"/>
  </si>
  <si>
    <t>26528M5001</t>
    <phoneticPr fontId="3" type="noConversion"/>
  </si>
  <si>
    <t>4800376000/100</t>
    <phoneticPr fontId="3" type="noConversion"/>
  </si>
  <si>
    <t>4800354113/100</t>
    <phoneticPr fontId="3" type="noConversion"/>
  </si>
  <si>
    <t>4800381446/100</t>
    <phoneticPr fontId="3" type="noConversion"/>
  </si>
  <si>
    <t>26501M5101</t>
    <phoneticPr fontId="3" type="noConversion"/>
  </si>
  <si>
    <t>4800380449/100</t>
    <phoneticPr fontId="3" type="noConversion"/>
  </si>
  <si>
    <t>4800378988/200</t>
    <phoneticPr fontId="3" type="noConversion"/>
  </si>
  <si>
    <t>4800378988/200</t>
    <phoneticPr fontId="3" type="noConversion"/>
  </si>
  <si>
    <t>4800379596/100</t>
    <phoneticPr fontId="3" type="noConversion"/>
  </si>
  <si>
    <t>4800381891/100</t>
    <phoneticPr fontId="3" type="noConversion"/>
  </si>
  <si>
    <t>4800381891/100</t>
    <phoneticPr fontId="3" type="noConversion"/>
  </si>
  <si>
    <t>4800376579/100</t>
    <phoneticPr fontId="3" type="noConversion"/>
  </si>
  <si>
    <t>26528M5001</t>
    <phoneticPr fontId="3" type="noConversion"/>
  </si>
  <si>
    <t>26621M5001</t>
    <phoneticPr fontId="3" type="noConversion"/>
  </si>
  <si>
    <t>26623M5001</t>
    <phoneticPr fontId="3" type="noConversion"/>
  </si>
  <si>
    <t>26624M5001</t>
    <phoneticPr fontId="3" type="noConversion"/>
  </si>
  <si>
    <t>26625M5001</t>
    <phoneticPr fontId="3" type="noConversion"/>
  </si>
  <si>
    <t>26626M5001</t>
    <phoneticPr fontId="3" type="noConversion"/>
  </si>
  <si>
    <t>26627M5001</t>
    <phoneticPr fontId="3" type="noConversion"/>
  </si>
  <si>
    <t>26528M5001</t>
    <phoneticPr fontId="3" type="noConversion"/>
  </si>
  <si>
    <t>26529M5001</t>
    <phoneticPr fontId="3" type="noConversion"/>
  </si>
  <si>
    <t>26622M5101</t>
    <phoneticPr fontId="3" type="noConversion"/>
  </si>
  <si>
    <t>26624M5101</t>
    <phoneticPr fontId="3" type="noConversion"/>
  </si>
  <si>
    <t>26626M5101</t>
    <phoneticPr fontId="3" type="noConversion"/>
  </si>
  <si>
    <t>26501M5101</t>
    <phoneticPr fontId="3" type="noConversion"/>
  </si>
  <si>
    <t>4800378988/200</t>
    <phoneticPr fontId="3" type="noConversion"/>
  </si>
  <si>
    <t>4800379596/100</t>
    <phoneticPr fontId="3" type="noConversion"/>
  </si>
  <si>
    <t>4800379596/100</t>
    <phoneticPr fontId="3" type="noConversion"/>
  </si>
  <si>
    <t>4800376580/100</t>
    <phoneticPr fontId="3" type="noConversion"/>
  </si>
  <si>
    <t>4800374911/100</t>
    <phoneticPr fontId="3" type="noConversion"/>
  </si>
  <si>
    <t>4800381891/100</t>
    <phoneticPr fontId="3" type="noConversion"/>
  </si>
  <si>
    <t>4800376579/100</t>
    <phoneticPr fontId="3" type="noConversion"/>
  </si>
  <si>
    <t>260703013-1</t>
    <phoneticPr fontId="3" type="noConversion"/>
  </si>
  <si>
    <t>4800378988/100</t>
    <phoneticPr fontId="3" type="noConversion"/>
  </si>
  <si>
    <t>26506M5101</t>
    <phoneticPr fontId="3" type="noConversion"/>
  </si>
  <si>
    <t>4800354113/100</t>
    <phoneticPr fontId="3" type="noConversion"/>
  </si>
  <si>
    <t>4800378988/100</t>
    <phoneticPr fontId="3" type="noConversion"/>
  </si>
  <si>
    <t>4800380449/100</t>
    <phoneticPr fontId="3" type="noConversion"/>
  </si>
  <si>
    <t>4800380252/100</t>
    <phoneticPr fontId="3" type="noConversion"/>
  </si>
  <si>
    <t>26510M8301</t>
    <phoneticPr fontId="3" type="noConversion"/>
  </si>
  <si>
    <t>26514M8301</t>
    <phoneticPr fontId="3" type="noConversion"/>
  </si>
  <si>
    <t>26529M5001</t>
    <phoneticPr fontId="3" type="noConversion"/>
  </si>
  <si>
    <t>4800376000/100</t>
    <phoneticPr fontId="3" type="noConversion"/>
  </si>
  <si>
    <t>4800380252/100</t>
    <phoneticPr fontId="3" type="noConversion"/>
  </si>
  <si>
    <t>26531M5001</t>
    <phoneticPr fontId="3" type="noConversion"/>
  </si>
  <si>
    <t>260707005-1</t>
    <phoneticPr fontId="3" type="noConversion"/>
  </si>
  <si>
    <t>4800380252/100</t>
    <phoneticPr fontId="3" type="noConversion"/>
  </si>
  <si>
    <t>26531M5001</t>
    <phoneticPr fontId="3" type="noConversion"/>
  </si>
  <si>
    <t>26602M5001</t>
    <phoneticPr fontId="3" type="noConversion"/>
  </si>
  <si>
    <t>26531M5001</t>
    <phoneticPr fontId="3" type="noConversion"/>
  </si>
  <si>
    <t>26530M5001</t>
    <phoneticPr fontId="3" type="noConversion"/>
  </si>
  <si>
    <t>26527M5101</t>
    <phoneticPr fontId="3" type="noConversion"/>
  </si>
  <si>
    <t>26527M5101</t>
    <phoneticPr fontId="3" type="noConversion"/>
  </si>
  <si>
    <t>26529M5101</t>
    <phoneticPr fontId="3" type="noConversion"/>
  </si>
  <si>
    <t>260708006-1</t>
    <phoneticPr fontId="3" type="noConversion"/>
  </si>
  <si>
    <t>4800378988/100</t>
    <phoneticPr fontId="3" type="noConversion"/>
  </si>
  <si>
    <t>4800378988/200</t>
    <phoneticPr fontId="3" type="noConversion"/>
  </si>
  <si>
    <t>4800379596/100</t>
    <phoneticPr fontId="3" type="noConversion"/>
  </si>
  <si>
    <t>4800376665/100</t>
    <phoneticPr fontId="3" type="noConversion"/>
  </si>
  <si>
    <t>4800374911/100</t>
    <phoneticPr fontId="3" type="noConversion"/>
  </si>
  <si>
    <t>4800381891/100</t>
    <phoneticPr fontId="3" type="noConversion"/>
  </si>
  <si>
    <t>4800376579/100</t>
    <phoneticPr fontId="3" type="noConversion"/>
  </si>
  <si>
    <t>4800380252/200</t>
    <phoneticPr fontId="3" type="noConversion"/>
  </si>
  <si>
    <t>4800376580/100</t>
    <phoneticPr fontId="3" type="noConversion"/>
  </si>
  <si>
    <t>26508M5101</t>
    <phoneticPr fontId="3" type="noConversion"/>
  </si>
  <si>
    <t>4800380449/100</t>
    <phoneticPr fontId="3" type="noConversion"/>
  </si>
  <si>
    <t>4800376000/100</t>
    <phoneticPr fontId="3" type="noConversion"/>
  </si>
  <si>
    <t>4800381446/100</t>
    <phoneticPr fontId="3" type="noConversion"/>
  </si>
  <si>
    <t>4800378988/200</t>
    <phoneticPr fontId="3" type="noConversion"/>
  </si>
  <si>
    <t>26602M5001</t>
    <phoneticPr fontId="3" type="noConversion"/>
  </si>
  <si>
    <t>26603M5001</t>
    <phoneticPr fontId="3" type="noConversion"/>
  </si>
  <si>
    <t>26603M5001</t>
    <phoneticPr fontId="3" type="noConversion"/>
  </si>
  <si>
    <t>26604M5001</t>
    <phoneticPr fontId="3" type="noConversion"/>
  </si>
  <si>
    <t>26603M5001</t>
    <phoneticPr fontId="3" type="noConversion"/>
  </si>
  <si>
    <t>26601M5101</t>
    <phoneticPr fontId="3" type="noConversion"/>
  </si>
  <si>
    <t>26508M5101</t>
    <phoneticPr fontId="3" type="noConversion"/>
  </si>
  <si>
    <t>4800380252/200</t>
    <phoneticPr fontId="3" type="noConversion"/>
  </si>
  <si>
    <t>4800376580/100</t>
    <phoneticPr fontId="3" type="noConversion"/>
  </si>
  <si>
    <t>4800380449/100</t>
    <phoneticPr fontId="3" type="noConversion"/>
  </si>
  <si>
    <t>4800381891/100</t>
    <phoneticPr fontId="3" type="noConversion"/>
  </si>
  <si>
    <t>4800376579/100</t>
    <phoneticPr fontId="3" type="noConversion"/>
  </si>
  <si>
    <t>260710004-1</t>
    <phoneticPr fontId="3" type="noConversion"/>
  </si>
  <si>
    <t>12廠P6</t>
  </si>
  <si>
    <t>4800383781/100</t>
    <phoneticPr fontId="3" type="noConversion"/>
  </si>
  <si>
    <t>26605M5001</t>
    <phoneticPr fontId="3" type="noConversion"/>
  </si>
  <si>
    <t>26606M5001</t>
    <phoneticPr fontId="3" type="noConversion"/>
  </si>
  <si>
    <t>26601M5101</t>
    <phoneticPr fontId="3" type="noConversion"/>
  </si>
  <si>
    <t>4800354113/100</t>
    <phoneticPr fontId="3" type="noConversion"/>
  </si>
  <si>
    <t>4800378988/100</t>
    <phoneticPr fontId="3" type="noConversion"/>
  </si>
  <si>
    <t>260713005-1</t>
    <phoneticPr fontId="3" type="noConversion"/>
  </si>
  <si>
    <t>4800380449/100</t>
    <phoneticPr fontId="3" type="noConversion"/>
  </si>
  <si>
    <t>4800383781/100</t>
    <phoneticPr fontId="3" type="noConversion"/>
  </si>
  <si>
    <t>4800381446/100</t>
    <phoneticPr fontId="3" type="noConversion"/>
  </si>
  <si>
    <t>26521M8301</t>
    <phoneticPr fontId="3" type="noConversion"/>
  </si>
  <si>
    <t>4800380252/100</t>
    <phoneticPr fontId="3" type="noConversion"/>
  </si>
  <si>
    <t>4800376000/100</t>
    <phoneticPr fontId="3" type="noConversion"/>
  </si>
  <si>
    <t>4800380890/100</t>
    <phoneticPr fontId="3" type="noConversion"/>
  </si>
  <si>
    <t>26514M8301</t>
    <phoneticPr fontId="3" type="noConversion"/>
  </si>
  <si>
    <t>26521M8301</t>
    <phoneticPr fontId="3" type="noConversion"/>
  </si>
  <si>
    <t>26702M8301</t>
    <phoneticPr fontId="3" type="noConversion"/>
  </si>
  <si>
    <t>26606M5001</t>
    <phoneticPr fontId="3" type="noConversion"/>
  </si>
  <si>
    <t>26607M5001</t>
    <phoneticPr fontId="3" type="noConversion"/>
  </si>
  <si>
    <t>260714001-1</t>
    <phoneticPr fontId="3" type="noConversion"/>
  </si>
  <si>
    <t>4800380890/100</t>
    <phoneticPr fontId="3" type="noConversion"/>
  </si>
  <si>
    <t>26629M5101</t>
    <phoneticPr fontId="3" type="noConversion"/>
  </si>
  <si>
    <t>26630M5001</t>
    <phoneticPr fontId="3" type="noConversion"/>
  </si>
  <si>
    <t>26701M5001</t>
    <phoneticPr fontId="3" type="noConversion"/>
  </si>
  <si>
    <t>26702M5001</t>
    <phoneticPr fontId="3" type="noConversion"/>
  </si>
  <si>
    <t>26704M5001</t>
    <phoneticPr fontId="3" type="noConversion"/>
  </si>
  <si>
    <t>4800381891/100</t>
    <phoneticPr fontId="3" type="noConversion"/>
  </si>
  <si>
    <t>4800381446/100</t>
    <phoneticPr fontId="3" type="noConversion"/>
  </si>
  <si>
    <t>26607M5001</t>
    <phoneticPr fontId="3" type="noConversion"/>
  </si>
  <si>
    <t>26628M5001</t>
    <phoneticPr fontId="3" type="noConversion"/>
  </si>
  <si>
    <t>26703M5001</t>
    <phoneticPr fontId="3" type="noConversion"/>
  </si>
  <si>
    <t>26606M5001</t>
    <phoneticPr fontId="3" type="noConversion"/>
  </si>
  <si>
    <t>26607M5001</t>
    <phoneticPr fontId="3" type="noConversion"/>
  </si>
  <si>
    <t>26701M5101</t>
    <phoneticPr fontId="3" type="noConversion"/>
  </si>
  <si>
    <t>26702M5101</t>
    <phoneticPr fontId="3" type="noConversion"/>
  </si>
  <si>
    <t>26601M5101</t>
    <phoneticPr fontId="3" type="noConversion"/>
  </si>
  <si>
    <t>26603M5101</t>
    <phoneticPr fontId="3" type="noConversion"/>
  </si>
  <si>
    <t>4800378988/200</t>
    <phoneticPr fontId="3" type="noConversion"/>
  </si>
  <si>
    <t>4800379596/100</t>
    <phoneticPr fontId="3" type="noConversion"/>
  </si>
  <si>
    <t>260715007-1</t>
    <phoneticPr fontId="3" type="noConversion"/>
  </si>
  <si>
    <t>4800383781/200</t>
    <phoneticPr fontId="3" type="noConversion"/>
  </si>
  <si>
    <t>4800381446/100</t>
    <phoneticPr fontId="3" type="noConversion"/>
  </si>
  <si>
    <t>4800376579/100</t>
    <phoneticPr fontId="3" type="noConversion"/>
  </si>
  <si>
    <t>26521M8301</t>
    <phoneticPr fontId="3" type="noConversion"/>
  </si>
  <si>
    <t>26607M5001</t>
    <phoneticPr fontId="3" type="noConversion"/>
  </si>
  <si>
    <t>26603M5101</t>
    <phoneticPr fontId="3" type="noConversion"/>
  </si>
  <si>
    <t>4800380890/100</t>
    <phoneticPr fontId="3" type="noConversion"/>
  </si>
  <si>
    <t>26607M5001</t>
    <phoneticPr fontId="3" type="noConversion"/>
  </si>
  <si>
    <t>26511M5101</t>
    <phoneticPr fontId="3" type="noConversion"/>
  </si>
  <si>
    <t>4800383781/100</t>
    <phoneticPr fontId="3" type="noConversion"/>
  </si>
  <si>
    <t>260716003-1</t>
    <phoneticPr fontId="3" type="noConversion"/>
  </si>
  <si>
    <t>26710M5001</t>
    <phoneticPr fontId="3" type="noConversion"/>
  </si>
  <si>
    <t>26703M5101</t>
    <phoneticPr fontId="3" type="noConversion"/>
  </si>
  <si>
    <t>26706M5101</t>
    <phoneticPr fontId="3" type="noConversion"/>
  </si>
  <si>
    <t>4800378988/200</t>
    <phoneticPr fontId="3" type="noConversion"/>
  </si>
  <si>
    <t>4800378988/200</t>
    <phoneticPr fontId="3" type="noConversion"/>
  </si>
  <si>
    <t>4800383781/200</t>
    <phoneticPr fontId="3" type="noConversion"/>
  </si>
  <si>
    <t>4800376579/100</t>
    <phoneticPr fontId="3" type="noConversion"/>
  </si>
  <si>
    <t>26707M5001</t>
    <phoneticPr fontId="3" type="noConversion"/>
  </si>
  <si>
    <t>26708M5001</t>
    <phoneticPr fontId="3" type="noConversion"/>
  </si>
  <si>
    <t>26709M5001</t>
    <phoneticPr fontId="3" type="noConversion"/>
  </si>
  <si>
    <t>26711M5001</t>
    <phoneticPr fontId="3" type="noConversion"/>
  </si>
  <si>
    <t>26609M5001</t>
    <phoneticPr fontId="3" type="noConversion"/>
  </si>
  <si>
    <t>26511M5101</t>
    <phoneticPr fontId="3" type="noConversion"/>
  </si>
  <si>
    <t>26513M5101</t>
    <phoneticPr fontId="3" type="noConversion"/>
  </si>
  <si>
    <t>4800378988/200</t>
    <phoneticPr fontId="3" type="noConversion"/>
  </si>
  <si>
    <t>26705M5001</t>
    <phoneticPr fontId="3" type="noConversion"/>
  </si>
  <si>
    <t>260717006-1</t>
    <phoneticPr fontId="3" type="noConversion"/>
  </si>
  <si>
    <t>4800379596/100</t>
    <phoneticPr fontId="3" type="noConversion"/>
  </si>
  <si>
    <t>4800374911/100</t>
    <phoneticPr fontId="3" type="noConversion"/>
  </si>
  <si>
    <t>4800383781/200</t>
    <phoneticPr fontId="3" type="noConversion"/>
  </si>
  <si>
    <t>4800376579/100</t>
    <phoneticPr fontId="3" type="noConversion"/>
  </si>
  <si>
    <t>26605M5101</t>
    <phoneticPr fontId="3" type="noConversion"/>
  </si>
  <si>
    <t>26513M5101</t>
    <phoneticPr fontId="3" type="noConversion"/>
  </si>
  <si>
    <t>260720004-1</t>
    <phoneticPr fontId="3" type="noConversion"/>
  </si>
  <si>
    <t>4800383781/300</t>
    <phoneticPr fontId="3" type="noConversion"/>
  </si>
  <si>
    <t>4800380890/100</t>
    <phoneticPr fontId="3" type="noConversion"/>
  </si>
  <si>
    <t>4800380252/100</t>
    <phoneticPr fontId="3" type="noConversion"/>
  </si>
  <si>
    <t>26528M8301</t>
    <phoneticPr fontId="3" type="noConversion"/>
  </si>
  <si>
    <t>26521M8301</t>
    <phoneticPr fontId="3" type="noConversion"/>
  </si>
  <si>
    <t>26609M5001</t>
    <phoneticPr fontId="3" type="noConversion"/>
  </si>
  <si>
    <t>4800380252/100</t>
    <phoneticPr fontId="3" type="noConversion"/>
  </si>
  <si>
    <t>26707M5101</t>
    <phoneticPr fontId="3" type="noConversion"/>
  </si>
  <si>
    <t>26708M5101</t>
    <phoneticPr fontId="3" type="noConversion"/>
  </si>
  <si>
    <r>
      <t>18</t>
    </r>
    <r>
      <rPr>
        <sz val="10"/>
        <rFont val="新細明體"/>
        <family val="1"/>
        <charset val="136"/>
      </rPr>
      <t>廠</t>
    </r>
    <r>
      <rPr>
        <sz val="10"/>
        <rFont val="Arial"/>
        <family val="2"/>
      </rPr>
      <t>P4</t>
    </r>
    <phoneticPr fontId="3" type="noConversion"/>
  </si>
  <si>
    <t>26709M5101</t>
    <phoneticPr fontId="3" type="noConversion"/>
  </si>
  <si>
    <t>26712M5001</t>
    <phoneticPr fontId="3" type="noConversion"/>
  </si>
  <si>
    <t>4800384379/100</t>
    <phoneticPr fontId="3" type="noConversion"/>
  </si>
  <si>
    <t>26610M5001</t>
    <phoneticPr fontId="3" type="noConversion"/>
  </si>
  <si>
    <t>26611M5001</t>
    <phoneticPr fontId="3" type="noConversion"/>
  </si>
  <si>
    <t>26611M5001</t>
    <phoneticPr fontId="3" type="noConversion"/>
  </si>
  <si>
    <t>26605M5101</t>
    <phoneticPr fontId="3" type="noConversion"/>
  </si>
  <si>
    <t>26513M5101</t>
    <phoneticPr fontId="3" type="noConversion"/>
  </si>
  <si>
    <t>4800378988/200</t>
    <phoneticPr fontId="3" type="noConversion"/>
  </si>
  <si>
    <t>4800379596/100</t>
    <phoneticPr fontId="3" type="noConversion"/>
  </si>
  <si>
    <t>4800380252/200</t>
    <phoneticPr fontId="3" type="noConversion"/>
  </si>
  <si>
    <t>4800376580/100</t>
    <phoneticPr fontId="3" type="noConversion"/>
  </si>
  <si>
    <t>260722007-1</t>
    <phoneticPr fontId="3" type="noConversion"/>
  </si>
  <si>
    <t>4800383781/400</t>
    <phoneticPr fontId="3" type="noConversion"/>
  </si>
  <si>
    <t>260722008-1</t>
    <phoneticPr fontId="3" type="noConversion"/>
  </si>
  <si>
    <t>4800381446/100</t>
    <phoneticPr fontId="3" type="noConversion"/>
  </si>
  <si>
    <t>4800378988/100</t>
    <phoneticPr fontId="3" type="noConversion"/>
  </si>
  <si>
    <t>4800383781/300</t>
    <phoneticPr fontId="3" type="noConversion"/>
  </si>
  <si>
    <t>4800384379/100</t>
    <phoneticPr fontId="3" type="noConversion"/>
  </si>
  <si>
    <t>26528M8301</t>
    <phoneticPr fontId="3" type="noConversion"/>
  </si>
  <si>
    <t>26611M5001</t>
    <phoneticPr fontId="3" type="noConversion"/>
  </si>
  <si>
    <t>26612M5001</t>
    <phoneticPr fontId="3" type="noConversion"/>
  </si>
  <si>
    <t>26612M5001</t>
    <phoneticPr fontId="3" type="noConversion"/>
  </si>
  <si>
    <t>26605M5101</t>
    <phoneticPr fontId="3" type="noConversion"/>
  </si>
  <si>
    <t>26608M5101</t>
    <phoneticPr fontId="3" type="noConversion"/>
  </si>
  <si>
    <t>4800378988/100</t>
    <phoneticPr fontId="3" type="noConversion"/>
  </si>
  <si>
    <t>4800384379/100</t>
    <phoneticPr fontId="3" type="noConversion"/>
  </si>
  <si>
    <t>4800380890/100</t>
    <phoneticPr fontId="3" type="noConversion"/>
  </si>
  <si>
    <t>260723005-1</t>
    <phoneticPr fontId="3" type="noConversion"/>
  </si>
  <si>
    <t>4800383781/300</t>
    <phoneticPr fontId="3" type="noConversion"/>
  </si>
  <si>
    <t>26710M5101</t>
    <phoneticPr fontId="3" type="noConversion"/>
  </si>
  <si>
    <t>4800376579/100</t>
    <phoneticPr fontId="3" type="noConversion"/>
  </si>
  <si>
    <t>26612M5001</t>
    <phoneticPr fontId="3" type="noConversion"/>
  </si>
  <si>
    <t>26613M5001</t>
    <phoneticPr fontId="3" type="noConversion"/>
  </si>
  <si>
    <t>26608M5101</t>
    <phoneticPr fontId="3" type="noConversion"/>
  </si>
  <si>
    <t>26603M5101</t>
    <phoneticPr fontId="3" type="noConversion"/>
  </si>
  <si>
    <t>4800379596/100</t>
    <phoneticPr fontId="3" type="noConversion"/>
  </si>
  <si>
    <t>4800383781/400</t>
    <phoneticPr fontId="3" type="noConversion"/>
  </si>
  <si>
    <t>4800376579/100</t>
    <phoneticPr fontId="3" type="noConversion"/>
  </si>
  <si>
    <t>260724004-1</t>
    <phoneticPr fontId="3" type="noConversion"/>
  </si>
  <si>
    <t>4800383781/300</t>
    <phoneticPr fontId="3" type="noConversion"/>
  </si>
  <si>
    <t>26613M5001</t>
    <phoneticPr fontId="3" type="noConversion"/>
  </si>
  <si>
    <t>26608M5101</t>
    <phoneticPr fontId="3" type="noConversion"/>
  </si>
  <si>
    <t>26610M5101</t>
    <phoneticPr fontId="3" type="noConversion"/>
  </si>
  <si>
    <t>26610M5101</t>
    <phoneticPr fontId="3" type="noConversion"/>
  </si>
  <si>
    <t>4800384379/100</t>
    <phoneticPr fontId="3" type="noConversion"/>
  </si>
  <si>
    <t>26604M8301</t>
    <phoneticPr fontId="3" type="noConversion"/>
  </si>
  <si>
    <t>26714M5001</t>
    <phoneticPr fontId="3" type="noConversion"/>
  </si>
  <si>
    <t>26713M5101</t>
    <phoneticPr fontId="3" type="noConversion"/>
  </si>
  <si>
    <t>4800378988/200</t>
    <phoneticPr fontId="3" type="noConversion"/>
  </si>
  <si>
    <t>4800376579/100</t>
    <phoneticPr fontId="3" type="noConversion"/>
  </si>
  <si>
    <t>4800374911/100</t>
    <phoneticPr fontId="3" type="noConversion"/>
  </si>
  <si>
    <t>26614M5001</t>
    <phoneticPr fontId="3" type="noConversion"/>
  </si>
  <si>
    <t>26616M5001</t>
    <phoneticPr fontId="3" type="noConversion"/>
  </si>
  <si>
    <t>26614M5001</t>
    <phoneticPr fontId="3" type="noConversion"/>
  </si>
  <si>
    <t>26714M5101</t>
    <phoneticPr fontId="3" type="noConversion"/>
  </si>
  <si>
    <t>26610M5101</t>
    <phoneticPr fontId="3" type="noConversion"/>
  </si>
  <si>
    <t>26612M5101</t>
    <phoneticPr fontId="3" type="noConversion"/>
  </si>
  <si>
    <t>4800379596/100</t>
    <phoneticPr fontId="3" type="noConversion"/>
  </si>
  <si>
    <t>4800380252/200</t>
    <phoneticPr fontId="3" type="noConversion"/>
  </si>
  <si>
    <t>26616M5001</t>
    <phoneticPr fontId="3" type="noConversion"/>
  </si>
  <si>
    <t>4800383781/400</t>
    <phoneticPr fontId="3" type="noConversion"/>
  </si>
  <si>
    <t>4800384379/100</t>
    <phoneticPr fontId="3" type="noConversion"/>
  </si>
  <si>
    <t>4800376579/100</t>
    <phoneticPr fontId="3" type="noConversion"/>
  </si>
  <si>
    <t>26604M8301</t>
    <phoneticPr fontId="3" type="noConversion"/>
  </si>
  <si>
    <t>26714M8301</t>
    <phoneticPr fontId="3" type="noConversion"/>
  </si>
  <si>
    <t>26612M5101</t>
    <phoneticPr fontId="3" type="noConversion"/>
  </si>
  <si>
    <t>26615M5101</t>
    <phoneticPr fontId="3" type="noConversion"/>
  </si>
  <si>
    <t>4800380890/100</t>
    <phoneticPr fontId="3" type="noConversion"/>
  </si>
  <si>
    <t>4800354113/100</t>
    <phoneticPr fontId="3" type="noConversion"/>
  </si>
  <si>
    <t>4800378988/100</t>
    <phoneticPr fontId="3" type="noConversion"/>
  </si>
  <si>
    <t>4800383781/300</t>
    <phoneticPr fontId="3" type="noConversion"/>
  </si>
  <si>
    <t>4800384379/100</t>
    <phoneticPr fontId="3" type="noConversion"/>
  </si>
  <si>
    <t>ESXM602-20260803001</t>
    <phoneticPr fontId="3" type="noConversion"/>
  </si>
  <si>
    <t>26717M5001</t>
    <phoneticPr fontId="3" type="noConversion"/>
  </si>
  <si>
    <t>26721M5001</t>
    <phoneticPr fontId="3" type="noConversion"/>
  </si>
  <si>
    <t>26717M5101</t>
    <phoneticPr fontId="3" type="noConversion"/>
  </si>
  <si>
    <t>26720M5101</t>
    <phoneticPr fontId="3" type="noConversion"/>
  </si>
  <si>
    <t>4800378988/200</t>
    <phoneticPr fontId="3" type="noConversion"/>
  </si>
  <si>
    <t>26715M5001</t>
    <phoneticPr fontId="3" type="noConversion"/>
  </si>
  <si>
    <t>26716M5001</t>
    <phoneticPr fontId="3" type="noConversion"/>
  </si>
  <si>
    <t>26718M5001</t>
    <phoneticPr fontId="3" type="noConversion"/>
  </si>
  <si>
    <t>26719M5001</t>
    <phoneticPr fontId="3" type="noConversion"/>
  </si>
  <si>
    <t>26715M5101</t>
    <phoneticPr fontId="3" type="noConversion"/>
  </si>
  <si>
    <t>26716M5101</t>
    <phoneticPr fontId="3" type="noConversion"/>
  </si>
  <si>
    <t>4800378988/200</t>
    <phoneticPr fontId="3" type="noConversion"/>
  </si>
  <si>
    <t>4800379596/100</t>
    <phoneticPr fontId="3" type="noConversion"/>
  </si>
  <si>
    <t>260731007-1</t>
    <phoneticPr fontId="3" type="noConversion"/>
  </si>
  <si>
    <t>4800376579/100</t>
    <phoneticPr fontId="3" type="noConversion"/>
  </si>
  <si>
    <t xml:space="preserve">AZ #9-24 </t>
    <phoneticPr fontId="3" type="noConversion"/>
  </si>
  <si>
    <t>26618M5001</t>
    <phoneticPr fontId="3" type="noConversion"/>
  </si>
  <si>
    <t>4800378988/100</t>
    <phoneticPr fontId="3" type="noConversion"/>
  </si>
  <si>
    <t>26615M5101</t>
    <phoneticPr fontId="3" type="noConversion"/>
  </si>
  <si>
    <t>26617M5101</t>
    <phoneticPr fontId="3" type="noConversion"/>
  </si>
  <si>
    <t>4800378988/100</t>
    <phoneticPr fontId="3" type="noConversion"/>
  </si>
  <si>
    <t>4800383781/300</t>
    <phoneticPr fontId="3" type="noConversion"/>
  </si>
  <si>
    <t>26619M5001</t>
    <phoneticPr fontId="3" type="noConversion"/>
  </si>
  <si>
    <t>4800382702/100</t>
    <phoneticPr fontId="3" type="noConversion"/>
  </si>
  <si>
    <t>4800382702/100</t>
    <phoneticPr fontId="3" type="noConversion"/>
  </si>
  <si>
    <t>4800375878/100</t>
    <phoneticPr fontId="3" type="noConversion"/>
  </si>
  <si>
    <t>4800375878/100</t>
    <phoneticPr fontId="3" type="noConversion"/>
  </si>
  <si>
    <t>4800375878/100</t>
    <phoneticPr fontId="3" type="noConversion"/>
  </si>
  <si>
    <t>4800380890/100</t>
    <phoneticPr fontId="3" type="noConversion"/>
  </si>
  <si>
    <t>26604M8301</t>
    <phoneticPr fontId="3" type="noConversion"/>
  </si>
  <si>
    <t>26607M8301</t>
    <phoneticPr fontId="3" type="noConversion"/>
  </si>
  <si>
    <t>26726M8301</t>
    <phoneticPr fontId="3" type="noConversion"/>
  </si>
  <si>
    <t>26620M5001</t>
    <phoneticPr fontId="3" type="noConversion"/>
  </si>
  <si>
    <t>26313M5101</t>
    <phoneticPr fontId="3" type="noConversion"/>
  </si>
  <si>
    <t>26315M5101</t>
    <phoneticPr fontId="3" type="noConversion"/>
  </si>
  <si>
    <t>26317M5101</t>
    <phoneticPr fontId="3" type="noConversion"/>
  </si>
  <si>
    <t>26319M5101</t>
    <phoneticPr fontId="3" type="noConversion"/>
  </si>
  <si>
    <t>4800380890/100</t>
    <phoneticPr fontId="3" type="noConversion"/>
  </si>
  <si>
    <t>260804002-1</t>
    <phoneticPr fontId="3" type="noConversion"/>
  </si>
  <si>
    <t>4800382702/100</t>
    <phoneticPr fontId="3" type="noConversion"/>
  </si>
  <si>
    <t xml:space="preserve">AZ #5-24 </t>
    <phoneticPr fontId="3" type="noConversion"/>
  </si>
  <si>
    <t>26721M5101</t>
    <phoneticPr fontId="3" type="noConversion"/>
  </si>
  <si>
    <t>26723M5101</t>
    <phoneticPr fontId="3" type="noConversion"/>
  </si>
  <si>
    <t>4800378988/200</t>
    <phoneticPr fontId="3" type="noConversion"/>
  </si>
  <si>
    <t>4800384379/100</t>
    <phoneticPr fontId="3" type="noConversion"/>
  </si>
  <si>
    <t>26722M5001</t>
    <phoneticPr fontId="3" type="noConversion"/>
  </si>
  <si>
    <t>26723M5001</t>
    <phoneticPr fontId="3" type="noConversion"/>
  </si>
  <si>
    <t>26724M5001</t>
    <phoneticPr fontId="3" type="noConversion"/>
  </si>
  <si>
    <t>26725M5001</t>
    <phoneticPr fontId="3" type="noConversion"/>
  </si>
  <si>
    <t>26722M5101</t>
    <phoneticPr fontId="3" type="noConversion"/>
  </si>
  <si>
    <t>26617M5101</t>
    <phoneticPr fontId="3" type="noConversion"/>
  </si>
  <si>
    <t>26619M5101</t>
    <phoneticPr fontId="3" type="noConversion"/>
  </si>
  <si>
    <t>26617M5101</t>
    <phoneticPr fontId="3" type="noConversion"/>
  </si>
  <si>
    <t>4800378988/200</t>
    <phoneticPr fontId="3" type="noConversion"/>
  </si>
  <si>
    <t>4800379596/100</t>
    <phoneticPr fontId="3" type="noConversion"/>
  </si>
  <si>
    <t>4800383781/400</t>
    <phoneticPr fontId="3" type="noConversion"/>
  </si>
  <si>
    <t>4800384379/100</t>
    <phoneticPr fontId="3" type="noConversion"/>
  </si>
  <si>
    <t>26620M5001</t>
    <phoneticPr fontId="3" type="noConversion"/>
  </si>
  <si>
    <t>26619M5101</t>
    <phoneticPr fontId="3" type="noConversion"/>
  </si>
  <si>
    <t>26622M5101</t>
    <phoneticPr fontId="3" type="noConversion"/>
  </si>
  <si>
    <t>4800383781/300</t>
    <phoneticPr fontId="3" type="noConversion"/>
  </si>
  <si>
    <t>260806010-1</t>
    <phoneticPr fontId="3" type="noConversion"/>
  </si>
  <si>
    <t>4800385778/100</t>
    <phoneticPr fontId="3" type="noConversion"/>
  </si>
  <si>
    <t>260806008-1</t>
    <phoneticPr fontId="3" type="noConversion"/>
  </si>
  <si>
    <t>260806008-1</t>
    <phoneticPr fontId="3" type="noConversion"/>
  </si>
  <si>
    <t>26726M5001</t>
    <phoneticPr fontId="3" type="noConversion"/>
  </si>
  <si>
    <t>26730M5001</t>
    <phoneticPr fontId="3" type="noConversion"/>
  </si>
  <si>
    <t>26731M5001</t>
    <phoneticPr fontId="3" type="noConversion"/>
  </si>
  <si>
    <t>26724M5101</t>
    <phoneticPr fontId="3" type="noConversion"/>
  </si>
  <si>
    <t>26727M5101</t>
    <phoneticPr fontId="3" type="noConversion"/>
  </si>
  <si>
    <t>4800378988/200</t>
    <phoneticPr fontId="3" type="noConversion"/>
  </si>
  <si>
    <t>26728M5001</t>
    <phoneticPr fontId="3" type="noConversion"/>
  </si>
  <si>
    <t>26729M5001</t>
    <phoneticPr fontId="3" type="noConversion"/>
  </si>
  <si>
    <t>26620M5001</t>
    <phoneticPr fontId="3" type="noConversion"/>
  </si>
  <si>
    <t>26725M5101</t>
    <phoneticPr fontId="3" type="noConversion"/>
  </si>
  <si>
    <t>26619M5101</t>
    <phoneticPr fontId="3" type="noConversion"/>
  </si>
  <si>
    <t>4800378988/200</t>
    <phoneticPr fontId="3" type="noConversion"/>
  </si>
  <si>
    <t>4800379596/100</t>
    <phoneticPr fontId="3" type="noConversion"/>
  </si>
  <si>
    <t>260807003-1</t>
    <phoneticPr fontId="3" type="noConversion"/>
  </si>
  <si>
    <t>4800379596/100</t>
    <phoneticPr fontId="3" type="noConversion"/>
  </si>
  <si>
    <t>4800374911/100</t>
    <phoneticPr fontId="3" type="noConversion"/>
  </si>
  <si>
    <t>4800383781/400</t>
    <phoneticPr fontId="3" type="noConversion"/>
  </si>
  <si>
    <t>4800384379/200</t>
    <phoneticPr fontId="3" type="noConversion"/>
  </si>
  <si>
    <t>260807005-1</t>
    <phoneticPr fontId="3" type="noConversion"/>
  </si>
  <si>
    <t>26623M5001</t>
    <phoneticPr fontId="3" type="noConversion"/>
  </si>
  <si>
    <t>4800383332/100</t>
    <phoneticPr fontId="3" type="noConversion"/>
  </si>
  <si>
    <t>4800383781/300</t>
    <phoneticPr fontId="3" type="noConversion"/>
  </si>
  <si>
    <t>4800385778/100</t>
    <phoneticPr fontId="3" type="noConversion"/>
  </si>
  <si>
    <t>26623M5001</t>
    <phoneticPr fontId="3" type="noConversion"/>
  </si>
  <si>
    <t>26619M5101</t>
    <phoneticPr fontId="3" type="noConversion"/>
  </si>
  <si>
    <t>26622M5101</t>
    <phoneticPr fontId="3" type="noConversion"/>
  </si>
  <si>
    <t>26624M5101</t>
    <phoneticPr fontId="3" type="noConversion"/>
  </si>
  <si>
    <t>260810007-1</t>
    <phoneticPr fontId="3" type="noConversion"/>
  </si>
  <si>
    <t>4800354113/100</t>
    <phoneticPr fontId="3" type="noConversion"/>
  </si>
  <si>
    <t>4800378988/100</t>
    <phoneticPr fontId="3" type="noConversion"/>
  </si>
  <si>
    <t>4800385778/100</t>
    <phoneticPr fontId="3" type="noConversion"/>
  </si>
  <si>
    <t>26728M8301</t>
    <phoneticPr fontId="3" type="noConversion"/>
  </si>
  <si>
    <t>4800380890/100</t>
    <phoneticPr fontId="3" type="noConversion"/>
  </si>
  <si>
    <t>4800382702/100</t>
    <phoneticPr fontId="3" type="noConversion"/>
  </si>
  <si>
    <t>26611M8301</t>
    <phoneticPr fontId="3" type="noConversion"/>
  </si>
  <si>
    <t>26730M8301</t>
    <phoneticPr fontId="3" type="noConversion"/>
  </si>
  <si>
    <t>26621M5001</t>
    <phoneticPr fontId="3" type="noConversion"/>
  </si>
  <si>
    <t>4800380890/100</t>
    <phoneticPr fontId="3" type="noConversion"/>
  </si>
  <si>
    <t>4800382702/100</t>
    <phoneticPr fontId="3" type="noConversion"/>
  </si>
  <si>
    <t>260811001-1</t>
    <phoneticPr fontId="3" type="noConversion"/>
  </si>
  <si>
    <t>26729M5101</t>
    <phoneticPr fontId="3" type="noConversion"/>
  </si>
  <si>
    <t>26730M5101</t>
    <phoneticPr fontId="3" type="noConversion"/>
  </si>
  <si>
    <t>26624M5001</t>
    <phoneticPr fontId="3" type="noConversion"/>
  </si>
  <si>
    <t>26624M5001</t>
    <phoneticPr fontId="3" type="noConversion"/>
  </si>
  <si>
    <t>26728M5101</t>
    <phoneticPr fontId="3" type="noConversion"/>
  </si>
  <si>
    <t>26624M5101</t>
    <phoneticPr fontId="3" type="noConversion"/>
  </si>
  <si>
    <t>4800379596/100</t>
    <phoneticPr fontId="3" type="noConversion"/>
  </si>
  <si>
    <t>4800374911/100</t>
    <phoneticPr fontId="3" type="noConversion"/>
  </si>
  <si>
    <t>4800383781/400</t>
    <phoneticPr fontId="3" type="noConversion"/>
  </si>
  <si>
    <t>4800385778/100</t>
    <phoneticPr fontId="3" type="noConversion"/>
  </si>
  <si>
    <t>26625M5001</t>
    <phoneticPr fontId="3" type="noConversion"/>
  </si>
  <si>
    <t>4800383332/100</t>
    <phoneticPr fontId="3" type="noConversion"/>
  </si>
  <si>
    <t>4800383781/300</t>
    <phoneticPr fontId="3" type="noConversion"/>
  </si>
  <si>
    <t>26611M8301</t>
    <phoneticPr fontId="3" type="noConversion"/>
  </si>
  <si>
    <t>26624M5001</t>
    <phoneticPr fontId="3" type="noConversion"/>
  </si>
  <si>
    <t>26625M5001</t>
    <phoneticPr fontId="3" type="noConversion"/>
  </si>
  <si>
    <t>26624M5101</t>
    <phoneticPr fontId="3" type="noConversion"/>
  </si>
  <si>
    <t>26626M5101</t>
    <phoneticPr fontId="3" type="noConversion"/>
  </si>
  <si>
    <t>26626M5101</t>
    <phoneticPr fontId="3" type="noConversion"/>
  </si>
  <si>
    <t>26625M5001</t>
    <phoneticPr fontId="3" type="noConversion"/>
  </si>
  <si>
    <t>4800383332/100</t>
    <phoneticPr fontId="3" type="noConversion"/>
  </si>
  <si>
    <t>4800374911/100</t>
    <phoneticPr fontId="3" type="noConversion"/>
  </si>
  <si>
    <t>4800383781/300</t>
    <phoneticPr fontId="3" type="noConversion"/>
  </si>
  <si>
    <t>4800385778/100</t>
    <phoneticPr fontId="3" type="noConversion"/>
  </si>
  <si>
    <t>26731M5101</t>
    <phoneticPr fontId="3" type="noConversion"/>
  </si>
  <si>
    <t>26803M5101</t>
    <phoneticPr fontId="3" type="noConversion"/>
  </si>
  <si>
    <t>18廠P1</t>
  </si>
  <si>
    <t>26806M5001</t>
    <phoneticPr fontId="3" type="noConversion"/>
  </si>
  <si>
    <t>26807M5001</t>
    <phoneticPr fontId="3" type="noConversion"/>
  </si>
  <si>
    <t>4800379596/100</t>
    <phoneticPr fontId="3" type="noConversion"/>
  </si>
  <si>
    <t>4800384379/200</t>
    <phoneticPr fontId="3" type="noConversion"/>
  </si>
  <si>
    <t>26801M5001</t>
    <phoneticPr fontId="3" type="noConversion"/>
  </si>
  <si>
    <t>26802M5001</t>
    <phoneticPr fontId="3" type="noConversion"/>
  </si>
  <si>
    <t>26804M5001</t>
    <phoneticPr fontId="3" type="noConversion"/>
  </si>
  <si>
    <t>26805M5001</t>
    <phoneticPr fontId="3" type="noConversion"/>
  </si>
  <si>
    <t>26801M5101</t>
    <phoneticPr fontId="3" type="noConversion"/>
  </si>
  <si>
    <t>26626M5101</t>
    <phoneticPr fontId="3" type="noConversion"/>
  </si>
  <si>
    <t>4800379596/100</t>
    <phoneticPr fontId="3" type="noConversion"/>
  </si>
  <si>
    <t>4800379596/100</t>
    <phoneticPr fontId="3" type="noConversion"/>
  </si>
  <si>
    <t>4800383781/400</t>
    <phoneticPr fontId="3" type="noConversion"/>
  </si>
  <si>
    <t>4800384379/200</t>
    <phoneticPr fontId="3" type="noConversion"/>
  </si>
  <si>
    <t>260814004-1</t>
    <phoneticPr fontId="3" type="noConversion"/>
  </si>
  <si>
    <t>4800356068/100</t>
    <phoneticPr fontId="3" type="noConversion"/>
  </si>
  <si>
    <t>260814005-1</t>
    <phoneticPr fontId="3" type="noConversion"/>
  </si>
  <si>
    <t>26626M5001</t>
    <phoneticPr fontId="3" type="noConversion"/>
  </si>
  <si>
    <t>4800385777/100</t>
    <phoneticPr fontId="3" type="noConversion"/>
  </si>
  <si>
    <t>4800380890/100</t>
    <phoneticPr fontId="3" type="noConversion"/>
  </si>
  <si>
    <t>4800382702/100</t>
    <phoneticPr fontId="3" type="noConversion"/>
  </si>
  <si>
    <t>26611M8301</t>
    <phoneticPr fontId="3" type="noConversion"/>
  </si>
  <si>
    <t>26626M5001</t>
    <phoneticPr fontId="3" type="noConversion"/>
  </si>
  <si>
    <t>4800380890/100</t>
    <phoneticPr fontId="3" type="noConversion"/>
  </si>
  <si>
    <t>26807M5101</t>
    <phoneticPr fontId="3" type="noConversion"/>
  </si>
  <si>
    <r>
      <t>M51</t>
    </r>
    <r>
      <rPr>
        <sz val="10"/>
        <color rgb="FFFF0000"/>
        <rFont val="細明體"/>
        <family val="3"/>
        <charset val="136"/>
      </rPr>
      <t>從此批開始轉為正式料號</t>
    </r>
    <phoneticPr fontId="3" type="noConversion"/>
  </si>
  <si>
    <t>26814M5001</t>
    <phoneticPr fontId="3" type="noConversion"/>
  </si>
  <si>
    <t>4800356068/100</t>
    <phoneticPr fontId="3" type="noConversion"/>
  </si>
  <si>
    <t>4800356068/100</t>
    <phoneticPr fontId="3" type="noConversion"/>
  </si>
  <si>
    <t>4800385778/100</t>
    <phoneticPr fontId="3" type="noConversion"/>
  </si>
  <si>
    <t>4800375878/100</t>
    <phoneticPr fontId="3" type="noConversion"/>
  </si>
  <si>
    <t>26808M5001</t>
    <phoneticPr fontId="3" type="noConversion"/>
  </si>
  <si>
    <t>26809M5001</t>
    <phoneticPr fontId="3" type="noConversion"/>
  </si>
  <si>
    <t>26811M5001</t>
    <phoneticPr fontId="3" type="noConversion"/>
  </si>
  <si>
    <t>26812M5001</t>
    <phoneticPr fontId="3" type="noConversion"/>
  </si>
  <si>
    <t>26813M5001</t>
    <phoneticPr fontId="3" type="noConversion"/>
  </si>
  <si>
    <t>26627M5001</t>
    <phoneticPr fontId="3" type="noConversion"/>
  </si>
  <si>
    <t>26805M5101</t>
    <phoneticPr fontId="3" type="noConversion"/>
  </si>
  <si>
    <t>26810M5101</t>
    <phoneticPr fontId="3" type="noConversion"/>
  </si>
  <si>
    <t>26629M5101</t>
    <phoneticPr fontId="3" type="noConversion"/>
  </si>
  <si>
    <t>26701M5101</t>
    <phoneticPr fontId="3" type="noConversion"/>
  </si>
  <si>
    <t>26325M5101</t>
    <phoneticPr fontId="3" type="noConversion"/>
  </si>
  <si>
    <t>26327M5101</t>
    <phoneticPr fontId="3" type="noConversion"/>
  </si>
  <si>
    <t>26330M5101</t>
    <phoneticPr fontId="3" type="noConversion"/>
  </si>
  <si>
    <t>260819004-1</t>
    <phoneticPr fontId="3" type="noConversion"/>
  </si>
  <si>
    <t>4800379596/100</t>
    <phoneticPr fontId="3" type="noConversion"/>
  </si>
  <si>
    <t>4800383894/100</t>
    <phoneticPr fontId="3" type="noConversion"/>
  </si>
  <si>
    <t>4800380252/200</t>
    <phoneticPr fontId="3" type="noConversion"/>
  </si>
  <si>
    <t>4800356068/100</t>
    <phoneticPr fontId="3" type="noConversion"/>
  </si>
  <si>
    <t>4800385778/100</t>
    <phoneticPr fontId="3" type="noConversion"/>
  </si>
  <si>
    <t>4800384379/200</t>
    <phoneticPr fontId="3" type="noConversion"/>
  </si>
  <si>
    <t>4800383332/200</t>
    <phoneticPr fontId="3" type="noConversion"/>
  </si>
  <si>
    <t>4800383332/200</t>
    <phoneticPr fontId="3" type="noConversion"/>
  </si>
  <si>
    <t>4800375878/100</t>
    <phoneticPr fontId="3" type="noConversion"/>
  </si>
  <si>
    <t>4800373312/300</t>
    <phoneticPr fontId="3" type="noConversion"/>
  </si>
  <si>
    <t>AZ #33-40</t>
    <phoneticPr fontId="3" type="noConversion"/>
  </si>
  <si>
    <t>4800385778/100</t>
    <phoneticPr fontId="3" type="noConversion"/>
  </si>
  <si>
    <t>26617M8301</t>
    <phoneticPr fontId="3" type="noConversion"/>
  </si>
  <si>
    <t>26813M8301</t>
    <phoneticPr fontId="3" type="noConversion"/>
  </si>
  <si>
    <t>26628M5001</t>
    <phoneticPr fontId="3" type="noConversion"/>
  </si>
  <si>
    <t>26702M5101</t>
    <phoneticPr fontId="3" type="noConversion"/>
  </si>
  <si>
    <t>4800380890/100</t>
    <phoneticPr fontId="3" type="noConversion"/>
  </si>
  <si>
    <t>26628M5001</t>
    <phoneticPr fontId="3" type="noConversion"/>
  </si>
  <si>
    <t>4800354113/100</t>
    <phoneticPr fontId="3" type="noConversion"/>
  </si>
  <si>
    <t>4800383332/100</t>
    <phoneticPr fontId="3" type="noConversion"/>
  </si>
  <si>
    <t>4800374911/100</t>
    <phoneticPr fontId="3" type="noConversion"/>
  </si>
  <si>
    <t>4800385778/100</t>
    <phoneticPr fontId="3" type="noConversion"/>
  </si>
  <si>
    <t>26627M5001</t>
    <phoneticPr fontId="3" type="noConversion"/>
  </si>
  <si>
    <t>260820006-1</t>
    <phoneticPr fontId="3" type="noConversion"/>
  </si>
  <si>
    <t>4800383332/100</t>
    <phoneticPr fontId="3" type="noConversion"/>
  </si>
  <si>
    <t>26630M5001</t>
    <phoneticPr fontId="3" type="noConversion"/>
  </si>
  <si>
    <t>4800373312/300</t>
    <phoneticPr fontId="3" type="noConversion"/>
  </si>
  <si>
    <t>260820007-2</t>
    <phoneticPr fontId="3" type="noConversion"/>
  </si>
  <si>
    <t>260820007-2</t>
    <phoneticPr fontId="3" type="noConversion"/>
  </si>
  <si>
    <t>4800383332/200</t>
    <phoneticPr fontId="3" type="noConversion"/>
  </si>
  <si>
    <t>4800356068/100</t>
    <phoneticPr fontId="3" type="noConversion"/>
  </si>
  <si>
    <t>26628M5001</t>
    <phoneticPr fontId="3" type="noConversion"/>
  </si>
  <si>
    <t>26630M5001</t>
    <phoneticPr fontId="3" type="noConversion"/>
  </si>
  <si>
    <t>26630M5001</t>
    <phoneticPr fontId="3" type="noConversion"/>
  </si>
  <si>
    <t>26701M5101</t>
    <phoneticPr fontId="3" type="noConversion"/>
  </si>
  <si>
    <t>26812M5101</t>
    <phoneticPr fontId="3" type="noConversion"/>
  </si>
  <si>
    <t>26814M5101</t>
    <phoneticPr fontId="3" type="noConversion"/>
  </si>
  <si>
    <t>26702M5101</t>
    <phoneticPr fontId="3" type="noConversion"/>
  </si>
  <si>
    <t>260821006-1</t>
    <phoneticPr fontId="3" type="noConversion"/>
  </si>
  <si>
    <t>4800383332/200</t>
    <phoneticPr fontId="3" type="noConversion"/>
  </si>
  <si>
    <t>4800383894/100</t>
    <phoneticPr fontId="3" type="noConversion"/>
  </si>
  <si>
    <t>4800383781/400</t>
    <phoneticPr fontId="3" type="noConversion"/>
  </si>
  <si>
    <t>4800356068/100</t>
    <phoneticPr fontId="3" type="noConversion"/>
  </si>
  <si>
    <t>4800384379/200</t>
    <phoneticPr fontId="3" type="noConversion"/>
  </si>
  <si>
    <t>26630M5001</t>
    <phoneticPr fontId="3" type="noConversion"/>
  </si>
  <si>
    <t>4800373312/300</t>
    <phoneticPr fontId="3" type="noConversion"/>
  </si>
  <si>
    <t>4800386769/100</t>
    <phoneticPr fontId="3" type="noConversion"/>
  </si>
  <si>
    <t>4800383332/100</t>
    <phoneticPr fontId="3" type="noConversion"/>
  </si>
  <si>
    <t>4800383332/100</t>
    <phoneticPr fontId="3" type="noConversion"/>
  </si>
  <si>
    <t>4800373312/300</t>
    <phoneticPr fontId="3" type="noConversion"/>
  </si>
  <si>
    <t>26625M8301</t>
    <phoneticPr fontId="3" type="noConversion"/>
  </si>
  <si>
    <t>4800380890/100</t>
    <phoneticPr fontId="3" type="noConversion"/>
  </si>
  <si>
    <t>4800382702/100</t>
    <phoneticPr fontId="3" type="noConversion"/>
  </si>
  <si>
    <t>AZ #25-40</t>
    <phoneticPr fontId="3" type="noConversion"/>
  </si>
  <si>
    <t>26617M8301</t>
    <phoneticPr fontId="3" type="noConversion"/>
  </si>
  <si>
    <t>26701M5001</t>
    <phoneticPr fontId="3" type="noConversion"/>
  </si>
  <si>
    <t>26702M5001</t>
    <phoneticPr fontId="3" type="noConversion"/>
  </si>
  <si>
    <t>26703M5001</t>
    <phoneticPr fontId="3" type="noConversion"/>
  </si>
  <si>
    <t>26702M5001</t>
    <phoneticPr fontId="3" type="noConversion"/>
  </si>
  <si>
    <t>26703M5001</t>
    <phoneticPr fontId="3" type="noConversion"/>
  </si>
  <si>
    <t>26401M5101</t>
    <phoneticPr fontId="3" type="noConversion"/>
  </si>
  <si>
    <t>4800380252/200</t>
    <phoneticPr fontId="3" type="noConversion"/>
  </si>
  <si>
    <t>4800376580/100</t>
    <phoneticPr fontId="3" type="noConversion"/>
  </si>
  <si>
    <t>4800375878/100</t>
    <phoneticPr fontId="3" type="noConversion"/>
  </si>
  <si>
    <t>260825006-1</t>
    <phoneticPr fontId="3" type="noConversion"/>
  </si>
  <si>
    <t>4800383894/100</t>
    <phoneticPr fontId="3" type="noConversion"/>
  </si>
  <si>
    <t>4800383781/400</t>
    <phoneticPr fontId="3" type="noConversion"/>
  </si>
  <si>
    <t>4800386769/100</t>
    <phoneticPr fontId="3" type="noConversion"/>
  </si>
  <si>
    <t>26703M5001</t>
    <phoneticPr fontId="3" type="noConversion"/>
  </si>
  <si>
    <t>26704M5001</t>
    <phoneticPr fontId="3" type="noConversion"/>
  </si>
  <si>
    <t>26704M5001</t>
    <phoneticPr fontId="3" type="noConversion"/>
  </si>
  <si>
    <t>26702M5101</t>
    <phoneticPr fontId="3" type="noConversion"/>
  </si>
  <si>
    <t>26703M5101</t>
    <phoneticPr fontId="3" type="noConversion"/>
  </si>
  <si>
    <t>4800383894/100</t>
    <phoneticPr fontId="3" type="noConversion"/>
  </si>
  <si>
    <t>4800386769/100</t>
    <phoneticPr fontId="3" type="noConversion"/>
  </si>
  <si>
    <t>4800384379/200</t>
    <phoneticPr fontId="3" type="noConversion"/>
  </si>
  <si>
    <t>4800386769/100</t>
    <phoneticPr fontId="3" type="noConversion"/>
  </si>
  <si>
    <r>
      <t>AZ</t>
    </r>
    <r>
      <rPr>
        <sz val="10"/>
        <color rgb="FFFF0000"/>
        <rFont val="細明體"/>
        <family val="3"/>
        <charset val="136"/>
      </rPr>
      <t>預留</t>
    </r>
    <r>
      <rPr>
        <sz val="10"/>
        <color rgb="FFFF0000"/>
        <rFont val="Arial"/>
        <family val="2"/>
      </rPr>
      <t>#33-40</t>
    </r>
    <phoneticPr fontId="3" type="noConversion"/>
  </si>
  <si>
    <t>26625M8301</t>
    <phoneticPr fontId="3" type="noConversion"/>
  </si>
  <si>
    <t>26704M5001</t>
    <phoneticPr fontId="3" type="noConversion"/>
  </si>
  <si>
    <t>26704M5001</t>
    <phoneticPr fontId="3" type="noConversion"/>
  </si>
  <si>
    <t>26705M5001</t>
    <phoneticPr fontId="3" type="noConversion"/>
  </si>
  <si>
    <t>26705M5001</t>
    <phoneticPr fontId="3" type="noConversion"/>
  </si>
  <si>
    <t>4800354113/100</t>
    <phoneticPr fontId="3" type="noConversion"/>
  </si>
  <si>
    <t>4800380252/200</t>
    <phoneticPr fontId="3" type="noConversion"/>
  </si>
  <si>
    <t>4800386769/100</t>
    <phoneticPr fontId="3" type="noConversion"/>
  </si>
  <si>
    <t>4800373312/300</t>
    <phoneticPr fontId="3" type="noConversion"/>
  </si>
  <si>
    <t>26815M5001</t>
    <phoneticPr fontId="3" type="noConversion"/>
  </si>
  <si>
    <t>26818M5001</t>
    <phoneticPr fontId="3" type="noConversion"/>
  </si>
  <si>
    <t>26820M5001</t>
    <phoneticPr fontId="3" type="noConversion"/>
  </si>
  <si>
    <t>26821M5101</t>
    <phoneticPr fontId="3" type="noConversion"/>
  </si>
  <si>
    <t>4800383332/200</t>
    <phoneticPr fontId="3" type="noConversion"/>
  </si>
  <si>
    <t>26816M5001</t>
    <phoneticPr fontId="3" type="noConversion"/>
  </si>
  <si>
    <t>26819M5001</t>
    <phoneticPr fontId="3" type="noConversion"/>
  </si>
  <si>
    <t>26821M5001</t>
    <phoneticPr fontId="3" type="noConversion"/>
  </si>
  <si>
    <t>26707M5001</t>
    <phoneticPr fontId="3" type="noConversion"/>
  </si>
  <si>
    <t>26817M5101</t>
    <phoneticPr fontId="3" type="noConversion"/>
  </si>
  <si>
    <t>26819M5101</t>
    <phoneticPr fontId="3" type="noConversion"/>
  </si>
  <si>
    <t>4800373312/300</t>
    <phoneticPr fontId="3" type="noConversion"/>
  </si>
  <si>
    <t>4800383332/200</t>
    <phoneticPr fontId="3" type="noConversion"/>
  </si>
  <si>
    <t>4800383894/100</t>
    <phoneticPr fontId="3" type="noConversion"/>
  </si>
  <si>
    <t>4800374911/100</t>
    <phoneticPr fontId="3" type="noConversion"/>
  </si>
  <si>
    <t>4800356068/100</t>
    <phoneticPr fontId="3" type="noConversion"/>
  </si>
  <si>
    <t>260828007-1</t>
    <phoneticPr fontId="3" type="noConversion"/>
  </si>
  <si>
    <t>4800383332/100</t>
    <phoneticPr fontId="3" type="noConversion"/>
  </si>
  <si>
    <t>4800373312/300</t>
    <phoneticPr fontId="3" type="noConversion"/>
  </si>
  <si>
    <t>26707M5001</t>
    <phoneticPr fontId="3" type="noConversion"/>
  </si>
  <si>
    <t>26708M5001</t>
    <phoneticPr fontId="3" type="noConversion"/>
  </si>
  <si>
    <t>26707M5001</t>
    <phoneticPr fontId="3" type="noConversion"/>
  </si>
  <si>
    <t>26708M5001</t>
    <phoneticPr fontId="3" type="noConversion"/>
  </si>
  <si>
    <t>26707M5101</t>
    <phoneticPr fontId="3" type="noConversion"/>
  </si>
  <si>
    <t>4800383332/100</t>
    <phoneticPr fontId="3" type="noConversion"/>
  </si>
  <si>
    <t>4800382702/100</t>
    <phoneticPr fontId="3" type="noConversion"/>
  </si>
  <si>
    <t>4800386769/100</t>
    <phoneticPr fontId="3" type="noConversion"/>
  </si>
  <si>
    <t>260831003-1</t>
    <phoneticPr fontId="3" type="noConversion"/>
  </si>
  <si>
    <t>26820M8301</t>
    <phoneticPr fontId="3" type="noConversion"/>
  </si>
  <si>
    <t>4800380890/100</t>
    <phoneticPr fontId="3" type="noConversion"/>
  </si>
  <si>
    <t>26702M8301</t>
    <phoneticPr fontId="3" type="noConversion"/>
  </si>
  <si>
    <t>4800386897/100</t>
    <phoneticPr fontId="3" type="noConversion"/>
  </si>
  <si>
    <t>26709M5001</t>
    <phoneticPr fontId="3" type="noConversion"/>
  </si>
  <si>
    <t>26709M5001</t>
    <phoneticPr fontId="3" type="noConversion"/>
  </si>
  <si>
    <t>26709M5001</t>
    <phoneticPr fontId="3" type="noConversion"/>
  </si>
  <si>
    <t>26708M5001</t>
    <phoneticPr fontId="3" type="noConversion"/>
  </si>
  <si>
    <t>26709M5001</t>
    <phoneticPr fontId="3" type="noConversion"/>
  </si>
  <si>
    <t>26707M5101</t>
    <phoneticPr fontId="3" type="noConversion"/>
  </si>
  <si>
    <t>26708M5101</t>
    <phoneticPr fontId="3" type="noConversion"/>
  </si>
  <si>
    <t>26708M5101</t>
    <phoneticPr fontId="3" type="noConversion"/>
  </si>
  <si>
    <t>26707M5101</t>
    <phoneticPr fontId="3" type="noConversion"/>
  </si>
  <si>
    <t>260902005-1</t>
    <phoneticPr fontId="3" type="noConversion"/>
  </si>
  <si>
    <t>4800383332/200</t>
    <phoneticPr fontId="3" type="noConversion"/>
  </si>
  <si>
    <t>4800383894/100</t>
    <phoneticPr fontId="3" type="noConversion"/>
  </si>
  <si>
    <t>4800374911/100</t>
    <phoneticPr fontId="3" type="noConversion"/>
  </si>
  <si>
    <t>4800383781/400</t>
    <phoneticPr fontId="3" type="noConversion"/>
  </si>
  <si>
    <t>4800386769/100</t>
    <phoneticPr fontId="3" type="noConversion"/>
  </si>
  <si>
    <t>4800384379/200</t>
    <phoneticPr fontId="3" type="noConversion"/>
  </si>
  <si>
    <t>4800383332/100</t>
    <phoneticPr fontId="3" type="noConversion"/>
  </si>
  <si>
    <t>4800386769/100</t>
    <phoneticPr fontId="3" type="noConversion"/>
  </si>
  <si>
    <t>26702M8301</t>
    <phoneticPr fontId="3" type="noConversion"/>
  </si>
  <si>
    <t>26708M5101</t>
    <phoneticPr fontId="3" type="noConversion"/>
  </si>
  <si>
    <t>260903001-1</t>
    <phoneticPr fontId="3" type="noConversion"/>
  </si>
  <si>
    <t>4800380890/100</t>
    <phoneticPr fontId="3" type="noConversion"/>
  </si>
  <si>
    <t>4800387815/100</t>
    <phoneticPr fontId="3" type="noConversion"/>
  </si>
  <si>
    <t>4800383332/100</t>
    <phoneticPr fontId="3" type="noConversion"/>
  </si>
  <si>
    <t>AZ #5-24</t>
    <phoneticPr fontId="3" type="noConversion"/>
  </si>
  <si>
    <t>4800373312/300</t>
    <phoneticPr fontId="3" type="noConversion"/>
  </si>
  <si>
    <t>260903003-1</t>
    <phoneticPr fontId="3" type="noConversion"/>
  </si>
  <si>
    <t>26827M5001</t>
    <phoneticPr fontId="3" type="noConversion"/>
  </si>
  <si>
    <t>26826M5101</t>
    <phoneticPr fontId="3" type="noConversion"/>
  </si>
  <si>
    <t>26831M5101</t>
    <phoneticPr fontId="3" type="noConversion"/>
  </si>
  <si>
    <t>26822M5001</t>
    <phoneticPr fontId="3" type="noConversion"/>
  </si>
  <si>
    <t>26830M5001</t>
    <phoneticPr fontId="3" type="noConversion"/>
  </si>
  <si>
    <t>26710M5001</t>
    <phoneticPr fontId="3" type="noConversion"/>
  </si>
  <si>
    <t>26711M5001</t>
    <phoneticPr fontId="3" type="noConversion"/>
  </si>
  <si>
    <t>26709M5101</t>
    <phoneticPr fontId="3" type="noConversion"/>
  </si>
  <si>
    <t>4800383332/200</t>
    <phoneticPr fontId="3" type="noConversion"/>
  </si>
  <si>
    <t>4800383894/100</t>
    <phoneticPr fontId="3" type="noConversion"/>
  </si>
  <si>
    <t>260904005-1</t>
    <phoneticPr fontId="3" type="noConversion"/>
  </si>
  <si>
    <t>4800383894/100</t>
    <phoneticPr fontId="3" type="noConversion"/>
  </si>
  <si>
    <t>4800386897/100</t>
    <phoneticPr fontId="3" type="noConversion"/>
  </si>
  <si>
    <t>4800374911/100</t>
    <phoneticPr fontId="3" type="noConversion"/>
  </si>
  <si>
    <t>4800356068/100</t>
    <phoneticPr fontId="3" type="noConversion"/>
  </si>
  <si>
    <t>4800384379/200</t>
    <phoneticPr fontId="3" type="noConversion"/>
  </si>
  <si>
    <t>4800386769/100</t>
    <phoneticPr fontId="3" type="noConversion"/>
  </si>
  <si>
    <t>26714M5001</t>
    <phoneticPr fontId="3" type="noConversion"/>
  </si>
  <si>
    <t>26711M5001</t>
    <phoneticPr fontId="3" type="noConversion"/>
  </si>
  <si>
    <t>26714M5001</t>
    <phoneticPr fontId="3" type="noConversion"/>
  </si>
  <si>
    <t>26710M5101</t>
    <phoneticPr fontId="3" type="noConversion"/>
  </si>
  <si>
    <t>4800383332/100</t>
    <phoneticPr fontId="3" type="noConversion"/>
  </si>
  <si>
    <t>4800386769/100</t>
    <phoneticPr fontId="3" type="noConversion"/>
  </si>
  <si>
    <t>4800373312/300</t>
    <phoneticPr fontId="3" type="noConversion"/>
  </si>
  <si>
    <t>4800387815/100</t>
    <phoneticPr fontId="3" type="noConversion"/>
  </si>
  <si>
    <t>4800385641/100</t>
    <phoneticPr fontId="3" type="noConversion"/>
  </si>
  <si>
    <t>26714M8301</t>
    <phoneticPr fontId="3" type="noConversion"/>
  </si>
  <si>
    <t>26712M5001</t>
    <phoneticPr fontId="3" type="noConversion"/>
  </si>
  <si>
    <t>26715M5001</t>
    <phoneticPr fontId="3" type="noConversion"/>
  </si>
  <si>
    <t>260908003-1</t>
    <phoneticPr fontId="3" type="noConversion"/>
  </si>
  <si>
    <t>4800387815/100</t>
    <phoneticPr fontId="3" type="noConversion"/>
  </si>
  <si>
    <t>260908002-1</t>
    <phoneticPr fontId="3" type="noConversion"/>
  </si>
  <si>
    <t>4800385641/100</t>
    <phoneticPr fontId="3" type="noConversion"/>
  </si>
  <si>
    <t>指定#33-40</t>
    <phoneticPr fontId="3" type="noConversion"/>
  </si>
  <si>
    <t>26905M5101</t>
    <phoneticPr fontId="3" type="noConversion"/>
  </si>
  <si>
    <t>4800383332/200</t>
    <phoneticPr fontId="3" type="noConversion"/>
  </si>
  <si>
    <t>4800383332/200</t>
    <phoneticPr fontId="3" type="noConversion"/>
  </si>
  <si>
    <t>4800374911/100</t>
    <phoneticPr fontId="3" type="noConversion"/>
  </si>
  <si>
    <t>26714M5001</t>
    <phoneticPr fontId="3" type="noConversion"/>
  </si>
  <si>
    <t>26716M5001</t>
    <phoneticPr fontId="3" type="noConversion"/>
  </si>
  <si>
    <t>26717M5001</t>
    <phoneticPr fontId="3" type="noConversion"/>
  </si>
  <si>
    <t>26712M5001</t>
    <phoneticPr fontId="3" type="noConversion"/>
  </si>
  <si>
    <t>26714M5001</t>
    <phoneticPr fontId="3" type="noConversion"/>
  </si>
  <si>
    <t>26715M5001</t>
    <phoneticPr fontId="3" type="noConversion"/>
  </si>
  <si>
    <t>26710M5101</t>
    <phoneticPr fontId="3" type="noConversion"/>
  </si>
  <si>
    <t>26709M5101</t>
    <phoneticPr fontId="3" type="noConversion"/>
  </si>
  <si>
    <t>4800384459/100</t>
    <phoneticPr fontId="3" type="noConversion"/>
  </si>
  <si>
    <t>4800374911/100</t>
    <phoneticPr fontId="3" type="noConversion"/>
  </si>
  <si>
    <t>4800383781/400</t>
    <phoneticPr fontId="3" type="noConversion"/>
  </si>
  <si>
    <t>4800387244/200</t>
    <phoneticPr fontId="3" type="noConversion"/>
  </si>
  <si>
    <t>4800384379/200</t>
    <phoneticPr fontId="3" type="noConversion"/>
  </si>
  <si>
    <t>正式料號</t>
    <phoneticPr fontId="3" type="noConversion"/>
  </si>
  <si>
    <t>PO用粉色是扣正式料號L1400241</t>
    <phoneticPr fontId="3" type="noConversion"/>
  </si>
  <si>
    <t>4800387244/200</t>
    <phoneticPr fontId="3" type="noConversion"/>
  </si>
  <si>
    <t>26717M5001</t>
    <phoneticPr fontId="3" type="noConversion"/>
  </si>
  <si>
    <t>26717M5001</t>
    <phoneticPr fontId="3" type="noConversion"/>
  </si>
  <si>
    <t>26715M5001</t>
    <phoneticPr fontId="3" type="noConversion"/>
  </si>
  <si>
    <t>26713M5101</t>
    <phoneticPr fontId="3" type="noConversion"/>
  </si>
  <si>
    <t>260910004-1</t>
    <phoneticPr fontId="3" type="noConversion"/>
  </si>
  <si>
    <t>4800373312/300</t>
    <phoneticPr fontId="3" type="noConversion"/>
  </si>
  <si>
    <t>4800387815/100</t>
    <phoneticPr fontId="3" type="noConversion"/>
  </si>
  <si>
    <t>4800354113/100</t>
    <phoneticPr fontId="3" type="noConversion"/>
  </si>
  <si>
    <t>4800383332/100</t>
    <phoneticPr fontId="3" type="noConversion"/>
  </si>
  <si>
    <t>4800373312/300</t>
    <phoneticPr fontId="3" type="noConversion"/>
  </si>
  <si>
    <t>4800376001/200</t>
    <phoneticPr fontId="3" type="noConversion"/>
  </si>
  <si>
    <t>4800387244/200</t>
    <phoneticPr fontId="3" type="noConversion"/>
  </si>
  <si>
    <t>26903M5001</t>
    <phoneticPr fontId="3" type="noConversion"/>
  </si>
  <si>
    <t>26904M5001</t>
    <phoneticPr fontId="3" type="noConversion"/>
  </si>
  <si>
    <t>4800383332/200</t>
    <phoneticPr fontId="3" type="noConversion"/>
  </si>
  <si>
    <t>4800384379/200</t>
    <phoneticPr fontId="3" type="noConversion"/>
  </si>
  <si>
    <t>26718M5001</t>
    <phoneticPr fontId="3" type="noConversion"/>
  </si>
  <si>
    <t>26901M5001</t>
    <phoneticPr fontId="3" type="noConversion"/>
  </si>
  <si>
    <t>26902M5001</t>
    <phoneticPr fontId="3" type="noConversion"/>
  </si>
  <si>
    <t>26905M5001</t>
    <phoneticPr fontId="3" type="noConversion"/>
  </si>
  <si>
    <t>26719M5001</t>
    <phoneticPr fontId="3" type="noConversion"/>
  </si>
  <si>
    <t>26718M5001</t>
    <phoneticPr fontId="3" type="noConversion"/>
  </si>
  <si>
    <t>26719M5001</t>
    <phoneticPr fontId="3" type="noConversion"/>
  </si>
  <si>
    <t>26713M5101</t>
    <phoneticPr fontId="3" type="noConversion"/>
  </si>
  <si>
    <t>4800376001/200</t>
    <phoneticPr fontId="3" type="noConversion"/>
  </si>
  <si>
    <t>4800383332/200</t>
    <phoneticPr fontId="3" type="noConversion"/>
  </si>
  <si>
    <t>4800386897/100</t>
    <phoneticPr fontId="3" type="noConversion"/>
  </si>
  <si>
    <t>4800374911/100</t>
    <phoneticPr fontId="3" type="noConversion"/>
  </si>
  <si>
    <t>4800383781/400</t>
    <phoneticPr fontId="3" type="noConversion"/>
  </si>
  <si>
    <t>4800384379/200</t>
    <phoneticPr fontId="3" type="noConversion"/>
  </si>
  <si>
    <t>4800354113/100</t>
    <phoneticPr fontId="3" type="noConversion"/>
  </si>
  <si>
    <t>4800383332/100</t>
    <phoneticPr fontId="3" type="noConversion"/>
  </si>
  <si>
    <t>4800376001/200</t>
    <phoneticPr fontId="3" type="noConversion"/>
  </si>
  <si>
    <t>4800387244/200</t>
    <phoneticPr fontId="3" type="noConversion"/>
  </si>
  <si>
    <t>26717M5001</t>
    <phoneticPr fontId="3" type="noConversion"/>
  </si>
  <si>
    <t>26719M5001</t>
    <phoneticPr fontId="3" type="noConversion"/>
  </si>
  <si>
    <t>26722M5001</t>
    <phoneticPr fontId="3" type="noConversion"/>
  </si>
  <si>
    <t>26719M5001</t>
    <phoneticPr fontId="3" type="noConversion"/>
  </si>
  <si>
    <t>26714M5101</t>
    <phoneticPr fontId="3" type="noConversion"/>
  </si>
  <si>
    <t>4800354113/100</t>
    <phoneticPr fontId="3" type="noConversion"/>
  </si>
  <si>
    <t>4800387244/200</t>
    <phoneticPr fontId="3" type="noConversion"/>
  </si>
  <si>
    <t>4800387815/100</t>
    <phoneticPr fontId="3" type="noConversion"/>
  </si>
  <si>
    <t>4800385641/100</t>
    <phoneticPr fontId="3" type="noConversion"/>
  </si>
  <si>
    <t>4800385641/100</t>
    <phoneticPr fontId="3" type="noConversion"/>
  </si>
  <si>
    <t>26714M8301</t>
    <phoneticPr fontId="3" type="noConversion"/>
  </si>
  <si>
    <t>26901M8301</t>
    <phoneticPr fontId="3" type="noConversion"/>
  </si>
  <si>
    <t>26723M5001</t>
    <phoneticPr fontId="3" type="noConversion"/>
  </si>
  <si>
    <t>4800387815/100</t>
    <phoneticPr fontId="3" type="noConversion"/>
  </si>
  <si>
    <t>4800383332/200</t>
    <phoneticPr fontId="3" type="noConversion"/>
  </si>
  <si>
    <t>4800384379/200</t>
    <phoneticPr fontId="3" type="noConversion"/>
  </si>
  <si>
    <t>26725M5001</t>
    <phoneticPr fontId="3" type="noConversion"/>
  </si>
  <si>
    <t>26725M5001</t>
    <phoneticPr fontId="3" type="noConversion"/>
  </si>
  <si>
    <t>26721M5001</t>
    <phoneticPr fontId="3" type="noConversion"/>
  </si>
  <si>
    <t>26714M5101</t>
    <phoneticPr fontId="3" type="noConversion"/>
  </si>
  <si>
    <t>26905M5101</t>
    <phoneticPr fontId="3" type="noConversion"/>
  </si>
  <si>
    <t>26714M5101</t>
    <phoneticPr fontId="3" type="noConversion"/>
  </si>
  <si>
    <t>260916007-1</t>
    <phoneticPr fontId="3" type="noConversion"/>
  </si>
  <si>
    <t>4800386897/100</t>
    <phoneticPr fontId="3" type="noConversion"/>
  </si>
  <si>
    <t>4800384459/100</t>
    <phoneticPr fontId="3" type="noConversion"/>
  </si>
  <si>
    <t>4800383781/400</t>
    <phoneticPr fontId="3" type="noConversion"/>
  </si>
  <si>
    <t>4800376001/200</t>
    <phoneticPr fontId="3" type="noConversion"/>
  </si>
  <si>
    <t>26725M5001</t>
    <phoneticPr fontId="3" type="noConversion"/>
  </si>
  <si>
    <t>26715M5101</t>
    <phoneticPr fontId="3" type="noConversion"/>
  </si>
  <si>
    <t>4800387815/100</t>
    <phoneticPr fontId="3" type="noConversion"/>
  </si>
  <si>
    <t>4800387244/200</t>
    <phoneticPr fontId="3" type="noConversion"/>
  </si>
  <si>
    <t>26908M5001</t>
    <phoneticPr fontId="3" type="noConversion"/>
  </si>
  <si>
    <t>26911M5001</t>
    <phoneticPr fontId="3" type="noConversion"/>
  </si>
  <si>
    <t>26912M5001</t>
    <phoneticPr fontId="3" type="noConversion"/>
  </si>
  <si>
    <t>AZ #5-24</t>
    <phoneticPr fontId="3" type="noConversion"/>
  </si>
  <si>
    <t>AZ #9-20</t>
    <phoneticPr fontId="3" type="noConversion"/>
  </si>
  <si>
    <t>26910M5101</t>
    <phoneticPr fontId="3" type="noConversion"/>
  </si>
  <si>
    <t>4800383332/200</t>
    <phoneticPr fontId="3" type="noConversion"/>
  </si>
  <si>
    <t>26906M5001</t>
    <phoneticPr fontId="3" type="noConversion"/>
  </si>
  <si>
    <t>26909M5001</t>
    <phoneticPr fontId="3" type="noConversion"/>
  </si>
  <si>
    <t>26910M5001</t>
    <phoneticPr fontId="3" type="noConversion"/>
  </si>
  <si>
    <t>26908M5101</t>
    <phoneticPr fontId="3" type="noConversion"/>
  </si>
  <si>
    <t>26715M5101</t>
    <phoneticPr fontId="3" type="noConversion"/>
  </si>
  <si>
    <t>4800376001/200</t>
    <phoneticPr fontId="3" type="noConversion"/>
  </si>
  <si>
    <t>4800383332/200</t>
    <phoneticPr fontId="3" type="noConversion"/>
  </si>
  <si>
    <t>4800383894/100</t>
    <phoneticPr fontId="3" type="noConversion"/>
  </si>
  <si>
    <t>4800374911/100</t>
    <phoneticPr fontId="3" type="noConversion"/>
  </si>
  <si>
    <t>260918006-1</t>
    <phoneticPr fontId="3" type="noConversion"/>
  </si>
  <si>
    <t>4800386757/100</t>
    <phoneticPr fontId="3" type="noConversion"/>
  </si>
  <si>
    <t>4800356068/100</t>
    <phoneticPr fontId="3" type="noConversion"/>
  </si>
  <si>
    <t>4800383332/100</t>
    <phoneticPr fontId="3" type="noConversion"/>
  </si>
  <si>
    <t>4800376001/200</t>
    <phoneticPr fontId="3" type="noConversion"/>
  </si>
  <si>
    <t>4800387244/200</t>
    <phoneticPr fontId="3" type="noConversion"/>
  </si>
  <si>
    <t>26729M5001</t>
    <phoneticPr fontId="3" type="noConversion"/>
  </si>
  <si>
    <t>26715M5101</t>
    <phoneticPr fontId="3" type="noConversion"/>
  </si>
  <si>
    <t>26716M5101</t>
    <phoneticPr fontId="3" type="noConversion"/>
  </si>
  <si>
    <t>4800383332/100</t>
    <phoneticPr fontId="3" type="noConversion"/>
  </si>
  <si>
    <t>260921004-1</t>
    <phoneticPr fontId="3" type="noConversion"/>
  </si>
  <si>
    <t>26728M5001</t>
    <phoneticPr fontId="3" type="noConversion"/>
  </si>
  <si>
    <t>4800387013/100</t>
    <phoneticPr fontId="3" type="noConversion"/>
  </si>
  <si>
    <t>4800387244/200</t>
    <phoneticPr fontId="3" type="noConversion"/>
  </si>
  <si>
    <t>4800376001/200</t>
    <phoneticPr fontId="3" type="noConversion"/>
  </si>
  <si>
    <t>4800387815/100</t>
    <phoneticPr fontId="3" type="noConversion"/>
  </si>
  <si>
    <t>26728M8301</t>
    <phoneticPr fontId="3" type="noConversion"/>
  </si>
  <si>
    <t>26731M5001</t>
    <phoneticPr fontId="3" type="noConversion"/>
  </si>
  <si>
    <t>26730M5001</t>
    <phoneticPr fontId="3" type="noConversion"/>
  </si>
  <si>
    <t>26728M5001</t>
    <phoneticPr fontId="3" type="noConversion"/>
  </si>
  <si>
    <t>26729M5001</t>
    <phoneticPr fontId="3" type="noConversion"/>
  </si>
  <si>
    <t>26726M5001</t>
    <phoneticPr fontId="3" type="noConversion"/>
  </si>
  <si>
    <t>26716M5101</t>
    <phoneticPr fontId="3" type="noConversion"/>
  </si>
  <si>
    <t>4800387815/100</t>
    <phoneticPr fontId="3" type="noConversion"/>
  </si>
  <si>
    <t>4800383332/200</t>
    <phoneticPr fontId="3" type="noConversion"/>
  </si>
  <si>
    <t>4800383894/100</t>
    <phoneticPr fontId="3" type="noConversion"/>
  </si>
  <si>
    <t>4800386897/100</t>
    <phoneticPr fontId="3" type="noConversion"/>
  </si>
  <si>
    <t>4800374911/100</t>
    <phoneticPr fontId="3" type="noConversion"/>
  </si>
  <si>
    <t>4800384379/200</t>
    <phoneticPr fontId="3" type="noConversion"/>
  </si>
  <si>
    <t>4800387244/200</t>
    <phoneticPr fontId="3" type="noConversion"/>
  </si>
  <si>
    <t>4800387244/200</t>
    <phoneticPr fontId="3" type="noConversion"/>
  </si>
  <si>
    <t>4800376001/200</t>
    <phoneticPr fontId="3" type="noConversion"/>
  </si>
  <si>
    <t>4800383332/200</t>
    <phoneticPr fontId="3" type="noConversion"/>
  </si>
  <si>
    <t>26731M5001</t>
    <phoneticPr fontId="3" type="noConversion"/>
  </si>
  <si>
    <t>26801M5001</t>
    <phoneticPr fontId="3" type="noConversion"/>
  </si>
  <si>
    <t>26801M5001</t>
    <phoneticPr fontId="3" type="noConversion"/>
  </si>
  <si>
    <t>26731M5001</t>
    <phoneticPr fontId="3" type="noConversion"/>
  </si>
  <si>
    <t>26716M5101</t>
    <phoneticPr fontId="3" type="noConversion"/>
  </si>
  <si>
    <t>26720M5101</t>
    <phoneticPr fontId="3" type="noConversion"/>
  </si>
  <si>
    <t>4800387815/100</t>
    <phoneticPr fontId="3" type="noConversion"/>
  </si>
  <si>
    <t>4800354113/100</t>
    <phoneticPr fontId="3" type="noConversion"/>
  </si>
  <si>
    <t>4800376001/200</t>
    <phoneticPr fontId="3" type="noConversion"/>
  </si>
  <si>
    <t>4800376001/200</t>
    <phoneticPr fontId="3" type="noConversion"/>
  </si>
  <si>
    <t>4800383332/200</t>
    <phoneticPr fontId="3" type="noConversion"/>
  </si>
  <si>
    <t>4800383894/100</t>
    <phoneticPr fontId="3" type="noConversion"/>
  </si>
  <si>
    <t>4800386897/100</t>
    <phoneticPr fontId="3" type="noConversion"/>
  </si>
  <si>
    <t>4800384459/100</t>
    <phoneticPr fontId="3" type="noConversion"/>
  </si>
  <si>
    <t>4800374911/100</t>
    <phoneticPr fontId="3" type="noConversion"/>
  </si>
  <si>
    <t>4800387244/200</t>
    <phoneticPr fontId="3" type="noConversion"/>
  </si>
  <si>
    <t>4800386757/100</t>
    <phoneticPr fontId="3" type="noConversion"/>
  </si>
  <si>
    <t>4800384379/200</t>
    <phoneticPr fontId="3" type="noConversion"/>
  </si>
  <si>
    <t>4800387244/200</t>
    <phoneticPr fontId="3" type="noConversion"/>
  </si>
  <si>
    <t>26802M5001</t>
    <phoneticPr fontId="3" type="noConversion"/>
  </si>
  <si>
    <t>26802M5001</t>
    <phoneticPr fontId="3" type="noConversion"/>
  </si>
  <si>
    <t>26720M5101</t>
    <phoneticPr fontId="3" type="noConversion"/>
  </si>
  <si>
    <t>26721M5101</t>
    <phoneticPr fontId="3" type="noConversion"/>
  </si>
  <si>
    <t>4800387013/100</t>
    <phoneticPr fontId="3" type="noConversion"/>
  </si>
  <si>
    <r>
      <t>18</t>
    </r>
    <r>
      <rPr>
        <sz val="10"/>
        <color theme="1"/>
        <rFont val="新細明體"/>
        <family val="1"/>
        <charset val="136"/>
      </rPr>
      <t>廠</t>
    </r>
    <r>
      <rPr>
        <sz val="10"/>
        <color theme="1"/>
        <rFont val="Arial"/>
        <family val="2"/>
      </rPr>
      <t>P8</t>
    </r>
    <phoneticPr fontId="3" type="noConversion"/>
  </si>
  <si>
    <t>26918M5101</t>
    <phoneticPr fontId="3" type="noConversion"/>
  </si>
  <si>
    <t>4800383894/100</t>
    <phoneticPr fontId="3" type="noConversion"/>
  </si>
  <si>
    <t>4800376001/200</t>
    <phoneticPr fontId="3" type="noConversion"/>
  </si>
  <si>
    <t>26730M8301</t>
    <phoneticPr fontId="3" type="noConversion"/>
  </si>
  <si>
    <t>26914M8301</t>
    <phoneticPr fontId="3" type="noConversion"/>
  </si>
  <si>
    <t>26804M5001</t>
    <phoneticPr fontId="3" type="noConversion"/>
  </si>
  <si>
    <t>26805M5001</t>
    <phoneticPr fontId="3" type="noConversion"/>
  </si>
  <si>
    <t>26806M5001</t>
    <phoneticPr fontId="3" type="noConversion"/>
  </si>
  <si>
    <t>4800385641/100</t>
    <phoneticPr fontId="3" type="noConversion"/>
  </si>
  <si>
    <t>26913M5001</t>
    <phoneticPr fontId="3" type="noConversion"/>
  </si>
  <si>
    <t>AZ #9-24</t>
    <phoneticPr fontId="3" type="noConversion"/>
  </si>
  <si>
    <t>26916M5001</t>
    <phoneticPr fontId="3" type="noConversion"/>
  </si>
  <si>
    <t>4800387601/100</t>
    <phoneticPr fontId="3" type="noConversion"/>
  </si>
  <si>
    <t>4800384379/200</t>
    <phoneticPr fontId="3" type="noConversion"/>
  </si>
  <si>
    <t>26915M5001</t>
    <phoneticPr fontId="3" type="noConversion"/>
  </si>
  <si>
    <t>26805M5001</t>
    <phoneticPr fontId="3" type="noConversion"/>
  </si>
  <si>
    <t>26917M5001</t>
    <phoneticPr fontId="3" type="noConversion"/>
  </si>
  <si>
    <t>26805M5001</t>
    <phoneticPr fontId="3" type="noConversion"/>
  </si>
  <si>
    <t>26720M5101</t>
    <phoneticPr fontId="3" type="noConversion"/>
  </si>
  <si>
    <t>260930004-1</t>
    <phoneticPr fontId="3" type="noConversion"/>
  </si>
  <si>
    <t>260930004-1</t>
    <phoneticPr fontId="3" type="noConversion"/>
  </si>
  <si>
    <t>4800383332/200</t>
    <phoneticPr fontId="3" type="noConversion"/>
  </si>
  <si>
    <t>4800387601/100</t>
    <phoneticPr fontId="3" type="noConversion"/>
  </si>
  <si>
    <t>260930005-1</t>
    <phoneticPr fontId="3" type="noConversion"/>
  </si>
  <si>
    <t>4800383894/100</t>
    <phoneticPr fontId="3" type="noConversion"/>
  </si>
  <si>
    <t>4800384459/100</t>
    <phoneticPr fontId="3" type="noConversion"/>
  </si>
  <si>
    <t>4800386757/100</t>
    <phoneticPr fontId="3" type="noConversion"/>
  </si>
  <si>
    <t>4800390179/100</t>
    <phoneticPr fontId="3" type="noConversion"/>
  </si>
  <si>
    <t>4800387815/100</t>
    <phoneticPr fontId="3" type="noConversion"/>
  </si>
  <si>
    <t>4800376001/200</t>
    <phoneticPr fontId="3" type="noConversion"/>
  </si>
  <si>
    <t>4800390179/100</t>
    <phoneticPr fontId="3" type="noConversion"/>
  </si>
  <si>
    <t>26730M8301</t>
    <phoneticPr fontId="3" type="noConversion"/>
  </si>
  <si>
    <t>26722M5101</t>
    <phoneticPr fontId="3" type="noConversion"/>
  </si>
  <si>
    <t>4800387013/100</t>
    <phoneticPr fontId="3" type="noConversion"/>
  </si>
  <si>
    <t>4800387601/100</t>
    <phoneticPr fontId="3" type="noConversion"/>
  </si>
  <si>
    <t>4800387601/100</t>
    <phoneticPr fontId="3" type="noConversion"/>
  </si>
  <si>
    <t>26807M5001</t>
    <phoneticPr fontId="3" type="noConversion"/>
  </si>
  <si>
    <t>26919M5001</t>
    <phoneticPr fontId="3" type="noConversion"/>
  </si>
  <si>
    <t>26921M5001</t>
    <phoneticPr fontId="3" type="noConversion"/>
  </si>
  <si>
    <t>26923M5001</t>
    <phoneticPr fontId="3" type="noConversion"/>
  </si>
  <si>
    <t>26924M5001</t>
    <phoneticPr fontId="3" type="noConversion"/>
  </si>
  <si>
    <t>26925M5001</t>
    <phoneticPr fontId="3" type="noConversion"/>
  </si>
  <si>
    <t>26722M5101</t>
    <phoneticPr fontId="3" type="noConversion"/>
  </si>
  <si>
    <t>26722M5101</t>
    <phoneticPr fontId="3" type="noConversion"/>
  </si>
  <si>
    <t>4800376001/200</t>
    <phoneticPr fontId="3" type="noConversion"/>
  </si>
  <si>
    <t>4800387601/100</t>
    <phoneticPr fontId="3" type="noConversion"/>
  </si>
  <si>
    <t>4800383894/100</t>
    <phoneticPr fontId="3" type="noConversion"/>
  </si>
  <si>
    <t>261002004-1</t>
    <phoneticPr fontId="3" type="noConversion"/>
  </si>
  <si>
    <t>4800383894/100</t>
    <phoneticPr fontId="3" type="noConversion"/>
  </si>
  <si>
    <t>4800374911/100</t>
    <phoneticPr fontId="3" type="noConversion"/>
  </si>
  <si>
    <t>4800389373/100</t>
    <phoneticPr fontId="3" type="noConversion"/>
  </si>
  <si>
    <t>4800384379/200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</si>
</sst>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m/d;@"/>
    <numFmt numFmtId="177" formatCode="m/d/yyyy"/>
    <numFmt numFmtId="178" formatCode="0_);[Red]\(0\)"/>
  </numFmts>
  <fonts count="33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3"/>
      <charset val="136"/>
      <scheme val="minor"/>
    </font>
    <font>
      <sz val="10"/>
      <color theme="1"/>
      <name val="新細明體"/>
      <family val="2"/>
      <scheme val="minor"/>
    </font>
    <font>
      <sz val="10"/>
      <name val="新細明體"/>
      <family val="2"/>
      <scheme val="minor"/>
    </font>
    <font>
      <sz val="10"/>
      <name val="新細明體"/>
      <family val="1"/>
      <charset val="136"/>
      <scheme val="minor"/>
    </font>
    <font>
      <sz val="10"/>
      <color theme="1"/>
      <name val="細明體"/>
      <family val="3"/>
      <charset val="136"/>
    </font>
    <font>
      <b/>
      <sz val="10"/>
      <color theme="1"/>
      <name val="新細明體"/>
      <family val="1"/>
      <charset val="136"/>
    </font>
    <font>
      <b/>
      <sz val="10"/>
      <name val="新細明體"/>
      <family val="1"/>
      <charset val="136"/>
    </font>
    <font>
      <b/>
      <sz val="10"/>
      <color theme="1"/>
      <name val="Arial"/>
      <family val="2"/>
    </font>
    <font>
      <b/>
      <sz val="9"/>
      <color theme="1"/>
      <name val="細明體"/>
      <family val="3"/>
      <charset val="136"/>
    </font>
    <font>
      <b/>
      <sz val="10"/>
      <color theme="1"/>
      <name val="細明體"/>
      <family val="3"/>
      <charset val="136"/>
    </font>
    <font>
      <sz val="10"/>
      <name val="新細明體"/>
      <family val="1"/>
      <charset val="136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sz val="10"/>
      <color theme="1"/>
      <name val="新細明體"/>
      <family val="1"/>
      <charset val="136"/>
    </font>
    <font>
      <strike/>
      <sz val="10"/>
      <color theme="1"/>
      <name val="新細明體"/>
      <family val="1"/>
      <charset val="136"/>
    </font>
    <font>
      <strike/>
      <sz val="10"/>
      <name val="新細明體"/>
      <family val="1"/>
      <charset val="136"/>
    </font>
    <font>
      <strike/>
      <sz val="10"/>
      <color theme="1"/>
      <name val="Arial"/>
      <family val="2"/>
    </font>
    <font>
      <strike/>
      <sz val="10"/>
      <name val="Arial"/>
      <family val="2"/>
    </font>
    <font>
      <sz val="10"/>
      <color rgb="FFFF0000"/>
      <name val="細明體"/>
      <family val="3"/>
      <charset val="136"/>
    </font>
    <font>
      <sz val="10"/>
      <name val="細明體"/>
      <family val="3"/>
      <charset val="136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rgb="FFFF0000"/>
      <name val="新細明體"/>
      <family val="1"/>
      <charset val="136"/>
    </font>
    <font>
      <sz val="10"/>
      <color rgb="FFFF00FF"/>
      <name val="Arial"/>
      <family val="2"/>
    </font>
    <font>
      <sz val="10"/>
      <color rgb="FFFF00FF"/>
      <name val="細明體"/>
      <family val="3"/>
      <charset val="136"/>
    </font>
  </fonts>
  <fills count="2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4" fillId="0" borderId="0"/>
    <xf numFmtId="0" fontId="14" fillId="0" borderId="0"/>
  </cellStyleXfs>
  <cellXfs count="214">
    <xf numFmtId="0" fontId="0" fillId="0" borderId="0" xfId="0"/>
    <xf numFmtId="176" fontId="2" fillId="2" borderId="1" xfId="0" applyNumberFormat="1" applyFont="1" applyFill="1" applyBorder="1" applyAlignment="1">
      <alignment vertical="center" shrinkToFit="1"/>
    </xf>
    <xf numFmtId="176" fontId="2" fillId="2" borderId="2" xfId="0" applyNumberFormat="1" applyFont="1" applyFill="1" applyBorder="1" applyAlignment="1">
      <alignment vertical="center" shrinkToFit="1"/>
    </xf>
    <xf numFmtId="176" fontId="4" fillId="3" borderId="3" xfId="0" applyNumberFormat="1" applyFont="1" applyFill="1" applyBorder="1" applyAlignment="1">
      <alignment horizontal="center" vertical="center"/>
    </xf>
    <xf numFmtId="177" fontId="6" fillId="3" borderId="4" xfId="0" applyNumberFormat="1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76" fontId="8" fillId="2" borderId="3" xfId="0" applyNumberFormat="1" applyFont="1" applyFill="1" applyBorder="1" applyAlignment="1">
      <alignment horizontal="center" vertical="center"/>
    </xf>
    <xf numFmtId="176" fontId="9" fillId="2" borderId="3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78" fontId="8" fillId="2" borderId="3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177" fontId="6" fillId="3" borderId="5" xfId="0" applyNumberFormat="1" applyFont="1" applyFill="1" applyBorder="1" applyAlignment="1">
      <alignment vertical="center" wrapText="1"/>
    </xf>
    <xf numFmtId="0" fontId="10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77" fontId="14" fillId="0" borderId="0" xfId="0" applyNumberFormat="1" applyFont="1" applyAlignment="1">
      <alignment horizontal="center"/>
    </xf>
    <xf numFmtId="176" fontId="2" fillId="4" borderId="3" xfId="0" applyNumberFormat="1" applyFont="1" applyFill="1" applyBorder="1" applyAlignment="1">
      <alignment horizontal="center" shrinkToFit="1"/>
    </xf>
    <xf numFmtId="0" fontId="2" fillId="4" borderId="3" xfId="0" applyFont="1" applyFill="1" applyBorder="1" applyAlignment="1">
      <alignment horizontal="center" shrinkToFit="1"/>
    </xf>
    <xf numFmtId="0" fontId="13" fillId="4" borderId="3" xfId="0" applyFont="1" applyFill="1" applyBorder="1" applyAlignment="1">
      <alignment horizontal="center" shrinkToFit="1"/>
    </xf>
    <xf numFmtId="178" fontId="2" fillId="4" borderId="3" xfId="0" applyNumberFormat="1" applyFont="1" applyFill="1" applyBorder="1" applyAlignment="1">
      <alignment horizontal="center" shrinkToFit="1"/>
    </xf>
    <xf numFmtId="176" fontId="2" fillId="5" borderId="3" xfId="0" applyNumberFormat="1" applyFont="1" applyFill="1" applyBorder="1" applyAlignment="1">
      <alignment horizontal="center" shrinkToFit="1"/>
    </xf>
    <xf numFmtId="0" fontId="2" fillId="5" borderId="3" xfId="0" applyFont="1" applyFill="1" applyBorder="1" applyAlignment="1">
      <alignment horizontal="center" shrinkToFit="1"/>
    </xf>
    <xf numFmtId="178" fontId="2" fillId="5" borderId="3" xfId="0" applyNumberFormat="1" applyFont="1" applyFill="1" applyBorder="1" applyAlignment="1">
      <alignment horizontal="center" shrinkToFit="1"/>
    </xf>
    <xf numFmtId="176" fontId="2" fillId="6" borderId="3" xfId="0" applyNumberFormat="1" applyFont="1" applyFill="1" applyBorder="1" applyAlignment="1">
      <alignment horizontal="center" shrinkToFit="1"/>
    </xf>
    <xf numFmtId="0" fontId="2" fillId="6" borderId="3" xfId="0" applyFont="1" applyFill="1" applyBorder="1" applyAlignment="1">
      <alignment horizontal="center" shrinkToFit="1"/>
    </xf>
    <xf numFmtId="0" fontId="13" fillId="6" borderId="3" xfId="0" applyFont="1" applyFill="1" applyBorder="1" applyAlignment="1">
      <alignment horizontal="center" shrinkToFit="1"/>
    </xf>
    <xf numFmtId="178" fontId="2" fillId="6" borderId="3" xfId="0" applyNumberFormat="1" applyFont="1" applyFill="1" applyBorder="1" applyAlignment="1">
      <alignment horizontal="center" shrinkToFit="1"/>
    </xf>
    <xf numFmtId="176" fontId="2" fillId="7" borderId="3" xfId="0" applyNumberFormat="1" applyFont="1" applyFill="1" applyBorder="1" applyAlignment="1">
      <alignment horizontal="center" shrinkToFit="1"/>
    </xf>
    <xf numFmtId="0" fontId="2" fillId="7" borderId="3" xfId="0" applyFont="1" applyFill="1" applyBorder="1" applyAlignment="1">
      <alignment horizontal="center" shrinkToFit="1"/>
    </xf>
    <xf numFmtId="178" fontId="2" fillId="7" borderId="3" xfId="0" applyNumberFormat="1" applyFont="1" applyFill="1" applyBorder="1" applyAlignment="1">
      <alignment horizontal="center" shrinkToFit="1"/>
    </xf>
    <xf numFmtId="0" fontId="14" fillId="5" borderId="3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0" fontId="14" fillId="4" borderId="3" xfId="0" applyFont="1" applyFill="1" applyBorder="1" applyAlignment="1">
      <alignment horizontal="center" shrinkToFit="1"/>
    </xf>
    <xf numFmtId="0" fontId="14" fillId="7" borderId="3" xfId="0" applyFont="1" applyFill="1" applyBorder="1" applyAlignment="1">
      <alignment horizontal="center" shrinkToFit="1"/>
    </xf>
    <xf numFmtId="176" fontId="2" fillId="8" borderId="3" xfId="0" applyNumberFormat="1" applyFont="1" applyFill="1" applyBorder="1" applyAlignment="1">
      <alignment horizontal="center" shrinkToFit="1"/>
    </xf>
    <xf numFmtId="0" fontId="2" fillId="8" borderId="3" xfId="0" applyFont="1" applyFill="1" applyBorder="1" applyAlignment="1">
      <alignment horizontal="center" shrinkToFit="1"/>
    </xf>
    <xf numFmtId="178" fontId="2" fillId="8" borderId="3" xfId="0" applyNumberFormat="1" applyFont="1" applyFill="1" applyBorder="1" applyAlignment="1">
      <alignment horizontal="center" shrinkToFit="1"/>
    </xf>
    <xf numFmtId="178" fontId="16" fillId="4" borderId="3" xfId="0" applyNumberFormat="1" applyFont="1" applyFill="1" applyBorder="1" applyAlignment="1">
      <alignment horizontal="center" shrinkToFit="1"/>
    </xf>
    <xf numFmtId="176" fontId="2" fillId="0" borderId="3" xfId="0" applyNumberFormat="1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178" fontId="2" fillId="0" borderId="3" xfId="0" applyNumberFormat="1" applyFont="1" applyBorder="1" applyAlignment="1">
      <alignment horizontal="center" shrinkToFit="1"/>
    </xf>
    <xf numFmtId="176" fontId="2" fillId="9" borderId="1" xfId="0" applyNumberFormat="1" applyFont="1" applyFill="1" applyBorder="1" applyAlignment="1">
      <alignment vertical="center" shrinkToFit="1"/>
    </xf>
    <xf numFmtId="176" fontId="17" fillId="9" borderId="2" xfId="0" applyNumberFormat="1" applyFont="1" applyFill="1" applyBorder="1" applyAlignment="1">
      <alignment vertical="center"/>
    </xf>
    <xf numFmtId="176" fontId="2" fillId="9" borderId="2" xfId="0" applyNumberFormat="1" applyFont="1" applyFill="1" applyBorder="1" applyAlignment="1">
      <alignment vertical="center" shrinkToFit="1"/>
    </xf>
    <xf numFmtId="0" fontId="2" fillId="0" borderId="0" xfId="0" applyFont="1" applyFill="1" applyBorder="1" applyAlignment="1">
      <alignment horizontal="center"/>
    </xf>
    <xf numFmtId="176" fontId="8" fillId="9" borderId="3" xfId="0" applyNumberFormat="1" applyFont="1" applyFill="1" applyBorder="1" applyAlignment="1">
      <alignment horizontal="center" vertical="center" shrinkToFit="1"/>
    </xf>
    <xf numFmtId="176" fontId="9" fillId="9" borderId="3" xfId="0" applyNumberFormat="1" applyFont="1" applyFill="1" applyBorder="1" applyAlignment="1">
      <alignment horizontal="center" vertical="center" shrinkToFit="1"/>
    </xf>
    <xf numFmtId="0" fontId="10" fillId="9" borderId="3" xfId="0" applyFont="1" applyFill="1" applyBorder="1" applyAlignment="1">
      <alignment horizontal="center" vertical="center" shrinkToFit="1"/>
    </xf>
    <xf numFmtId="0" fontId="8" fillId="9" borderId="3" xfId="0" applyFont="1" applyFill="1" applyBorder="1" applyAlignment="1">
      <alignment horizontal="center" vertical="center" shrinkToFit="1"/>
    </xf>
    <xf numFmtId="0" fontId="8" fillId="10" borderId="3" xfId="0" applyFont="1" applyFill="1" applyBorder="1" applyAlignment="1">
      <alignment horizontal="center" vertical="center" shrinkToFit="1"/>
    </xf>
    <xf numFmtId="178" fontId="8" fillId="9" borderId="3" xfId="0" applyNumberFormat="1" applyFont="1" applyFill="1" applyBorder="1" applyAlignment="1">
      <alignment horizontal="center" vertical="center" shrinkToFit="1"/>
    </xf>
    <xf numFmtId="177" fontId="6" fillId="3" borderId="5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4" fillId="8" borderId="3" xfId="0" applyFont="1" applyFill="1" applyBorder="1" applyAlignment="1">
      <alignment horizontal="center" shrinkToFit="1"/>
    </xf>
    <xf numFmtId="178" fontId="16" fillId="5" borderId="3" xfId="0" applyNumberFormat="1" applyFont="1" applyFill="1" applyBorder="1" applyAlignment="1">
      <alignment horizontal="center" shrinkToFit="1"/>
    </xf>
    <xf numFmtId="0" fontId="15" fillId="8" borderId="3" xfId="0" applyFont="1" applyFill="1" applyBorder="1" applyAlignment="1">
      <alignment horizontal="center" shrinkToFit="1"/>
    </xf>
    <xf numFmtId="178" fontId="16" fillId="7" borderId="3" xfId="0" applyNumberFormat="1" applyFont="1" applyFill="1" applyBorder="1" applyAlignment="1">
      <alignment horizontal="center" shrinkToFit="1"/>
    </xf>
    <xf numFmtId="176" fontId="2" fillId="11" borderId="3" xfId="0" applyNumberFormat="1" applyFont="1" applyFill="1" applyBorder="1" applyAlignment="1">
      <alignment horizontal="center" shrinkToFit="1"/>
    </xf>
    <xf numFmtId="0" fontId="2" fillId="11" borderId="3" xfId="0" applyFont="1" applyFill="1" applyBorder="1" applyAlignment="1">
      <alignment horizontal="center" shrinkToFit="1"/>
    </xf>
    <xf numFmtId="0" fontId="14" fillId="11" borderId="3" xfId="0" applyFont="1" applyFill="1" applyBorder="1" applyAlignment="1">
      <alignment horizontal="center" shrinkToFit="1"/>
    </xf>
    <xf numFmtId="178" fontId="2" fillId="11" borderId="3" xfId="0" applyNumberFormat="1" applyFont="1" applyFill="1" applyBorder="1" applyAlignment="1">
      <alignment horizontal="center" shrinkToFit="1"/>
    </xf>
    <xf numFmtId="0" fontId="13" fillId="11" borderId="3" xfId="0" applyFont="1" applyFill="1" applyBorder="1" applyAlignment="1">
      <alignment horizontal="center" shrinkToFit="1"/>
    </xf>
    <xf numFmtId="0" fontId="13" fillId="5" borderId="3" xfId="0" applyFont="1" applyFill="1" applyBorder="1" applyAlignment="1">
      <alignment horizontal="center" shrinkToFit="1"/>
    </xf>
    <xf numFmtId="178" fontId="16" fillId="6" borderId="3" xfId="0" applyNumberFormat="1" applyFont="1" applyFill="1" applyBorder="1" applyAlignment="1">
      <alignment horizontal="center" shrinkToFit="1"/>
    </xf>
    <xf numFmtId="176" fontId="2" fillId="12" borderId="3" xfId="0" applyNumberFormat="1" applyFont="1" applyFill="1" applyBorder="1" applyAlignment="1">
      <alignment horizontal="center" shrinkToFit="1"/>
    </xf>
    <xf numFmtId="0" fontId="2" fillId="12" borderId="3" xfId="0" applyFont="1" applyFill="1" applyBorder="1" applyAlignment="1">
      <alignment horizontal="center" shrinkToFit="1"/>
    </xf>
    <xf numFmtId="0" fontId="14" fillId="12" borderId="3" xfId="0" applyFont="1" applyFill="1" applyBorder="1" applyAlignment="1">
      <alignment horizontal="center" shrinkToFit="1"/>
    </xf>
    <xf numFmtId="178" fontId="2" fillId="12" borderId="3" xfId="0" applyNumberFormat="1" applyFont="1" applyFill="1" applyBorder="1" applyAlignment="1">
      <alignment horizontal="center" shrinkToFit="1"/>
    </xf>
    <xf numFmtId="0" fontId="15" fillId="4" borderId="3" xfId="0" applyFont="1" applyFill="1" applyBorder="1" applyAlignment="1">
      <alignment horizontal="center" shrinkToFit="1"/>
    </xf>
    <xf numFmtId="0" fontId="13" fillId="7" borderId="3" xfId="0" applyFont="1" applyFill="1" applyBorder="1" applyAlignment="1">
      <alignment horizontal="center" shrinkToFit="1"/>
    </xf>
    <xf numFmtId="0" fontId="19" fillId="4" borderId="3" xfId="0" applyFont="1" applyFill="1" applyBorder="1" applyAlignment="1">
      <alignment horizontal="center" shrinkToFit="1"/>
    </xf>
    <xf numFmtId="0" fontId="20" fillId="4" borderId="3" xfId="0" applyFont="1" applyFill="1" applyBorder="1" applyAlignment="1">
      <alignment horizontal="center" shrinkToFit="1"/>
    </xf>
    <xf numFmtId="0" fontId="19" fillId="8" borderId="3" xfId="0" applyFont="1" applyFill="1" applyBorder="1" applyAlignment="1">
      <alignment horizontal="center" shrinkToFit="1"/>
    </xf>
    <xf numFmtId="0" fontId="20" fillId="8" borderId="3" xfId="0" applyFont="1" applyFill="1" applyBorder="1" applyAlignment="1">
      <alignment horizontal="center" shrinkToFit="1"/>
    </xf>
    <xf numFmtId="0" fontId="2" fillId="10" borderId="3" xfId="0" applyFont="1" applyFill="1" applyBorder="1" applyAlignment="1">
      <alignment horizontal="center" shrinkToFit="1"/>
    </xf>
    <xf numFmtId="0" fontId="21" fillId="7" borderId="3" xfId="0" applyFont="1" applyFill="1" applyBorder="1" applyAlignment="1">
      <alignment horizontal="center" shrinkToFit="1"/>
    </xf>
    <xf numFmtId="0" fontId="22" fillId="7" borderId="3" xfId="0" applyFont="1" applyFill="1" applyBorder="1" applyAlignment="1">
      <alignment horizontal="center" shrinkToFit="1"/>
    </xf>
    <xf numFmtId="0" fontId="15" fillId="5" borderId="3" xfId="0" applyFont="1" applyFill="1" applyBorder="1" applyAlignment="1">
      <alignment horizontal="center" shrinkToFit="1"/>
    </xf>
    <xf numFmtId="176" fontId="15" fillId="12" borderId="3" xfId="0" applyNumberFormat="1" applyFont="1" applyFill="1" applyBorder="1" applyAlignment="1">
      <alignment horizontal="center" shrinkToFit="1"/>
    </xf>
    <xf numFmtId="176" fontId="14" fillId="8" borderId="3" xfId="0" applyNumberFormat="1" applyFont="1" applyFill="1" applyBorder="1" applyAlignment="1">
      <alignment horizontal="center" shrinkToFit="1"/>
    </xf>
    <xf numFmtId="176" fontId="15" fillId="6" borderId="3" xfId="0" applyNumberFormat="1" applyFont="1" applyFill="1" applyBorder="1" applyAlignment="1">
      <alignment horizontal="center" shrinkToFit="1"/>
    </xf>
    <xf numFmtId="0" fontId="13" fillId="12" borderId="3" xfId="0" applyFont="1" applyFill="1" applyBorder="1" applyAlignment="1">
      <alignment horizontal="center" shrinkToFit="1"/>
    </xf>
    <xf numFmtId="178" fontId="16" fillId="12" borderId="3" xfId="0" applyNumberFormat="1" applyFont="1" applyFill="1" applyBorder="1" applyAlignment="1">
      <alignment horizontal="center" shrinkToFit="1"/>
    </xf>
    <xf numFmtId="176" fontId="2" fillId="13" borderId="3" xfId="0" applyNumberFormat="1" applyFont="1" applyFill="1" applyBorder="1" applyAlignment="1">
      <alignment horizontal="center" shrinkToFit="1"/>
    </xf>
    <xf numFmtId="0" fontId="2" fillId="13" borderId="3" xfId="0" applyFont="1" applyFill="1" applyBorder="1" applyAlignment="1">
      <alignment horizontal="center" shrinkToFit="1"/>
    </xf>
    <xf numFmtId="0" fontId="14" fillId="13" borderId="3" xfId="0" applyFont="1" applyFill="1" applyBorder="1" applyAlignment="1">
      <alignment horizontal="center" shrinkToFit="1"/>
    </xf>
    <xf numFmtId="178" fontId="2" fillId="13" borderId="3" xfId="0" applyNumberFormat="1" applyFont="1" applyFill="1" applyBorder="1" applyAlignment="1">
      <alignment horizontal="center" shrinkToFit="1"/>
    </xf>
    <xf numFmtId="176" fontId="2" fillId="14" borderId="3" xfId="0" applyNumberFormat="1" applyFont="1" applyFill="1" applyBorder="1" applyAlignment="1">
      <alignment horizontal="center" shrinkToFit="1"/>
    </xf>
    <xf numFmtId="0" fontId="2" fillId="14" borderId="3" xfId="0" applyFont="1" applyFill="1" applyBorder="1" applyAlignment="1">
      <alignment horizontal="center" shrinkToFit="1"/>
    </xf>
    <xf numFmtId="0" fontId="14" fillId="14" borderId="3" xfId="0" applyFont="1" applyFill="1" applyBorder="1" applyAlignment="1">
      <alignment horizontal="center" shrinkToFit="1"/>
    </xf>
    <xf numFmtId="178" fontId="2" fillId="14" borderId="3" xfId="0" applyNumberFormat="1" applyFont="1" applyFill="1" applyBorder="1" applyAlignment="1">
      <alignment horizontal="center" shrinkToFit="1"/>
    </xf>
    <xf numFmtId="178" fontId="16" fillId="14" borderId="3" xfId="0" applyNumberFormat="1" applyFont="1" applyFill="1" applyBorder="1" applyAlignment="1">
      <alignment horizontal="center" shrinkToFit="1"/>
    </xf>
    <xf numFmtId="176" fontId="2" fillId="3" borderId="3" xfId="0" applyNumberFormat="1" applyFont="1" applyFill="1" applyBorder="1" applyAlignment="1">
      <alignment horizontal="center" shrinkToFit="1"/>
    </xf>
    <xf numFmtId="0" fontId="2" fillId="3" borderId="3" xfId="0" applyFont="1" applyFill="1" applyBorder="1" applyAlignment="1">
      <alignment horizontal="center" shrinkToFit="1"/>
    </xf>
    <xf numFmtId="0" fontId="14" fillId="3" borderId="3" xfId="0" applyFont="1" applyFill="1" applyBorder="1" applyAlignment="1">
      <alignment horizontal="center" shrinkToFit="1"/>
    </xf>
    <xf numFmtId="178" fontId="2" fillId="3" borderId="3" xfId="0" applyNumberFormat="1" applyFont="1" applyFill="1" applyBorder="1" applyAlignment="1">
      <alignment horizontal="center" shrinkToFit="1"/>
    </xf>
    <xf numFmtId="176" fontId="2" fillId="15" borderId="3" xfId="0" applyNumberFormat="1" applyFont="1" applyFill="1" applyBorder="1" applyAlignment="1">
      <alignment horizontal="center" shrinkToFit="1"/>
    </xf>
    <xf numFmtId="0" fontId="2" fillId="15" borderId="3" xfId="0" applyFont="1" applyFill="1" applyBorder="1" applyAlignment="1">
      <alignment horizontal="center" shrinkToFit="1"/>
    </xf>
    <xf numFmtId="0" fontId="14" fillId="15" borderId="3" xfId="0" applyFont="1" applyFill="1" applyBorder="1" applyAlignment="1">
      <alignment horizontal="center" shrinkToFit="1"/>
    </xf>
    <xf numFmtId="178" fontId="2" fillId="15" borderId="3" xfId="0" applyNumberFormat="1" applyFont="1" applyFill="1" applyBorder="1" applyAlignment="1">
      <alignment horizontal="center" shrinkToFit="1"/>
    </xf>
    <xf numFmtId="178" fontId="14" fillId="8" borderId="3" xfId="0" applyNumberFormat="1" applyFont="1" applyFill="1" applyBorder="1" applyAlignment="1">
      <alignment horizontal="center" shrinkToFit="1"/>
    </xf>
    <xf numFmtId="176" fontId="2" fillId="16" borderId="3" xfId="0" applyNumberFormat="1" applyFont="1" applyFill="1" applyBorder="1" applyAlignment="1">
      <alignment horizontal="center" shrinkToFit="1"/>
    </xf>
    <xf numFmtId="0" fontId="2" fillId="16" borderId="3" xfId="0" applyFont="1" applyFill="1" applyBorder="1" applyAlignment="1">
      <alignment horizontal="center" shrinkToFit="1"/>
    </xf>
    <xf numFmtId="0" fontId="14" fillId="16" borderId="3" xfId="0" applyFont="1" applyFill="1" applyBorder="1" applyAlignment="1">
      <alignment horizontal="center" shrinkToFit="1"/>
    </xf>
    <xf numFmtId="178" fontId="2" fillId="16" borderId="3" xfId="0" applyNumberFormat="1" applyFont="1" applyFill="1" applyBorder="1" applyAlignment="1">
      <alignment horizontal="center" shrinkToFit="1"/>
    </xf>
    <xf numFmtId="0" fontId="7" fillId="6" borderId="3" xfId="0" applyFont="1" applyFill="1" applyBorder="1" applyAlignment="1">
      <alignment horizontal="center" shrinkToFit="1"/>
    </xf>
    <xf numFmtId="176" fontId="2" fillId="17" borderId="3" xfId="0" applyNumberFormat="1" applyFont="1" applyFill="1" applyBorder="1" applyAlignment="1">
      <alignment horizontal="center" shrinkToFit="1"/>
    </xf>
    <xf numFmtId="0" fontId="2" fillId="17" borderId="3" xfId="0" applyFont="1" applyFill="1" applyBorder="1" applyAlignment="1">
      <alignment horizontal="center" shrinkToFit="1"/>
    </xf>
    <xf numFmtId="0" fontId="14" fillId="17" borderId="3" xfId="0" applyFont="1" applyFill="1" applyBorder="1" applyAlignment="1">
      <alignment horizontal="center" shrinkToFit="1"/>
    </xf>
    <xf numFmtId="178" fontId="2" fillId="17" borderId="3" xfId="0" applyNumberFormat="1" applyFont="1" applyFill="1" applyBorder="1" applyAlignment="1">
      <alignment horizontal="center" shrinkToFit="1"/>
    </xf>
    <xf numFmtId="0" fontId="15" fillId="12" borderId="3" xfId="0" applyFont="1" applyFill="1" applyBorder="1" applyAlignment="1">
      <alignment horizontal="center" shrinkToFit="1"/>
    </xf>
    <xf numFmtId="178" fontId="16" fillId="15" borderId="3" xfId="0" applyNumberFormat="1" applyFont="1" applyFill="1" applyBorder="1" applyAlignment="1">
      <alignment horizontal="center" shrinkToFit="1"/>
    </xf>
    <xf numFmtId="0" fontId="15" fillId="7" borderId="3" xfId="0" applyFont="1" applyFill="1" applyBorder="1" applyAlignment="1">
      <alignment horizontal="center" shrinkToFit="1"/>
    </xf>
    <xf numFmtId="178" fontId="7" fillId="15" borderId="3" xfId="0" applyNumberFormat="1" applyFont="1" applyFill="1" applyBorder="1" applyAlignment="1">
      <alignment horizontal="center" shrinkToFit="1"/>
    </xf>
    <xf numFmtId="178" fontId="16" fillId="8" borderId="3" xfId="0" applyNumberFormat="1" applyFont="1" applyFill="1" applyBorder="1" applyAlignment="1">
      <alignment horizontal="center" shrinkToFit="1"/>
    </xf>
    <xf numFmtId="178" fontId="15" fillId="4" borderId="3" xfId="0" applyNumberFormat="1" applyFont="1" applyFill="1" applyBorder="1" applyAlignment="1">
      <alignment horizontal="center" shrinkToFit="1"/>
    </xf>
    <xf numFmtId="178" fontId="15" fillId="8" borderId="3" xfId="0" applyNumberFormat="1" applyFont="1" applyFill="1" applyBorder="1" applyAlignment="1">
      <alignment horizontal="center" shrinkToFit="1"/>
    </xf>
    <xf numFmtId="176" fontId="14" fillId="7" borderId="3" xfId="0" applyNumberFormat="1" applyFont="1" applyFill="1" applyBorder="1" applyAlignment="1">
      <alignment horizontal="center" shrinkToFit="1"/>
    </xf>
    <xf numFmtId="178" fontId="14" fillId="7" borderId="3" xfId="0" applyNumberFormat="1" applyFont="1" applyFill="1" applyBorder="1" applyAlignment="1">
      <alignment horizontal="center" shrinkToFit="1"/>
    </xf>
    <xf numFmtId="0" fontId="15" fillId="6" borderId="3" xfId="0" applyFont="1" applyFill="1" applyBorder="1" applyAlignment="1">
      <alignment horizontal="center" shrinkToFit="1"/>
    </xf>
    <xf numFmtId="178" fontId="15" fillId="6" borderId="3" xfId="0" applyNumberFormat="1" applyFont="1" applyFill="1" applyBorder="1" applyAlignment="1">
      <alignment horizontal="center" shrinkToFit="1"/>
    </xf>
    <xf numFmtId="176" fontId="16" fillId="4" borderId="3" xfId="0" applyNumberFormat="1" applyFont="1" applyFill="1" applyBorder="1" applyAlignment="1">
      <alignment horizontal="center" shrinkToFit="1"/>
    </xf>
    <xf numFmtId="176" fontId="15" fillId="8" borderId="3" xfId="0" applyNumberFormat="1" applyFont="1" applyFill="1" applyBorder="1" applyAlignment="1">
      <alignment horizontal="center" shrinkToFit="1"/>
    </xf>
    <xf numFmtId="176" fontId="25" fillId="6" borderId="3" xfId="0" applyNumberFormat="1" applyFont="1" applyFill="1" applyBorder="1" applyAlignment="1">
      <alignment horizontal="center" shrinkToFit="1"/>
    </xf>
    <xf numFmtId="176" fontId="25" fillId="7" borderId="3" xfId="0" applyNumberFormat="1" applyFont="1" applyFill="1" applyBorder="1" applyAlignment="1">
      <alignment horizontal="center" shrinkToFit="1"/>
    </xf>
    <xf numFmtId="176" fontId="16" fillId="8" borderId="3" xfId="0" applyNumberFormat="1" applyFont="1" applyFill="1" applyBorder="1" applyAlignment="1">
      <alignment horizontal="center" shrinkToFit="1"/>
    </xf>
    <xf numFmtId="176" fontId="2" fillId="18" borderId="3" xfId="0" applyNumberFormat="1" applyFont="1" applyFill="1" applyBorder="1" applyAlignment="1">
      <alignment horizontal="center" shrinkToFit="1"/>
    </xf>
    <xf numFmtId="176" fontId="16" fillId="18" borderId="3" xfId="0" applyNumberFormat="1" applyFont="1" applyFill="1" applyBorder="1" applyAlignment="1">
      <alignment horizontal="center" shrinkToFit="1"/>
    </xf>
    <xf numFmtId="0" fontId="2" fillId="18" borderId="3" xfId="0" applyFont="1" applyFill="1" applyBorder="1" applyAlignment="1">
      <alignment horizontal="center" shrinkToFit="1"/>
    </xf>
    <xf numFmtId="0" fontId="14" fillId="18" borderId="3" xfId="0" applyFont="1" applyFill="1" applyBorder="1" applyAlignment="1">
      <alignment horizontal="center" shrinkToFit="1"/>
    </xf>
    <xf numFmtId="178" fontId="2" fillId="18" borderId="3" xfId="0" applyNumberFormat="1" applyFont="1" applyFill="1" applyBorder="1" applyAlignment="1">
      <alignment horizontal="center" shrinkToFit="1"/>
    </xf>
    <xf numFmtId="176" fontId="16" fillId="5" borderId="3" xfId="0" applyNumberFormat="1" applyFont="1" applyFill="1" applyBorder="1" applyAlignment="1">
      <alignment horizontal="center" shrinkToFit="1"/>
    </xf>
    <xf numFmtId="176" fontId="16" fillId="13" borderId="3" xfId="0" applyNumberFormat="1" applyFont="1" applyFill="1" applyBorder="1" applyAlignment="1">
      <alignment horizontal="center" shrinkToFit="1"/>
    </xf>
    <xf numFmtId="178" fontId="16" fillId="13" borderId="3" xfId="0" applyNumberFormat="1" applyFont="1" applyFill="1" applyBorder="1" applyAlignment="1">
      <alignment horizontal="center" shrinkToFit="1"/>
    </xf>
    <xf numFmtId="176" fontId="15" fillId="5" borderId="3" xfId="0" applyNumberFormat="1" applyFont="1" applyFill="1" applyBorder="1" applyAlignment="1">
      <alignment horizontal="center" shrinkToFit="1"/>
    </xf>
    <xf numFmtId="176" fontId="15" fillId="7" borderId="3" xfId="0" applyNumberFormat="1" applyFont="1" applyFill="1" applyBorder="1" applyAlignment="1">
      <alignment horizontal="center" shrinkToFit="1"/>
    </xf>
    <xf numFmtId="176" fontId="15" fillId="4" borderId="3" xfId="0" applyNumberFormat="1" applyFont="1" applyFill="1" applyBorder="1" applyAlignment="1">
      <alignment horizontal="center" shrinkToFit="1"/>
    </xf>
    <xf numFmtId="178" fontId="16" fillId="16" borderId="3" xfId="0" applyNumberFormat="1" applyFont="1" applyFill="1" applyBorder="1" applyAlignment="1">
      <alignment horizontal="center" shrinkToFit="1"/>
    </xf>
    <xf numFmtId="0" fontId="16" fillId="7" borderId="3" xfId="0" applyFont="1" applyFill="1" applyBorder="1" applyAlignment="1">
      <alignment horizontal="center" shrinkToFit="1"/>
    </xf>
    <xf numFmtId="0" fontId="16" fillId="8" borderId="3" xfId="0" applyFont="1" applyFill="1" applyBorder="1" applyAlignment="1">
      <alignment horizontal="center" shrinkToFit="1"/>
    </xf>
    <xf numFmtId="178" fontId="15" fillId="5" borderId="3" xfId="0" applyNumberFormat="1" applyFont="1" applyFill="1" applyBorder="1" applyAlignment="1">
      <alignment horizontal="center" shrinkToFit="1"/>
    </xf>
    <xf numFmtId="0" fontId="16" fillId="4" borderId="3" xfId="0" applyFont="1" applyFill="1" applyBorder="1" applyAlignment="1">
      <alignment horizontal="center" shrinkToFit="1"/>
    </xf>
    <xf numFmtId="0" fontId="16" fillId="5" borderId="3" xfId="0" applyFont="1" applyFill="1" applyBorder="1" applyAlignment="1">
      <alignment horizontal="center" shrinkToFit="1"/>
    </xf>
    <xf numFmtId="176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49" fontId="2" fillId="8" borderId="3" xfId="0" applyNumberFormat="1" applyFont="1" applyFill="1" applyBorder="1" applyAlignment="1">
      <alignment horizontal="center" shrinkToFit="1"/>
    </xf>
    <xf numFmtId="49" fontId="2" fillId="5" borderId="3" xfId="0" applyNumberFormat="1" applyFont="1" applyFill="1" applyBorder="1" applyAlignment="1">
      <alignment horizontal="center" shrinkToFit="1"/>
    </xf>
    <xf numFmtId="49" fontId="2" fillId="4" borderId="3" xfId="0" applyNumberFormat="1" applyFont="1" applyFill="1" applyBorder="1" applyAlignment="1">
      <alignment horizontal="center" shrinkToFit="1"/>
    </xf>
    <xf numFmtId="49" fontId="2" fillId="7" borderId="3" xfId="0" applyNumberFormat="1" applyFont="1" applyFill="1" applyBorder="1" applyAlignment="1">
      <alignment horizontal="center" shrinkToFit="1"/>
    </xf>
    <xf numFmtId="49" fontId="2" fillId="6" borderId="3" xfId="0" applyNumberFormat="1" applyFont="1" applyFill="1" applyBorder="1" applyAlignment="1">
      <alignment horizontal="center" shrinkToFit="1"/>
    </xf>
    <xf numFmtId="49" fontId="2" fillId="16" borderId="3" xfId="0" applyNumberFormat="1" applyFont="1" applyFill="1" applyBorder="1" applyAlignment="1">
      <alignment horizontal="center" shrinkToFit="1"/>
    </xf>
    <xf numFmtId="176" fontId="16" fillId="6" borderId="3" xfId="0" applyNumberFormat="1" applyFont="1" applyFill="1" applyBorder="1" applyAlignment="1">
      <alignment horizontal="center" shrinkToFit="1"/>
    </xf>
    <xf numFmtId="176" fontId="16" fillId="7" borderId="3" xfId="0" applyNumberFormat="1" applyFont="1" applyFill="1" applyBorder="1" applyAlignment="1">
      <alignment horizontal="center" shrinkToFit="1"/>
    </xf>
    <xf numFmtId="0" fontId="16" fillId="15" borderId="3" xfId="0" applyFont="1" applyFill="1" applyBorder="1" applyAlignment="1">
      <alignment horizontal="center" shrinkToFit="1"/>
    </xf>
    <xf numFmtId="0" fontId="16" fillId="6" borderId="3" xfId="0" applyFont="1" applyFill="1" applyBorder="1" applyAlignment="1">
      <alignment horizontal="center" shrinkToFit="1"/>
    </xf>
    <xf numFmtId="176" fontId="14" fillId="5" borderId="3" xfId="0" applyNumberFormat="1" applyFont="1" applyFill="1" applyBorder="1" applyAlignment="1">
      <alignment horizontal="center" shrinkToFit="1"/>
    </xf>
    <xf numFmtId="0" fontId="16" fillId="16" borderId="3" xfId="0" applyFont="1" applyFill="1" applyBorder="1" applyAlignment="1">
      <alignment horizontal="center" shrinkToFit="1"/>
    </xf>
    <xf numFmtId="176" fontId="2" fillId="19" borderId="3" xfId="0" applyNumberFormat="1" applyFont="1" applyFill="1" applyBorder="1" applyAlignment="1">
      <alignment horizontal="center" shrinkToFit="1"/>
    </xf>
    <xf numFmtId="0" fontId="2" fillId="19" borderId="3" xfId="0" applyFont="1" applyFill="1" applyBorder="1" applyAlignment="1">
      <alignment horizontal="center" shrinkToFit="1"/>
    </xf>
    <xf numFmtId="0" fontId="14" fillId="19" borderId="3" xfId="0" applyFont="1" applyFill="1" applyBorder="1" applyAlignment="1">
      <alignment horizontal="center" shrinkToFit="1"/>
    </xf>
    <xf numFmtId="178" fontId="2" fillId="19" borderId="3" xfId="0" applyNumberFormat="1" applyFont="1" applyFill="1" applyBorder="1" applyAlignment="1">
      <alignment horizontal="center" shrinkToFit="1"/>
    </xf>
    <xf numFmtId="176" fontId="21" fillId="6" borderId="3" xfId="0" applyNumberFormat="1" applyFont="1" applyFill="1" applyBorder="1" applyAlignment="1">
      <alignment horizontal="center" shrinkToFit="1"/>
    </xf>
    <xf numFmtId="0" fontId="21" fillId="6" borderId="3" xfId="0" applyFont="1" applyFill="1" applyBorder="1" applyAlignment="1">
      <alignment horizontal="center" shrinkToFit="1"/>
    </xf>
    <xf numFmtId="0" fontId="22" fillId="6" borderId="3" xfId="0" applyFont="1" applyFill="1" applyBorder="1" applyAlignment="1">
      <alignment horizontal="center" shrinkToFit="1"/>
    </xf>
    <xf numFmtId="178" fontId="21" fillId="6" borderId="3" xfId="0" applyNumberFormat="1" applyFont="1" applyFill="1" applyBorder="1" applyAlignment="1">
      <alignment horizontal="center" shrinkToFit="1"/>
    </xf>
    <xf numFmtId="176" fontId="21" fillId="0" borderId="0" xfId="0" applyNumberFormat="1" applyFont="1" applyAlignment="1">
      <alignment horizontal="center"/>
    </xf>
    <xf numFmtId="177" fontId="22" fillId="0" borderId="0" xfId="0" applyNumberFormat="1" applyFont="1" applyAlignment="1">
      <alignment horizontal="center"/>
    </xf>
    <xf numFmtId="176" fontId="21" fillId="5" borderId="3" xfId="0" applyNumberFormat="1" applyFont="1" applyFill="1" applyBorder="1" applyAlignment="1">
      <alignment horizontal="center" shrinkToFit="1"/>
    </xf>
    <xf numFmtId="0" fontId="21" fillId="5" borderId="3" xfId="0" applyFont="1" applyFill="1" applyBorder="1" applyAlignment="1">
      <alignment horizontal="center" shrinkToFit="1"/>
    </xf>
    <xf numFmtId="0" fontId="22" fillId="5" borderId="3" xfId="0" applyFont="1" applyFill="1" applyBorder="1" applyAlignment="1">
      <alignment horizontal="center" shrinkToFit="1"/>
    </xf>
    <xf numFmtId="178" fontId="21" fillId="5" borderId="3" xfId="0" applyNumberFormat="1" applyFont="1" applyFill="1" applyBorder="1" applyAlignment="1">
      <alignment horizontal="center" shrinkToFit="1"/>
    </xf>
    <xf numFmtId="178" fontId="23" fillId="5" borderId="3" xfId="0" applyNumberFormat="1" applyFont="1" applyFill="1" applyBorder="1" applyAlignment="1">
      <alignment horizontal="center" shrinkToFit="1"/>
    </xf>
    <xf numFmtId="0" fontId="16" fillId="13" borderId="3" xfId="0" applyFont="1" applyFill="1" applyBorder="1" applyAlignment="1">
      <alignment horizontal="center" shrinkToFit="1"/>
    </xf>
    <xf numFmtId="178" fontId="23" fillId="6" borderId="3" xfId="0" applyNumberFormat="1" applyFont="1" applyFill="1" applyBorder="1" applyAlignment="1">
      <alignment horizontal="center" shrinkToFit="1"/>
    </xf>
    <xf numFmtId="49" fontId="21" fillId="5" borderId="3" xfId="0" applyNumberFormat="1" applyFont="1" applyFill="1" applyBorder="1" applyAlignment="1">
      <alignment horizontal="center" shrinkToFit="1"/>
    </xf>
    <xf numFmtId="178" fontId="30" fillId="5" borderId="3" xfId="0" applyNumberFormat="1" applyFont="1" applyFill="1" applyBorder="1" applyAlignment="1">
      <alignment horizontal="center" shrinkToFit="1"/>
    </xf>
    <xf numFmtId="49" fontId="2" fillId="13" borderId="3" xfId="0" applyNumberFormat="1" applyFont="1" applyFill="1" applyBorder="1" applyAlignment="1">
      <alignment horizontal="center" shrinkToFit="1"/>
    </xf>
    <xf numFmtId="0" fontId="15" fillId="13" borderId="3" xfId="0" applyFont="1" applyFill="1" applyBorder="1" applyAlignment="1">
      <alignment horizontal="center" shrinkToFit="1"/>
    </xf>
    <xf numFmtId="176" fontId="14" fillId="4" borderId="3" xfId="0" applyNumberFormat="1" applyFont="1" applyFill="1" applyBorder="1" applyAlignment="1">
      <alignment horizontal="center" shrinkToFit="1"/>
    </xf>
    <xf numFmtId="49" fontId="14" fillId="4" borderId="3" xfId="0" applyNumberFormat="1" applyFont="1" applyFill="1" applyBorder="1" applyAlignment="1">
      <alignment horizontal="center" shrinkToFit="1"/>
    </xf>
    <xf numFmtId="178" fontId="14" fillId="4" borderId="3" xfId="0" applyNumberFormat="1" applyFont="1" applyFill="1" applyBorder="1" applyAlignment="1">
      <alignment horizontal="center" shrinkToFit="1"/>
    </xf>
    <xf numFmtId="49" fontId="14" fillId="7" borderId="3" xfId="0" applyNumberFormat="1" applyFont="1" applyFill="1" applyBorder="1" applyAlignment="1">
      <alignment horizontal="center" shrinkToFit="1"/>
    </xf>
    <xf numFmtId="49" fontId="14" fillId="6" borderId="3" xfId="0" applyNumberFormat="1" applyFont="1" applyFill="1" applyBorder="1" applyAlignment="1">
      <alignment horizontal="center" shrinkToFit="1"/>
    </xf>
    <xf numFmtId="0" fontId="2" fillId="0" borderId="0" xfId="0" applyFont="1" applyFill="1" applyBorder="1" applyAlignment="1">
      <alignment horizontal="left"/>
    </xf>
    <xf numFmtId="49" fontId="14" fillId="5" borderId="3" xfId="0" applyNumberFormat="1" applyFont="1" applyFill="1" applyBorder="1" applyAlignment="1">
      <alignment horizontal="center" shrinkToFit="1"/>
    </xf>
    <xf numFmtId="0" fontId="31" fillId="5" borderId="3" xfId="0" applyFont="1" applyFill="1" applyBorder="1" applyAlignment="1">
      <alignment horizontal="center" shrinkToFit="1"/>
    </xf>
    <xf numFmtId="0" fontId="31" fillId="7" borderId="3" xfId="0" applyFont="1" applyFill="1" applyBorder="1" applyAlignment="1">
      <alignment horizontal="center" shrinkToFit="1"/>
    </xf>
    <xf numFmtId="0" fontId="2" fillId="7" borderId="0" xfId="0" applyFont="1" applyFill="1" applyAlignment="1">
      <alignment horizontal="center"/>
    </xf>
    <xf numFmtId="178" fontId="7" fillId="7" borderId="3" xfId="0" applyNumberFormat="1" applyFont="1" applyFill="1" applyBorder="1" applyAlignment="1">
      <alignment horizontal="center" shrinkToFit="1"/>
    </xf>
    <xf numFmtId="0" fontId="7" fillId="0" borderId="0" xfId="0" applyFont="1" applyFill="1" applyBorder="1" applyAlignment="1">
      <alignment horizontal="center"/>
    </xf>
    <xf numFmtId="0" fontId="31" fillId="6" borderId="3" xfId="0" applyFont="1" applyFill="1" applyBorder="1" applyAlignment="1">
      <alignment horizontal="center" shrinkToFit="1"/>
    </xf>
    <xf numFmtId="178" fontId="15" fillId="7" borderId="3" xfId="0" applyNumberFormat="1" applyFont="1" applyFill="1" applyBorder="1" applyAlignment="1">
      <alignment horizontal="center" shrinkToFit="1"/>
    </xf>
    <xf numFmtId="0" fontId="7" fillId="6" borderId="3" xfId="0" applyFont="1" applyFill="1" applyBorder="1" applyAlignment="1">
      <alignment horizontal="center"/>
    </xf>
    <xf numFmtId="0" fontId="31" fillId="4" borderId="3" xfId="0" applyFont="1" applyFill="1" applyBorder="1" applyAlignment="1">
      <alignment horizontal="center" shrinkToFit="1"/>
    </xf>
    <xf numFmtId="0" fontId="7" fillId="4" borderId="3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178" fontId="7" fillId="6" borderId="3" xfId="0" applyNumberFormat="1" applyFont="1" applyFill="1" applyBorder="1" applyAlignment="1">
      <alignment horizontal="center" shrinkToFit="1"/>
    </xf>
    <xf numFmtId="0" fontId="32" fillId="0" borderId="0" xfId="0" applyFont="1" applyAlignment="1">
      <alignment horizontal="left"/>
    </xf>
    <xf numFmtId="49" fontId="14" fillId="8" borderId="3" xfId="0" applyNumberFormat="1" applyFont="1" applyFill="1" applyBorder="1" applyAlignment="1">
      <alignment horizontal="center" shrinkToFit="1"/>
    </xf>
    <xf numFmtId="178" fontId="7" fillId="4" borderId="3" xfId="0" applyNumberFormat="1" applyFont="1" applyFill="1" applyBorder="1" applyAlignment="1">
      <alignment horizontal="center" shrinkToFit="1"/>
    </xf>
    <xf numFmtId="178" fontId="23" fillId="4" borderId="3" xfId="0" applyNumberFormat="1" applyFont="1" applyFill="1" applyBorder="1" applyAlignment="1">
      <alignment horizontal="center" shrinkToFit="1"/>
    </xf>
    <xf numFmtId="178" fontId="31" fillId="8" borderId="3" xfId="0" applyNumberFormat="1" applyFont="1" applyFill="1" applyBorder="1" applyAlignment="1">
      <alignment horizontal="center" shrinkToFit="1"/>
    </xf>
    <xf numFmtId="0" fontId="2" fillId="8" borderId="0" xfId="0" applyFont="1" applyFill="1" applyAlignment="1">
      <alignment horizontal="center"/>
    </xf>
    <xf numFmtId="176" fontId="2" fillId="2" borderId="2" xfId="0" applyNumberFormat="1" applyFont="1" applyFill="1" applyBorder="1" applyAlignment="1">
      <alignment horizontal="left" vertical="center" shrinkToFit="1"/>
    </xf>
    <xf numFmtId="0" fontId="5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76" fontId="2" fillId="9" borderId="2" xfId="0" applyNumberFormat="1" applyFont="1" applyFill="1" applyBorder="1" applyAlignment="1">
      <alignment horizontal="center" vertical="center" shrinkToFit="1"/>
    </xf>
  </cellXfs>
  <cellStyles count="3">
    <cellStyle name="一般" xfId="0" builtinId="0"/>
    <cellStyle name="一般 2" xfId="1"/>
    <cellStyle name="一般 3" xfId="2"/>
  </cellStyles>
  <dxfs count="0"/>
  <tableStyles count="0" defaultTableStyle="TableStyleMedium2" defaultPivotStyle="PivotStyleLight16"/>
  <colors>
    <mruColors>
      <color rgb="FF0000FF"/>
      <color rgb="FFFFFFCC"/>
      <color rgb="FFFF00FF"/>
      <color rgb="FFFFCCFF"/>
      <color rgb="FFFFCCCC"/>
      <color rgb="FFCCFF99"/>
      <color rgb="FFCCFFFF"/>
      <color rgb="FFCCFF66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T182"/>
  <sheetViews>
    <sheetView zoomScaleNormal="100" workbookViewId="0">
      <pane ySplit="2" topLeftCell="A3" activePane="bottomLeft" state="frozen"/>
      <selection pane="bottomLeft" activeCell="K184" sqref="K184"/>
    </sheetView>
  </sheetViews>
  <sheetFormatPr defaultColWidth="9" defaultRowHeight="20.149999999999999" customHeight="1" x14ac:dyDescent="0.2"/>
  <cols>
    <col min="1" max="2" width="7" style="44" customWidth="1"/>
    <col min="3" max="3" width="13" style="45" customWidth="1"/>
    <col min="4" max="4" width="6.625" style="45" customWidth="1"/>
    <col min="5" max="5" width="7.625" style="45" customWidth="1"/>
    <col min="6" max="7" width="8.375" style="45" customWidth="1"/>
    <col min="8" max="8" width="16.375" style="45" customWidth="1"/>
    <col min="9" max="10" width="8.75" style="46" customWidth="1"/>
    <col min="11" max="11" width="24.875" style="45" bestFit="1" customWidth="1"/>
    <col min="12" max="12" width="12.625" style="45" customWidth="1"/>
    <col min="13" max="14" width="6.375" style="45" customWidth="1"/>
    <col min="15" max="15" width="6.5" style="19" customWidth="1"/>
    <col min="16" max="16" width="7.375" style="20" customWidth="1"/>
    <col min="17" max="17" width="11" style="21" customWidth="1"/>
    <col min="18" max="18" width="6.375" style="7" customWidth="1"/>
    <col min="19" max="16384" width="9" style="7"/>
  </cols>
  <sheetData>
    <row r="1" spans="1:20" ht="27.35" customHeight="1" x14ac:dyDescent="0.25">
      <c r="A1" s="1" t="s">
        <v>0</v>
      </c>
      <c r="B1" s="210" t="s">
        <v>51</v>
      </c>
      <c r="C1" s="210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11" t="s">
        <v>1287</v>
      </c>
      <c r="Q1" s="4"/>
      <c r="R1" s="5"/>
      <c r="S1" s="6" t="s">
        <v>1</v>
      </c>
      <c r="T1" s="6" t="s">
        <v>2</v>
      </c>
    </row>
    <row r="2" spans="1:20" s="18" customFormat="1" ht="20.149999999999999" customHeight="1" x14ac:dyDescent="0.25">
      <c r="A2" s="8" t="s">
        <v>3</v>
      </c>
      <c r="B2" s="9" t="s">
        <v>4</v>
      </c>
      <c r="C2" s="10" t="s">
        <v>5</v>
      </c>
      <c r="D2" s="11" t="s">
        <v>6</v>
      </c>
      <c r="E2" s="12" t="s">
        <v>7</v>
      </c>
      <c r="F2" s="10" t="s">
        <v>8</v>
      </c>
      <c r="G2" s="10" t="s">
        <v>9</v>
      </c>
      <c r="H2" s="10" t="s">
        <v>10</v>
      </c>
      <c r="I2" s="13" t="s">
        <v>11</v>
      </c>
      <c r="J2" s="13" t="s">
        <v>12</v>
      </c>
      <c r="K2" s="14" t="s">
        <v>13</v>
      </c>
      <c r="L2" s="15" t="s">
        <v>14</v>
      </c>
      <c r="M2" s="16" t="s">
        <v>15</v>
      </c>
      <c r="N2" s="16" t="s">
        <v>16</v>
      </c>
      <c r="O2" s="3" t="s">
        <v>17</v>
      </c>
      <c r="P2" s="212"/>
      <c r="Q2" s="17" t="s">
        <v>18</v>
      </c>
      <c r="R2" s="5" t="s">
        <v>19</v>
      </c>
    </row>
    <row r="3" spans="1:20" ht="20.149999999999999" hidden="1" customHeight="1" x14ac:dyDescent="0.25">
      <c r="A3" s="64">
        <v>46024</v>
      </c>
      <c r="B3" s="64">
        <v>46027</v>
      </c>
      <c r="C3" s="65" t="s">
        <v>38</v>
      </c>
      <c r="D3" s="65">
        <v>12</v>
      </c>
      <c r="E3" s="65">
        <f>D3*195</f>
        <v>2340</v>
      </c>
      <c r="F3" s="68" t="s">
        <v>56</v>
      </c>
      <c r="G3" s="65">
        <f>D3*214</f>
        <v>2568</v>
      </c>
      <c r="H3" s="66" t="s">
        <v>60</v>
      </c>
      <c r="I3" s="67">
        <f>48360-E3</f>
        <v>46020</v>
      </c>
      <c r="J3" s="67"/>
      <c r="K3" s="65"/>
      <c r="L3" s="65">
        <v>251231001</v>
      </c>
      <c r="M3" s="65"/>
      <c r="N3" s="65">
        <f>22-D3</f>
        <v>10</v>
      </c>
      <c r="O3" s="19">
        <v>45989</v>
      </c>
      <c r="P3" s="20">
        <f t="shared" ref="P3:P40" si="0">365-R3</f>
        <v>327</v>
      </c>
      <c r="Q3" s="21">
        <f t="shared" ref="Q3:Q40" si="1">DATE(YEAR(O3)+1,MONTH(O3),DAY(O3))-1</f>
        <v>46353</v>
      </c>
      <c r="R3" s="7">
        <f t="shared" ref="R3:R40" si="2">DATEDIF(O3,B3,"d")</f>
        <v>38</v>
      </c>
    </row>
    <row r="4" spans="1:20" ht="20.149999999999999" hidden="1" customHeight="1" x14ac:dyDescent="0.25">
      <c r="A4" s="22">
        <v>46028</v>
      </c>
      <c r="B4" s="22">
        <v>46029</v>
      </c>
      <c r="C4" s="23" t="s">
        <v>73</v>
      </c>
      <c r="D4" s="23">
        <v>8</v>
      </c>
      <c r="E4" s="23">
        <f t="shared" ref="E4:E9" si="3">D4*195</f>
        <v>1560</v>
      </c>
      <c r="F4" s="24" t="s">
        <v>76</v>
      </c>
      <c r="G4" s="23">
        <f t="shared" ref="G4:G9" si="4">D4*214</f>
        <v>1712</v>
      </c>
      <c r="H4" s="38" t="s">
        <v>54</v>
      </c>
      <c r="I4" s="25">
        <f>I3-E4</f>
        <v>44460</v>
      </c>
      <c r="J4" s="25"/>
      <c r="K4" s="23"/>
      <c r="L4" s="23">
        <v>260105002</v>
      </c>
      <c r="M4" s="23"/>
      <c r="N4" s="23">
        <f>N3-D4</f>
        <v>2</v>
      </c>
      <c r="O4" s="19">
        <v>45989</v>
      </c>
      <c r="P4" s="20">
        <f t="shared" si="0"/>
        <v>325</v>
      </c>
      <c r="Q4" s="21">
        <f t="shared" si="1"/>
        <v>46353</v>
      </c>
      <c r="R4" s="7">
        <f t="shared" si="2"/>
        <v>40</v>
      </c>
    </row>
    <row r="5" spans="1:20" ht="20.149999999999999" hidden="1" customHeight="1" x14ac:dyDescent="0.25">
      <c r="A5" s="22">
        <v>46028</v>
      </c>
      <c r="B5" s="22">
        <v>46029</v>
      </c>
      <c r="C5" s="23" t="s">
        <v>74</v>
      </c>
      <c r="D5" s="23">
        <v>4</v>
      </c>
      <c r="E5" s="23">
        <f t="shared" si="3"/>
        <v>780</v>
      </c>
      <c r="F5" s="24" t="s">
        <v>76</v>
      </c>
      <c r="G5" s="23">
        <f t="shared" si="4"/>
        <v>856</v>
      </c>
      <c r="H5" s="38" t="s">
        <v>53</v>
      </c>
      <c r="I5" s="25">
        <f>I4-E5</f>
        <v>43680</v>
      </c>
      <c r="J5" s="43" t="s">
        <v>78</v>
      </c>
      <c r="K5" s="23"/>
      <c r="L5" s="23">
        <v>260105002</v>
      </c>
      <c r="M5" s="23">
        <v>41</v>
      </c>
      <c r="N5" s="23">
        <f>M5-D5</f>
        <v>37</v>
      </c>
      <c r="O5" s="19">
        <v>46013</v>
      </c>
      <c r="P5" s="20">
        <f t="shared" si="0"/>
        <v>349</v>
      </c>
      <c r="Q5" s="21">
        <f t="shared" si="1"/>
        <v>46377</v>
      </c>
      <c r="R5" s="7">
        <f t="shared" si="2"/>
        <v>16</v>
      </c>
    </row>
    <row r="6" spans="1:20" ht="20.149999999999999" hidden="1" customHeight="1" x14ac:dyDescent="0.25">
      <c r="A6" s="22">
        <v>46028</v>
      </c>
      <c r="B6" s="22">
        <v>46029</v>
      </c>
      <c r="C6" s="23" t="s">
        <v>75</v>
      </c>
      <c r="D6" s="23">
        <v>4</v>
      </c>
      <c r="E6" s="23">
        <f t="shared" si="3"/>
        <v>780</v>
      </c>
      <c r="F6" s="24" t="s">
        <v>77</v>
      </c>
      <c r="G6" s="23">
        <f t="shared" si="4"/>
        <v>856</v>
      </c>
      <c r="H6" s="38" t="s">
        <v>53</v>
      </c>
      <c r="I6" s="25">
        <f>I5-E6</f>
        <v>42900</v>
      </c>
      <c r="J6" s="43" t="s">
        <v>78</v>
      </c>
      <c r="K6" s="23"/>
      <c r="L6" s="23">
        <v>260105002</v>
      </c>
      <c r="M6" s="23">
        <v>41</v>
      </c>
      <c r="N6" s="23">
        <f>M6-D6</f>
        <v>37</v>
      </c>
      <c r="O6" s="19">
        <v>46015</v>
      </c>
      <c r="P6" s="20">
        <f t="shared" si="0"/>
        <v>351</v>
      </c>
      <c r="Q6" s="21">
        <f t="shared" si="1"/>
        <v>46379</v>
      </c>
      <c r="R6" s="7">
        <f t="shared" si="2"/>
        <v>14</v>
      </c>
    </row>
    <row r="7" spans="1:20" ht="20.149999999999999" hidden="1" customHeight="1" x14ac:dyDescent="0.25">
      <c r="A7" s="29">
        <v>46030</v>
      </c>
      <c r="B7" s="29">
        <v>46031</v>
      </c>
      <c r="C7" s="30" t="s">
        <v>88</v>
      </c>
      <c r="D7" s="30">
        <v>2</v>
      </c>
      <c r="E7" s="30">
        <f t="shared" si="3"/>
        <v>390</v>
      </c>
      <c r="F7" s="31" t="s">
        <v>77</v>
      </c>
      <c r="G7" s="30">
        <f t="shared" si="4"/>
        <v>428</v>
      </c>
      <c r="H7" s="37" t="s">
        <v>99</v>
      </c>
      <c r="I7" s="32">
        <f t="shared" ref="I7:I12" si="5">I6-E7</f>
        <v>42510</v>
      </c>
      <c r="J7" s="32"/>
      <c r="K7" s="30"/>
      <c r="L7" s="30">
        <v>260107001</v>
      </c>
      <c r="M7" s="30"/>
      <c r="N7" s="30">
        <f>N4-D7</f>
        <v>0</v>
      </c>
      <c r="O7" s="19">
        <v>45989</v>
      </c>
      <c r="P7" s="20">
        <f t="shared" si="0"/>
        <v>323</v>
      </c>
      <c r="Q7" s="21">
        <f t="shared" si="1"/>
        <v>46353</v>
      </c>
      <c r="R7" s="7">
        <f t="shared" si="2"/>
        <v>42</v>
      </c>
    </row>
    <row r="8" spans="1:20" ht="20.149999999999999" hidden="1" customHeight="1" x14ac:dyDescent="0.25">
      <c r="A8" s="29">
        <v>46030</v>
      </c>
      <c r="B8" s="29">
        <v>46031</v>
      </c>
      <c r="C8" s="30" t="s">
        <v>89</v>
      </c>
      <c r="D8" s="30">
        <v>10</v>
      </c>
      <c r="E8" s="30">
        <f t="shared" si="3"/>
        <v>1950</v>
      </c>
      <c r="F8" s="31" t="s">
        <v>77</v>
      </c>
      <c r="G8" s="30">
        <f t="shared" si="4"/>
        <v>2140</v>
      </c>
      <c r="H8" s="37" t="s">
        <v>98</v>
      </c>
      <c r="I8" s="32">
        <f t="shared" si="5"/>
        <v>40560</v>
      </c>
      <c r="J8" s="32"/>
      <c r="K8" s="30"/>
      <c r="L8" s="30">
        <v>260107001</v>
      </c>
      <c r="M8" s="30"/>
      <c r="N8" s="30">
        <f>37-D8</f>
        <v>27</v>
      </c>
      <c r="O8" s="19">
        <v>45991</v>
      </c>
      <c r="P8" s="20">
        <f t="shared" si="0"/>
        <v>325</v>
      </c>
      <c r="Q8" s="21">
        <f t="shared" si="1"/>
        <v>46355</v>
      </c>
      <c r="R8" s="7">
        <f t="shared" si="2"/>
        <v>40</v>
      </c>
    </row>
    <row r="9" spans="1:20" ht="20.149999999999999" hidden="1" customHeight="1" x14ac:dyDescent="0.25">
      <c r="A9" s="26">
        <v>46031</v>
      </c>
      <c r="B9" s="26">
        <v>46034</v>
      </c>
      <c r="C9" s="27" t="s">
        <v>102</v>
      </c>
      <c r="D9" s="27">
        <v>12</v>
      </c>
      <c r="E9" s="27">
        <f t="shared" si="3"/>
        <v>2340</v>
      </c>
      <c r="F9" s="69" t="s">
        <v>56</v>
      </c>
      <c r="G9" s="27">
        <f t="shared" si="4"/>
        <v>2568</v>
      </c>
      <c r="H9" s="36" t="s">
        <v>53</v>
      </c>
      <c r="I9" s="28">
        <f t="shared" si="5"/>
        <v>38220</v>
      </c>
      <c r="J9" s="28"/>
      <c r="K9" s="27"/>
      <c r="L9" s="27">
        <v>260108001</v>
      </c>
      <c r="M9" s="27"/>
      <c r="N9" s="27">
        <f>N8-D9</f>
        <v>15</v>
      </c>
      <c r="O9" s="19">
        <v>45991</v>
      </c>
      <c r="P9" s="20">
        <f t="shared" si="0"/>
        <v>322</v>
      </c>
      <c r="Q9" s="21">
        <f t="shared" si="1"/>
        <v>46355</v>
      </c>
      <c r="R9" s="7">
        <f t="shared" si="2"/>
        <v>43</v>
      </c>
    </row>
    <row r="10" spans="1:20" ht="20.149999999999999" hidden="1" customHeight="1" x14ac:dyDescent="0.25">
      <c r="A10" s="33">
        <v>46035</v>
      </c>
      <c r="B10" s="33">
        <v>46036</v>
      </c>
      <c r="C10" s="34" t="s">
        <v>89</v>
      </c>
      <c r="D10" s="34">
        <v>15</v>
      </c>
      <c r="E10" s="34">
        <f t="shared" ref="E10:E22" si="6">D10*195</f>
        <v>2925</v>
      </c>
      <c r="F10" s="76" t="s">
        <v>56</v>
      </c>
      <c r="G10" s="34">
        <f t="shared" ref="G10:G22" si="7">D10*214</f>
        <v>3210</v>
      </c>
      <c r="H10" s="39" t="s">
        <v>54</v>
      </c>
      <c r="I10" s="35">
        <f t="shared" si="5"/>
        <v>35295</v>
      </c>
      <c r="J10" s="35"/>
      <c r="K10" s="34"/>
      <c r="L10" s="34">
        <v>260112001</v>
      </c>
      <c r="M10" s="34"/>
      <c r="N10" s="34">
        <f>N9-D10</f>
        <v>0</v>
      </c>
      <c r="O10" s="19">
        <v>45991</v>
      </c>
      <c r="P10" s="20">
        <f t="shared" si="0"/>
        <v>320</v>
      </c>
      <c r="Q10" s="21">
        <f t="shared" si="1"/>
        <v>46355</v>
      </c>
      <c r="R10" s="7">
        <f t="shared" si="2"/>
        <v>45</v>
      </c>
    </row>
    <row r="11" spans="1:20" ht="20.149999999999999" hidden="1" customHeight="1" x14ac:dyDescent="0.25">
      <c r="A11" s="33">
        <v>46035</v>
      </c>
      <c r="B11" s="33">
        <v>46036</v>
      </c>
      <c r="C11" s="34" t="s">
        <v>119</v>
      </c>
      <c r="D11" s="34">
        <v>1</v>
      </c>
      <c r="E11" s="34">
        <f t="shared" si="6"/>
        <v>195</v>
      </c>
      <c r="F11" s="76" t="s">
        <v>56</v>
      </c>
      <c r="G11" s="34">
        <f t="shared" si="7"/>
        <v>214</v>
      </c>
      <c r="H11" s="39" t="s">
        <v>53</v>
      </c>
      <c r="I11" s="35">
        <f t="shared" si="5"/>
        <v>35100</v>
      </c>
      <c r="J11" s="35"/>
      <c r="K11" s="34"/>
      <c r="L11" s="34">
        <v>260112001</v>
      </c>
      <c r="M11" s="34"/>
      <c r="N11" s="34">
        <f>36-D11</f>
        <v>35</v>
      </c>
      <c r="O11" s="19">
        <v>45993</v>
      </c>
      <c r="P11" s="20">
        <f t="shared" si="0"/>
        <v>322</v>
      </c>
      <c r="Q11" s="21">
        <f t="shared" si="1"/>
        <v>46357</v>
      </c>
      <c r="R11" s="7">
        <f t="shared" si="2"/>
        <v>43</v>
      </c>
    </row>
    <row r="12" spans="1:20" ht="20.149999999999999" hidden="1" customHeight="1" x14ac:dyDescent="0.25">
      <c r="A12" s="26">
        <v>46037</v>
      </c>
      <c r="B12" s="26">
        <v>46038</v>
      </c>
      <c r="C12" s="27" t="s">
        <v>151</v>
      </c>
      <c r="D12" s="27">
        <v>20</v>
      </c>
      <c r="E12" s="27">
        <f t="shared" si="6"/>
        <v>3900</v>
      </c>
      <c r="F12" s="69" t="s">
        <v>56</v>
      </c>
      <c r="G12" s="27">
        <f t="shared" si="7"/>
        <v>4280</v>
      </c>
      <c r="H12" s="36" t="s">
        <v>53</v>
      </c>
      <c r="I12" s="28">
        <f t="shared" si="5"/>
        <v>31200</v>
      </c>
      <c r="J12" s="28"/>
      <c r="K12" s="27"/>
      <c r="L12" s="27">
        <v>260114004</v>
      </c>
      <c r="M12" s="27"/>
      <c r="N12" s="27">
        <f>N11-D12</f>
        <v>15</v>
      </c>
      <c r="O12" s="19">
        <v>45993</v>
      </c>
      <c r="P12" s="20">
        <f t="shared" si="0"/>
        <v>320</v>
      </c>
      <c r="Q12" s="21">
        <f t="shared" si="1"/>
        <v>46357</v>
      </c>
      <c r="R12" s="7">
        <f t="shared" si="2"/>
        <v>45</v>
      </c>
    </row>
    <row r="13" spans="1:20" ht="20.149999999999999" hidden="1" customHeight="1" x14ac:dyDescent="0.25">
      <c r="A13" s="71">
        <v>46038</v>
      </c>
      <c r="B13" s="71">
        <v>46041</v>
      </c>
      <c r="C13" s="72" t="s">
        <v>119</v>
      </c>
      <c r="D13" s="72">
        <v>12</v>
      </c>
      <c r="E13" s="72">
        <f t="shared" si="6"/>
        <v>2340</v>
      </c>
      <c r="F13" s="88" t="s">
        <v>153</v>
      </c>
      <c r="G13" s="72">
        <f t="shared" si="7"/>
        <v>2568</v>
      </c>
      <c r="H13" s="73" t="s">
        <v>159</v>
      </c>
      <c r="I13" s="74">
        <f t="shared" ref="I13:I18" si="8">I12-E13</f>
        <v>28860</v>
      </c>
      <c r="J13" s="74"/>
      <c r="K13" s="72"/>
      <c r="L13" s="72">
        <v>260115002</v>
      </c>
      <c r="M13" s="72"/>
      <c r="N13" s="72">
        <f>N12-D13</f>
        <v>3</v>
      </c>
      <c r="O13" s="19">
        <v>45993</v>
      </c>
      <c r="P13" s="20">
        <f t="shared" si="0"/>
        <v>317</v>
      </c>
      <c r="Q13" s="21">
        <f t="shared" si="1"/>
        <v>46357</v>
      </c>
      <c r="R13" s="7">
        <f t="shared" si="2"/>
        <v>48</v>
      </c>
    </row>
    <row r="14" spans="1:20" ht="20.149999999999999" hidden="1" customHeight="1" x14ac:dyDescent="0.25">
      <c r="A14" s="22">
        <v>46042</v>
      </c>
      <c r="B14" s="22">
        <v>46043</v>
      </c>
      <c r="C14" s="23" t="s">
        <v>119</v>
      </c>
      <c r="D14" s="23">
        <v>3</v>
      </c>
      <c r="E14" s="23">
        <f t="shared" si="6"/>
        <v>585</v>
      </c>
      <c r="F14" s="24" t="s">
        <v>56</v>
      </c>
      <c r="G14" s="23">
        <f t="shared" si="7"/>
        <v>642</v>
      </c>
      <c r="H14" s="38" t="s">
        <v>175</v>
      </c>
      <c r="I14" s="25">
        <f t="shared" si="8"/>
        <v>28275</v>
      </c>
      <c r="J14" s="25"/>
      <c r="K14" s="23"/>
      <c r="L14" s="23">
        <v>260119004</v>
      </c>
      <c r="M14" s="23"/>
      <c r="N14" s="23">
        <f>N13-D14</f>
        <v>0</v>
      </c>
      <c r="O14" s="19">
        <v>45993</v>
      </c>
      <c r="P14" s="20">
        <f t="shared" si="0"/>
        <v>315</v>
      </c>
      <c r="Q14" s="21">
        <f t="shared" si="1"/>
        <v>46357</v>
      </c>
      <c r="R14" s="7">
        <f t="shared" si="2"/>
        <v>50</v>
      </c>
    </row>
    <row r="15" spans="1:20" ht="20.149999999999999" hidden="1" customHeight="1" x14ac:dyDescent="0.25">
      <c r="A15" s="22">
        <v>46042</v>
      </c>
      <c r="B15" s="22">
        <v>46043</v>
      </c>
      <c r="C15" s="23" t="s">
        <v>170</v>
      </c>
      <c r="D15" s="23">
        <v>13</v>
      </c>
      <c r="E15" s="23">
        <f t="shared" si="6"/>
        <v>2535</v>
      </c>
      <c r="F15" s="24" t="s">
        <v>56</v>
      </c>
      <c r="G15" s="23">
        <f t="shared" si="7"/>
        <v>2782</v>
      </c>
      <c r="H15" s="38" t="s">
        <v>53</v>
      </c>
      <c r="I15" s="25">
        <f t="shared" si="8"/>
        <v>25740</v>
      </c>
      <c r="J15" s="25"/>
      <c r="K15" s="23"/>
      <c r="L15" s="23">
        <v>260119004</v>
      </c>
      <c r="M15" s="23"/>
      <c r="N15" s="23">
        <f>37-D15</f>
        <v>24</v>
      </c>
      <c r="O15" s="19">
        <v>45995</v>
      </c>
      <c r="P15" s="20">
        <f t="shared" si="0"/>
        <v>317</v>
      </c>
      <c r="Q15" s="21">
        <f t="shared" si="1"/>
        <v>46359</v>
      </c>
      <c r="R15" s="7">
        <f t="shared" si="2"/>
        <v>48</v>
      </c>
    </row>
    <row r="16" spans="1:20" ht="20.149999999999999" hidden="1" customHeight="1" x14ac:dyDescent="0.25">
      <c r="A16" s="29">
        <v>46044</v>
      </c>
      <c r="B16" s="29">
        <v>46045</v>
      </c>
      <c r="C16" s="30" t="s">
        <v>176</v>
      </c>
      <c r="D16" s="30">
        <v>8</v>
      </c>
      <c r="E16" s="30">
        <f t="shared" si="6"/>
        <v>1560</v>
      </c>
      <c r="F16" s="31" t="s">
        <v>56</v>
      </c>
      <c r="G16" s="30">
        <f t="shared" si="7"/>
        <v>1712</v>
      </c>
      <c r="H16" s="37" t="s">
        <v>53</v>
      </c>
      <c r="I16" s="32">
        <f t="shared" si="8"/>
        <v>24180</v>
      </c>
      <c r="J16" s="32"/>
      <c r="K16" s="112"/>
      <c r="L16" s="30">
        <v>260121002</v>
      </c>
      <c r="M16" s="30"/>
      <c r="N16" s="30">
        <f>N15-D16</f>
        <v>16</v>
      </c>
      <c r="O16" s="19">
        <v>45995</v>
      </c>
      <c r="P16" s="20">
        <f t="shared" si="0"/>
        <v>315</v>
      </c>
      <c r="Q16" s="21">
        <f t="shared" si="1"/>
        <v>46359</v>
      </c>
      <c r="R16" s="7">
        <f t="shared" si="2"/>
        <v>50</v>
      </c>
    </row>
    <row r="17" spans="1:18" ht="20.149999999999999" hidden="1" customHeight="1" x14ac:dyDescent="0.25">
      <c r="A17" s="29">
        <v>46044</v>
      </c>
      <c r="B17" s="29">
        <v>46045</v>
      </c>
      <c r="C17" s="30" t="s">
        <v>177</v>
      </c>
      <c r="D17" s="30">
        <v>4</v>
      </c>
      <c r="E17" s="30">
        <f t="shared" si="6"/>
        <v>780</v>
      </c>
      <c r="F17" s="31" t="s">
        <v>56</v>
      </c>
      <c r="G17" s="30">
        <f t="shared" si="7"/>
        <v>856</v>
      </c>
      <c r="H17" s="37" t="s">
        <v>53</v>
      </c>
      <c r="I17" s="32">
        <f t="shared" si="8"/>
        <v>23400</v>
      </c>
      <c r="J17" s="70" t="s">
        <v>12</v>
      </c>
      <c r="K17" s="30"/>
      <c r="L17" s="30">
        <v>260121002</v>
      </c>
      <c r="M17" s="30">
        <v>42</v>
      </c>
      <c r="N17" s="30">
        <f>M17-D17</f>
        <v>38</v>
      </c>
      <c r="O17" s="19">
        <v>46031</v>
      </c>
      <c r="P17" s="20">
        <f t="shared" si="0"/>
        <v>351</v>
      </c>
      <c r="Q17" s="21">
        <f t="shared" si="1"/>
        <v>46395</v>
      </c>
      <c r="R17" s="7">
        <f t="shared" si="2"/>
        <v>14</v>
      </c>
    </row>
    <row r="18" spans="1:18" ht="20.149999999999999" hidden="1" customHeight="1" x14ac:dyDescent="0.25">
      <c r="A18" s="26">
        <v>46045</v>
      </c>
      <c r="B18" s="26">
        <v>46048</v>
      </c>
      <c r="C18" s="27" t="s">
        <v>176</v>
      </c>
      <c r="D18" s="27">
        <v>16</v>
      </c>
      <c r="E18" s="27">
        <f t="shared" si="6"/>
        <v>3120</v>
      </c>
      <c r="F18" s="69" t="s">
        <v>56</v>
      </c>
      <c r="G18" s="27">
        <f t="shared" si="7"/>
        <v>3424</v>
      </c>
      <c r="H18" s="36" t="s">
        <v>53</v>
      </c>
      <c r="I18" s="28">
        <f t="shared" si="8"/>
        <v>20280</v>
      </c>
      <c r="J18" s="28"/>
      <c r="K18" s="27"/>
      <c r="L18" s="27">
        <v>260122001</v>
      </c>
      <c r="M18" s="27"/>
      <c r="N18" s="27">
        <f>N16-D18</f>
        <v>0</v>
      </c>
      <c r="O18" s="19">
        <v>45995</v>
      </c>
      <c r="P18" s="20">
        <f t="shared" si="0"/>
        <v>312</v>
      </c>
      <c r="Q18" s="21">
        <f t="shared" si="1"/>
        <v>46359</v>
      </c>
      <c r="R18" s="7">
        <f t="shared" si="2"/>
        <v>53</v>
      </c>
    </row>
    <row r="19" spans="1:18" ht="20.149999999999999" hidden="1" customHeight="1" x14ac:dyDescent="0.25">
      <c r="A19" s="71">
        <v>46049</v>
      </c>
      <c r="B19" s="71">
        <v>46050</v>
      </c>
      <c r="C19" s="72" t="s">
        <v>201</v>
      </c>
      <c r="D19" s="72">
        <v>8</v>
      </c>
      <c r="E19" s="72">
        <f t="shared" si="6"/>
        <v>1560</v>
      </c>
      <c r="F19" s="88" t="s">
        <v>56</v>
      </c>
      <c r="G19" s="72">
        <f t="shared" si="7"/>
        <v>1712</v>
      </c>
      <c r="H19" s="73" t="s">
        <v>204</v>
      </c>
      <c r="I19" s="74">
        <f t="shared" ref="I19:I26" si="9">I18-E19</f>
        <v>18720</v>
      </c>
      <c r="J19" s="74"/>
      <c r="K19" s="72"/>
      <c r="L19" s="72">
        <v>260126001</v>
      </c>
      <c r="M19" s="72"/>
      <c r="N19" s="72">
        <f>38-D19</f>
        <v>30</v>
      </c>
      <c r="O19" s="19">
        <v>45999</v>
      </c>
      <c r="P19" s="20">
        <f t="shared" si="0"/>
        <v>314</v>
      </c>
      <c r="Q19" s="21">
        <f t="shared" si="1"/>
        <v>46363</v>
      </c>
      <c r="R19" s="7">
        <f t="shared" si="2"/>
        <v>51</v>
      </c>
    </row>
    <row r="20" spans="1:18" ht="20.149999999999999" hidden="1" customHeight="1" x14ac:dyDescent="0.25">
      <c r="A20" s="71">
        <v>46049</v>
      </c>
      <c r="B20" s="71">
        <v>46050</v>
      </c>
      <c r="C20" s="72" t="s">
        <v>202</v>
      </c>
      <c r="D20" s="72">
        <v>4</v>
      </c>
      <c r="E20" s="72">
        <f t="shared" si="6"/>
        <v>780</v>
      </c>
      <c r="F20" s="88" t="s">
        <v>56</v>
      </c>
      <c r="G20" s="72">
        <f t="shared" si="7"/>
        <v>856</v>
      </c>
      <c r="H20" s="73" t="s">
        <v>53</v>
      </c>
      <c r="I20" s="74">
        <f t="shared" si="9"/>
        <v>17940</v>
      </c>
      <c r="J20" s="89" t="s">
        <v>12</v>
      </c>
      <c r="K20" s="72"/>
      <c r="L20" s="72">
        <v>260126001</v>
      </c>
      <c r="M20" s="72">
        <v>41</v>
      </c>
      <c r="N20" s="72">
        <f>M20-D20</f>
        <v>37</v>
      </c>
      <c r="O20" s="19">
        <v>46037</v>
      </c>
      <c r="P20" s="20">
        <f t="shared" si="0"/>
        <v>352</v>
      </c>
      <c r="Q20" s="21">
        <f t="shared" si="1"/>
        <v>46401</v>
      </c>
      <c r="R20" s="7">
        <f t="shared" si="2"/>
        <v>13</v>
      </c>
    </row>
    <row r="21" spans="1:18" ht="20.149999999999999" hidden="1" customHeight="1" x14ac:dyDescent="0.25">
      <c r="A21" s="33">
        <v>46051</v>
      </c>
      <c r="B21" s="33">
        <v>46052</v>
      </c>
      <c r="C21" s="34" t="s">
        <v>201</v>
      </c>
      <c r="D21" s="34">
        <v>16</v>
      </c>
      <c r="E21" s="34">
        <f t="shared" si="6"/>
        <v>3120</v>
      </c>
      <c r="F21" s="76" t="s">
        <v>209</v>
      </c>
      <c r="G21" s="34">
        <f t="shared" si="7"/>
        <v>3424</v>
      </c>
      <c r="H21" s="39" t="s">
        <v>98</v>
      </c>
      <c r="I21" s="35">
        <f t="shared" si="9"/>
        <v>14820</v>
      </c>
      <c r="J21" s="35"/>
      <c r="K21" s="34"/>
      <c r="L21" s="34">
        <v>260128003</v>
      </c>
      <c r="M21" s="34"/>
      <c r="N21" s="34">
        <f>N19-D21</f>
        <v>14</v>
      </c>
      <c r="O21" s="19">
        <v>45999</v>
      </c>
      <c r="P21" s="20">
        <f t="shared" si="0"/>
        <v>312</v>
      </c>
      <c r="Q21" s="21">
        <f t="shared" si="1"/>
        <v>46363</v>
      </c>
      <c r="R21" s="7">
        <f t="shared" si="2"/>
        <v>53</v>
      </c>
    </row>
    <row r="22" spans="1:18" ht="20.149999999999999" hidden="1" customHeight="1" x14ac:dyDescent="0.25">
      <c r="A22" s="22">
        <v>46052</v>
      </c>
      <c r="B22" s="22">
        <v>46055</v>
      </c>
      <c r="C22" s="23" t="s">
        <v>217</v>
      </c>
      <c r="D22" s="23">
        <v>12</v>
      </c>
      <c r="E22" s="23">
        <f t="shared" si="6"/>
        <v>2340</v>
      </c>
      <c r="F22" s="24" t="s">
        <v>218</v>
      </c>
      <c r="G22" s="23">
        <f t="shared" si="7"/>
        <v>2568</v>
      </c>
      <c r="H22" s="38" t="s">
        <v>53</v>
      </c>
      <c r="I22" s="25">
        <f t="shared" si="9"/>
        <v>12480</v>
      </c>
      <c r="J22" s="25"/>
      <c r="K22" s="23"/>
      <c r="L22" s="23">
        <v>260129003</v>
      </c>
      <c r="M22" s="23"/>
      <c r="N22" s="23">
        <f>N21-D22</f>
        <v>2</v>
      </c>
      <c r="O22" s="19">
        <v>45999</v>
      </c>
      <c r="P22" s="20">
        <f t="shared" si="0"/>
        <v>309</v>
      </c>
      <c r="Q22" s="21">
        <f t="shared" si="1"/>
        <v>46363</v>
      </c>
      <c r="R22" s="7">
        <f t="shared" si="2"/>
        <v>56</v>
      </c>
    </row>
    <row r="23" spans="1:18" ht="20.149999999999999" hidden="1" customHeight="1" x14ac:dyDescent="0.25">
      <c r="A23" s="29">
        <v>46056</v>
      </c>
      <c r="B23" s="29">
        <v>46057</v>
      </c>
      <c r="C23" s="30" t="s">
        <v>244</v>
      </c>
      <c r="D23" s="30">
        <v>2</v>
      </c>
      <c r="E23" s="30">
        <f t="shared" ref="E23:E29" si="10">D23*195</f>
        <v>390</v>
      </c>
      <c r="F23" s="31" t="s">
        <v>218</v>
      </c>
      <c r="G23" s="30">
        <f t="shared" ref="G23:G29" si="11">D23*214</f>
        <v>428</v>
      </c>
      <c r="H23" s="37" t="s">
        <v>53</v>
      </c>
      <c r="I23" s="32">
        <f t="shared" si="9"/>
        <v>12090</v>
      </c>
      <c r="J23" s="32"/>
      <c r="K23" s="30"/>
      <c r="L23" s="30">
        <v>260202003</v>
      </c>
      <c r="M23" s="30"/>
      <c r="N23" s="30">
        <f>N22-D23</f>
        <v>0</v>
      </c>
      <c r="O23" s="19">
        <v>45999</v>
      </c>
      <c r="P23" s="20">
        <f t="shared" si="0"/>
        <v>307</v>
      </c>
      <c r="Q23" s="21">
        <f t="shared" si="1"/>
        <v>46363</v>
      </c>
      <c r="R23" s="7">
        <f t="shared" si="2"/>
        <v>58</v>
      </c>
    </row>
    <row r="24" spans="1:18" ht="20.149999999999999" hidden="1" customHeight="1" x14ac:dyDescent="0.25">
      <c r="A24" s="29">
        <v>46056</v>
      </c>
      <c r="B24" s="29">
        <v>46057</v>
      </c>
      <c r="C24" s="30" t="s">
        <v>245</v>
      </c>
      <c r="D24" s="30">
        <v>6</v>
      </c>
      <c r="E24" s="30">
        <f t="shared" si="10"/>
        <v>1170</v>
      </c>
      <c r="F24" s="31" t="s">
        <v>218</v>
      </c>
      <c r="G24" s="30">
        <f t="shared" si="11"/>
        <v>1284</v>
      </c>
      <c r="H24" s="37" t="s">
        <v>53</v>
      </c>
      <c r="I24" s="32">
        <f t="shared" si="9"/>
        <v>10920</v>
      </c>
      <c r="J24" s="32"/>
      <c r="K24" s="30"/>
      <c r="L24" s="30">
        <v>260202003</v>
      </c>
      <c r="M24" s="30"/>
      <c r="N24" s="30">
        <f>37-D24</f>
        <v>31</v>
      </c>
      <c r="O24" s="19">
        <v>46007</v>
      </c>
      <c r="P24" s="20">
        <f t="shared" si="0"/>
        <v>315</v>
      </c>
      <c r="Q24" s="21">
        <f t="shared" si="1"/>
        <v>46371</v>
      </c>
      <c r="R24" s="7">
        <f t="shared" si="2"/>
        <v>50</v>
      </c>
    </row>
    <row r="25" spans="1:18" ht="20.149999999999999" hidden="1" customHeight="1" x14ac:dyDescent="0.25">
      <c r="A25" s="29">
        <v>46056</v>
      </c>
      <c r="B25" s="29">
        <v>46057</v>
      </c>
      <c r="C25" s="30" t="s">
        <v>246</v>
      </c>
      <c r="D25" s="30">
        <v>4</v>
      </c>
      <c r="E25" s="30">
        <f t="shared" si="10"/>
        <v>780</v>
      </c>
      <c r="F25" s="31" t="s">
        <v>218</v>
      </c>
      <c r="G25" s="30">
        <f t="shared" si="11"/>
        <v>856</v>
      </c>
      <c r="H25" s="37" t="s">
        <v>53</v>
      </c>
      <c r="I25" s="32">
        <f t="shared" si="9"/>
        <v>10140</v>
      </c>
      <c r="J25" s="70" t="s">
        <v>12</v>
      </c>
      <c r="K25" s="30"/>
      <c r="L25" s="30">
        <v>260202003</v>
      </c>
      <c r="M25" s="30">
        <v>41</v>
      </c>
      <c r="N25" s="30">
        <f>M25-D25</f>
        <v>37</v>
      </c>
      <c r="O25" s="19">
        <v>46043</v>
      </c>
      <c r="P25" s="20">
        <f t="shared" si="0"/>
        <v>351</v>
      </c>
      <c r="Q25" s="21">
        <f t="shared" si="1"/>
        <v>46407</v>
      </c>
      <c r="R25" s="7">
        <f t="shared" si="2"/>
        <v>14</v>
      </c>
    </row>
    <row r="26" spans="1:18" ht="20.149999999999999" hidden="1" customHeight="1" x14ac:dyDescent="0.25">
      <c r="A26" s="29">
        <v>46056</v>
      </c>
      <c r="B26" s="29">
        <v>46057</v>
      </c>
      <c r="C26" s="30" t="s">
        <v>247</v>
      </c>
      <c r="D26" s="30">
        <v>4</v>
      </c>
      <c r="E26" s="30">
        <f t="shared" si="10"/>
        <v>780</v>
      </c>
      <c r="F26" s="31" t="s">
        <v>218</v>
      </c>
      <c r="G26" s="30">
        <f t="shared" si="11"/>
        <v>856</v>
      </c>
      <c r="H26" s="37" t="s">
        <v>53</v>
      </c>
      <c r="I26" s="32">
        <f t="shared" si="9"/>
        <v>9360</v>
      </c>
      <c r="J26" s="70" t="s">
        <v>12</v>
      </c>
      <c r="K26" s="30"/>
      <c r="L26" s="30">
        <v>260202003</v>
      </c>
      <c r="M26" s="30">
        <v>42</v>
      </c>
      <c r="N26" s="30">
        <f>M26-D26</f>
        <v>38</v>
      </c>
      <c r="O26" s="19">
        <v>46045</v>
      </c>
      <c r="P26" s="20">
        <f t="shared" si="0"/>
        <v>353</v>
      </c>
      <c r="Q26" s="21">
        <f t="shared" si="1"/>
        <v>46409</v>
      </c>
      <c r="R26" s="7">
        <f t="shared" si="2"/>
        <v>12</v>
      </c>
    </row>
    <row r="27" spans="1:18" ht="20.149999999999999" hidden="1" customHeight="1" x14ac:dyDescent="0.25">
      <c r="A27" s="22">
        <v>46058</v>
      </c>
      <c r="B27" s="22">
        <v>46059</v>
      </c>
      <c r="C27" s="23" t="s">
        <v>245</v>
      </c>
      <c r="D27" s="23">
        <v>16</v>
      </c>
      <c r="E27" s="23">
        <f t="shared" si="10"/>
        <v>3120</v>
      </c>
      <c r="F27" s="24" t="s">
        <v>56</v>
      </c>
      <c r="G27" s="23">
        <f t="shared" si="11"/>
        <v>3424</v>
      </c>
      <c r="H27" s="38" t="s">
        <v>53</v>
      </c>
      <c r="I27" s="25">
        <f>I26-E27</f>
        <v>6240</v>
      </c>
      <c r="J27" s="25"/>
      <c r="K27" s="23"/>
      <c r="L27" s="23">
        <v>260204001</v>
      </c>
      <c r="M27" s="23"/>
      <c r="N27" s="23">
        <f>N24-D27</f>
        <v>15</v>
      </c>
      <c r="O27" s="19">
        <v>46007</v>
      </c>
      <c r="P27" s="20">
        <f t="shared" si="0"/>
        <v>313</v>
      </c>
      <c r="Q27" s="21">
        <f t="shared" si="1"/>
        <v>46371</v>
      </c>
      <c r="R27" s="7">
        <f t="shared" si="2"/>
        <v>52</v>
      </c>
    </row>
    <row r="28" spans="1:18" ht="20.149999999999999" hidden="1" customHeight="1" x14ac:dyDescent="0.25">
      <c r="A28" s="26">
        <v>46059</v>
      </c>
      <c r="B28" s="26">
        <v>46062</v>
      </c>
      <c r="C28" s="27" t="s">
        <v>245</v>
      </c>
      <c r="D28" s="27">
        <v>8</v>
      </c>
      <c r="E28" s="27">
        <f t="shared" si="10"/>
        <v>1560</v>
      </c>
      <c r="F28" s="69" t="s">
        <v>56</v>
      </c>
      <c r="G28" s="27">
        <f t="shared" si="11"/>
        <v>1712</v>
      </c>
      <c r="H28" s="36" t="s">
        <v>53</v>
      </c>
      <c r="I28" s="28">
        <f>I27-E28</f>
        <v>4680</v>
      </c>
      <c r="J28" s="28"/>
      <c r="K28" s="27"/>
      <c r="L28" s="27">
        <v>260205002</v>
      </c>
      <c r="M28" s="27"/>
      <c r="N28" s="27">
        <f>N27-D28</f>
        <v>7</v>
      </c>
      <c r="O28" s="19">
        <v>46007</v>
      </c>
      <c r="P28" s="20">
        <f t="shared" si="0"/>
        <v>310</v>
      </c>
      <c r="Q28" s="21">
        <f t="shared" si="1"/>
        <v>46371</v>
      </c>
      <c r="R28" s="7">
        <f t="shared" si="2"/>
        <v>55</v>
      </c>
    </row>
    <row r="29" spans="1:18" ht="20.149999999999999" hidden="1" customHeight="1" x14ac:dyDescent="0.25">
      <c r="A29" s="26">
        <v>46059</v>
      </c>
      <c r="B29" s="26">
        <v>46062</v>
      </c>
      <c r="C29" s="27" t="s">
        <v>280</v>
      </c>
      <c r="D29" s="27">
        <v>4</v>
      </c>
      <c r="E29" s="27">
        <f t="shared" si="10"/>
        <v>780</v>
      </c>
      <c r="F29" s="69" t="s">
        <v>56</v>
      </c>
      <c r="G29" s="27">
        <f t="shared" si="11"/>
        <v>856</v>
      </c>
      <c r="H29" s="36" t="s">
        <v>53</v>
      </c>
      <c r="I29" s="28">
        <f>I28-E29</f>
        <v>3900</v>
      </c>
      <c r="J29" s="61" t="s">
        <v>12</v>
      </c>
      <c r="K29" s="27"/>
      <c r="L29" s="27">
        <v>260205002</v>
      </c>
      <c r="M29" s="27">
        <v>41</v>
      </c>
      <c r="N29" s="27">
        <f>M29-D29</f>
        <v>37</v>
      </c>
      <c r="O29" s="19">
        <v>46051</v>
      </c>
      <c r="P29" s="20">
        <f t="shared" si="0"/>
        <v>354</v>
      </c>
      <c r="Q29" s="21">
        <f t="shared" si="1"/>
        <v>46415</v>
      </c>
      <c r="R29" s="7">
        <f t="shared" si="2"/>
        <v>11</v>
      </c>
    </row>
    <row r="30" spans="1:18" ht="20.149999999999999" hidden="1" customHeight="1" x14ac:dyDescent="0.25">
      <c r="A30" s="33">
        <v>46063</v>
      </c>
      <c r="B30" s="33">
        <v>46064</v>
      </c>
      <c r="C30" s="34" t="s">
        <v>245</v>
      </c>
      <c r="D30" s="34">
        <v>7</v>
      </c>
      <c r="E30" s="34">
        <f t="shared" ref="E30:E42" si="12">D30*195</f>
        <v>1365</v>
      </c>
      <c r="F30" s="76" t="s">
        <v>56</v>
      </c>
      <c r="G30" s="34">
        <f t="shared" ref="G30:G42" si="13">D30*214</f>
        <v>1498</v>
      </c>
      <c r="H30" s="39" t="s">
        <v>302</v>
      </c>
      <c r="I30" s="35">
        <f>I29-E30</f>
        <v>2535</v>
      </c>
      <c r="J30" s="35"/>
      <c r="K30" s="34"/>
      <c r="L30" s="34">
        <v>260209001</v>
      </c>
      <c r="M30" s="34"/>
      <c r="N30" s="34">
        <f>N28-D30</f>
        <v>0</v>
      </c>
      <c r="O30" s="19">
        <v>46007</v>
      </c>
      <c r="P30" s="20">
        <f t="shared" si="0"/>
        <v>308</v>
      </c>
      <c r="Q30" s="21">
        <f t="shared" si="1"/>
        <v>46371</v>
      </c>
      <c r="R30" s="7">
        <f t="shared" si="2"/>
        <v>57</v>
      </c>
    </row>
    <row r="31" spans="1:18" ht="20.149999999999999" hidden="1" customHeight="1" x14ac:dyDescent="0.25">
      <c r="A31" s="33">
        <v>46063</v>
      </c>
      <c r="B31" s="33">
        <v>46064</v>
      </c>
      <c r="C31" s="34" t="s">
        <v>299</v>
      </c>
      <c r="D31" s="34">
        <v>13</v>
      </c>
      <c r="E31" s="34">
        <f t="shared" si="12"/>
        <v>2535</v>
      </c>
      <c r="F31" s="76" t="s">
        <v>56</v>
      </c>
      <c r="G31" s="34">
        <f t="shared" si="13"/>
        <v>2782</v>
      </c>
      <c r="H31" s="39" t="s">
        <v>53</v>
      </c>
      <c r="I31" s="35">
        <f>I30-E31</f>
        <v>0</v>
      </c>
      <c r="J31" s="35"/>
      <c r="K31" s="34"/>
      <c r="L31" s="34">
        <v>260209001</v>
      </c>
      <c r="M31" s="34"/>
      <c r="N31" s="34">
        <f>38-D31</f>
        <v>25</v>
      </c>
      <c r="O31" s="19">
        <v>46009</v>
      </c>
      <c r="P31" s="20">
        <f t="shared" si="0"/>
        <v>310</v>
      </c>
      <c r="Q31" s="21">
        <f t="shared" si="1"/>
        <v>46373</v>
      </c>
      <c r="R31" s="7">
        <f t="shared" si="2"/>
        <v>55</v>
      </c>
    </row>
    <row r="32" spans="1:18" ht="20.149999999999999" hidden="1" customHeight="1" x14ac:dyDescent="0.25">
      <c r="A32" s="29">
        <v>46065</v>
      </c>
      <c r="B32" s="29">
        <v>46066</v>
      </c>
      <c r="C32" s="30" t="s">
        <v>309</v>
      </c>
      <c r="D32" s="30">
        <v>20</v>
      </c>
      <c r="E32" s="30">
        <f t="shared" si="12"/>
        <v>3900</v>
      </c>
      <c r="F32" s="31" t="s">
        <v>56</v>
      </c>
      <c r="G32" s="30">
        <f t="shared" si="13"/>
        <v>4280</v>
      </c>
      <c r="H32" s="126" t="s">
        <v>310</v>
      </c>
      <c r="I32" s="32">
        <f>65520-E32</f>
        <v>61620</v>
      </c>
      <c r="J32" s="32"/>
      <c r="K32" s="30"/>
      <c r="L32" s="30">
        <v>260211002</v>
      </c>
      <c r="M32" s="30"/>
      <c r="N32" s="30">
        <f>N31-D32</f>
        <v>5</v>
      </c>
      <c r="O32" s="19">
        <v>46009</v>
      </c>
      <c r="P32" s="20">
        <f t="shared" si="0"/>
        <v>308</v>
      </c>
      <c r="Q32" s="21">
        <f t="shared" si="1"/>
        <v>46373</v>
      </c>
      <c r="R32" s="7">
        <f t="shared" si="2"/>
        <v>57</v>
      </c>
    </row>
    <row r="33" spans="1:18" ht="20.149999999999999" hidden="1" customHeight="1" x14ac:dyDescent="0.25">
      <c r="A33" s="22">
        <v>46066</v>
      </c>
      <c r="B33" s="128">
        <v>46070</v>
      </c>
      <c r="C33" s="23" t="s">
        <v>341</v>
      </c>
      <c r="D33" s="23">
        <v>5</v>
      </c>
      <c r="E33" s="23">
        <f t="shared" si="12"/>
        <v>975</v>
      </c>
      <c r="F33" s="24" t="s">
        <v>56</v>
      </c>
      <c r="G33" s="23">
        <f t="shared" si="13"/>
        <v>1070</v>
      </c>
      <c r="H33" s="38" t="s">
        <v>354</v>
      </c>
      <c r="I33" s="25">
        <f t="shared" ref="I33:I39" si="14">I32-E33</f>
        <v>60645</v>
      </c>
      <c r="J33" s="25"/>
      <c r="K33" s="23"/>
      <c r="L33" s="23">
        <v>260212002</v>
      </c>
      <c r="M33" s="23"/>
      <c r="N33" s="23">
        <f>N32-D33</f>
        <v>0</v>
      </c>
      <c r="O33" s="19">
        <v>46009</v>
      </c>
      <c r="P33" s="20">
        <f t="shared" si="0"/>
        <v>304</v>
      </c>
      <c r="Q33" s="21">
        <f t="shared" si="1"/>
        <v>46373</v>
      </c>
      <c r="R33" s="7">
        <f t="shared" si="2"/>
        <v>61</v>
      </c>
    </row>
    <row r="34" spans="1:18" ht="20.149999999999999" hidden="1" customHeight="1" x14ac:dyDescent="0.25">
      <c r="A34" s="22">
        <v>46066</v>
      </c>
      <c r="B34" s="128">
        <v>46070</v>
      </c>
      <c r="C34" s="23" t="s">
        <v>74</v>
      </c>
      <c r="D34" s="23">
        <v>11</v>
      </c>
      <c r="E34" s="23">
        <f t="shared" si="12"/>
        <v>2145</v>
      </c>
      <c r="F34" s="24" t="s">
        <v>56</v>
      </c>
      <c r="G34" s="23">
        <f t="shared" si="13"/>
        <v>2354</v>
      </c>
      <c r="H34" s="38" t="s">
        <v>310</v>
      </c>
      <c r="I34" s="25">
        <f t="shared" si="14"/>
        <v>58500</v>
      </c>
      <c r="J34" s="25"/>
      <c r="K34" s="23"/>
      <c r="L34" s="23">
        <v>260212002</v>
      </c>
      <c r="M34" s="23"/>
      <c r="N34" s="23">
        <f>N5-D34</f>
        <v>26</v>
      </c>
      <c r="O34" s="19">
        <v>46013</v>
      </c>
      <c r="P34" s="20">
        <f t="shared" si="0"/>
        <v>308</v>
      </c>
      <c r="Q34" s="21">
        <f t="shared" si="1"/>
        <v>46377</v>
      </c>
      <c r="R34" s="7">
        <f t="shared" si="2"/>
        <v>57</v>
      </c>
    </row>
    <row r="35" spans="1:18" ht="20.149999999999999" hidden="1" customHeight="1" x14ac:dyDescent="0.25">
      <c r="A35" s="71">
        <v>46066</v>
      </c>
      <c r="B35" s="85">
        <v>46073</v>
      </c>
      <c r="C35" s="72" t="s">
        <v>74</v>
      </c>
      <c r="D35" s="72">
        <v>20</v>
      </c>
      <c r="E35" s="72">
        <f t="shared" si="12"/>
        <v>3900</v>
      </c>
      <c r="F35" s="88" t="s">
        <v>56</v>
      </c>
      <c r="G35" s="72">
        <f t="shared" si="13"/>
        <v>4280</v>
      </c>
      <c r="H35" s="73" t="s">
        <v>354</v>
      </c>
      <c r="I35" s="74">
        <f t="shared" si="14"/>
        <v>54600</v>
      </c>
      <c r="J35" s="74"/>
      <c r="K35" s="72"/>
      <c r="L35" s="72">
        <v>260212003</v>
      </c>
      <c r="M35" s="72"/>
      <c r="N35" s="72">
        <f>N34-D35</f>
        <v>6</v>
      </c>
      <c r="O35" s="19">
        <v>46013</v>
      </c>
      <c r="P35" s="20">
        <f t="shared" si="0"/>
        <v>305</v>
      </c>
      <c r="Q35" s="21">
        <f t="shared" si="1"/>
        <v>46377</v>
      </c>
      <c r="R35" s="7">
        <f t="shared" si="2"/>
        <v>60</v>
      </c>
    </row>
    <row r="36" spans="1:18" ht="20.149999999999999" hidden="1" customHeight="1" x14ac:dyDescent="0.25">
      <c r="A36" s="26">
        <v>46066</v>
      </c>
      <c r="B36" s="26">
        <v>46076</v>
      </c>
      <c r="C36" s="27" t="s">
        <v>74</v>
      </c>
      <c r="D36" s="27">
        <v>6</v>
      </c>
      <c r="E36" s="27">
        <f t="shared" si="12"/>
        <v>1170</v>
      </c>
      <c r="F36" s="69" t="s">
        <v>56</v>
      </c>
      <c r="G36" s="27">
        <f t="shared" si="13"/>
        <v>1284</v>
      </c>
      <c r="H36" s="36" t="s">
        <v>354</v>
      </c>
      <c r="I36" s="28">
        <f t="shared" si="14"/>
        <v>53430</v>
      </c>
      <c r="J36" s="28"/>
      <c r="K36" s="27"/>
      <c r="L36" s="27">
        <v>260212020</v>
      </c>
      <c r="M36" s="27"/>
      <c r="N36" s="27">
        <f>N35-D36</f>
        <v>0</v>
      </c>
      <c r="O36" s="19">
        <v>46013</v>
      </c>
      <c r="P36" s="20">
        <f t="shared" si="0"/>
        <v>302</v>
      </c>
      <c r="Q36" s="21">
        <f t="shared" si="1"/>
        <v>46377</v>
      </c>
      <c r="R36" s="7">
        <f t="shared" si="2"/>
        <v>63</v>
      </c>
    </row>
    <row r="37" spans="1:18" ht="20.149999999999999" hidden="1" customHeight="1" x14ac:dyDescent="0.25">
      <c r="A37" s="26">
        <v>46066</v>
      </c>
      <c r="B37" s="26">
        <v>46076</v>
      </c>
      <c r="C37" s="27" t="s">
        <v>75</v>
      </c>
      <c r="D37" s="27">
        <v>6</v>
      </c>
      <c r="E37" s="27">
        <f t="shared" si="12"/>
        <v>1170</v>
      </c>
      <c r="F37" s="69" t="s">
        <v>56</v>
      </c>
      <c r="G37" s="27">
        <f t="shared" si="13"/>
        <v>1284</v>
      </c>
      <c r="H37" s="36" t="s">
        <v>310</v>
      </c>
      <c r="I37" s="28">
        <f t="shared" si="14"/>
        <v>52260</v>
      </c>
      <c r="J37" s="28"/>
      <c r="K37" s="27"/>
      <c r="L37" s="27">
        <v>260212020</v>
      </c>
      <c r="M37" s="27"/>
      <c r="N37" s="27">
        <f>N6-D37</f>
        <v>31</v>
      </c>
      <c r="O37" s="19">
        <v>46015</v>
      </c>
      <c r="P37" s="20">
        <f t="shared" si="0"/>
        <v>304</v>
      </c>
      <c r="Q37" s="21">
        <f t="shared" si="1"/>
        <v>46379</v>
      </c>
      <c r="R37" s="7">
        <f t="shared" si="2"/>
        <v>61</v>
      </c>
    </row>
    <row r="38" spans="1:18" ht="20.149999999999999" hidden="1" customHeight="1" x14ac:dyDescent="0.25">
      <c r="A38" s="33">
        <v>46077</v>
      </c>
      <c r="B38" s="33">
        <v>46078</v>
      </c>
      <c r="C38" s="34" t="s">
        <v>380</v>
      </c>
      <c r="D38" s="34">
        <v>16</v>
      </c>
      <c r="E38" s="34">
        <f t="shared" si="12"/>
        <v>3120</v>
      </c>
      <c r="F38" s="76" t="s">
        <v>56</v>
      </c>
      <c r="G38" s="34">
        <f t="shared" si="13"/>
        <v>3424</v>
      </c>
      <c r="H38" s="39" t="s">
        <v>382</v>
      </c>
      <c r="I38" s="35">
        <f t="shared" si="14"/>
        <v>49140</v>
      </c>
      <c r="J38" s="35"/>
      <c r="K38" s="34"/>
      <c r="L38" s="34">
        <v>260223003</v>
      </c>
      <c r="M38" s="34"/>
      <c r="N38" s="34">
        <f>N37-D38</f>
        <v>15</v>
      </c>
      <c r="O38" s="19">
        <v>46015</v>
      </c>
      <c r="P38" s="20">
        <f t="shared" si="0"/>
        <v>302</v>
      </c>
      <c r="Q38" s="21">
        <f t="shared" si="1"/>
        <v>46379</v>
      </c>
      <c r="R38" s="7">
        <f t="shared" si="2"/>
        <v>63</v>
      </c>
    </row>
    <row r="39" spans="1:18" ht="20.149999999999999" hidden="1" customHeight="1" x14ac:dyDescent="0.25">
      <c r="A39" s="33">
        <v>46077</v>
      </c>
      <c r="B39" s="33">
        <v>46078</v>
      </c>
      <c r="C39" s="34" t="s">
        <v>381</v>
      </c>
      <c r="D39" s="34">
        <v>4</v>
      </c>
      <c r="E39" s="34">
        <f t="shared" si="12"/>
        <v>780</v>
      </c>
      <c r="F39" s="76" t="s">
        <v>56</v>
      </c>
      <c r="G39" s="34">
        <f t="shared" si="13"/>
        <v>856</v>
      </c>
      <c r="H39" s="39" t="s">
        <v>310</v>
      </c>
      <c r="I39" s="35">
        <f t="shared" si="14"/>
        <v>48360</v>
      </c>
      <c r="J39" s="63" t="s">
        <v>12</v>
      </c>
      <c r="K39" s="34"/>
      <c r="L39" s="34">
        <v>260223003</v>
      </c>
      <c r="M39" s="34">
        <v>42</v>
      </c>
      <c r="N39" s="34">
        <f>M39-D39</f>
        <v>38</v>
      </c>
      <c r="O39" s="19">
        <v>46065</v>
      </c>
      <c r="P39" s="20">
        <f t="shared" si="0"/>
        <v>352</v>
      </c>
      <c r="Q39" s="21">
        <f t="shared" si="1"/>
        <v>46429</v>
      </c>
      <c r="R39" s="7">
        <f t="shared" si="2"/>
        <v>13</v>
      </c>
    </row>
    <row r="40" spans="1:18" ht="20.149999999999999" hidden="1" customHeight="1" x14ac:dyDescent="0.25">
      <c r="A40" s="22">
        <v>46079</v>
      </c>
      <c r="B40" s="143">
        <v>46080</v>
      </c>
      <c r="C40" s="23" t="s">
        <v>75</v>
      </c>
      <c r="D40" s="23">
        <v>15</v>
      </c>
      <c r="E40" s="23">
        <f t="shared" si="12"/>
        <v>2925</v>
      </c>
      <c r="F40" s="24" t="s">
        <v>56</v>
      </c>
      <c r="G40" s="23">
        <f t="shared" si="13"/>
        <v>3210</v>
      </c>
      <c r="H40" s="38" t="s">
        <v>398</v>
      </c>
      <c r="I40" s="25">
        <f t="shared" ref="I40:I45" si="15">I39-E40</f>
        <v>45435</v>
      </c>
      <c r="J40" s="25"/>
      <c r="K40" s="23"/>
      <c r="L40" s="23">
        <v>260225002</v>
      </c>
      <c r="M40" s="23"/>
      <c r="N40" s="23">
        <f>N38-D40</f>
        <v>0</v>
      </c>
      <c r="O40" s="19">
        <v>46015</v>
      </c>
      <c r="P40" s="20">
        <f t="shared" si="0"/>
        <v>300</v>
      </c>
      <c r="Q40" s="21">
        <f t="shared" si="1"/>
        <v>46379</v>
      </c>
      <c r="R40" s="7">
        <f t="shared" si="2"/>
        <v>65</v>
      </c>
    </row>
    <row r="41" spans="1:18" ht="20.149999999999999" hidden="1" customHeight="1" x14ac:dyDescent="0.25">
      <c r="A41" s="22">
        <v>46079</v>
      </c>
      <c r="B41" s="143">
        <v>46080</v>
      </c>
      <c r="C41" s="23" t="s">
        <v>395</v>
      </c>
      <c r="D41" s="23">
        <v>1</v>
      </c>
      <c r="E41" s="23">
        <f t="shared" si="12"/>
        <v>195</v>
      </c>
      <c r="F41" s="24" t="s">
        <v>56</v>
      </c>
      <c r="G41" s="23">
        <f t="shared" si="13"/>
        <v>214</v>
      </c>
      <c r="H41" s="38" t="s">
        <v>310</v>
      </c>
      <c r="I41" s="25">
        <f t="shared" si="15"/>
        <v>45240</v>
      </c>
      <c r="J41" s="25"/>
      <c r="K41" s="23"/>
      <c r="L41" s="23">
        <v>260225002</v>
      </c>
      <c r="M41" s="23"/>
      <c r="N41" s="23">
        <f>N17-D41</f>
        <v>37</v>
      </c>
      <c r="O41" s="19">
        <v>46031</v>
      </c>
      <c r="P41" s="20">
        <f t="shared" ref="P41:P76" si="16">365-R41</f>
        <v>316</v>
      </c>
      <c r="Q41" s="21">
        <f t="shared" ref="Q41:Q76" si="17">DATE(YEAR(O41)+1,MONTH(O41),DAY(O41))-1</f>
        <v>46395</v>
      </c>
      <c r="R41" s="7">
        <f t="shared" ref="R41:R76" si="18">DATEDIF(O41,B41,"d")</f>
        <v>49</v>
      </c>
    </row>
    <row r="42" spans="1:18" ht="20.149999999999999" hidden="1" customHeight="1" x14ac:dyDescent="0.25">
      <c r="A42" s="29">
        <v>46079</v>
      </c>
      <c r="B42" s="29">
        <v>46083</v>
      </c>
      <c r="C42" s="30" t="s">
        <v>395</v>
      </c>
      <c r="D42" s="30">
        <v>12</v>
      </c>
      <c r="E42" s="30">
        <f t="shared" si="12"/>
        <v>2340</v>
      </c>
      <c r="F42" s="31" t="s">
        <v>56</v>
      </c>
      <c r="G42" s="30">
        <f t="shared" si="13"/>
        <v>2568</v>
      </c>
      <c r="H42" s="37" t="s">
        <v>399</v>
      </c>
      <c r="I42" s="32">
        <f t="shared" si="15"/>
        <v>42900</v>
      </c>
      <c r="J42" s="32"/>
      <c r="K42" s="30"/>
      <c r="L42" s="30">
        <v>260225003</v>
      </c>
      <c r="M42" s="30"/>
      <c r="N42" s="30">
        <f>N41-D42</f>
        <v>25</v>
      </c>
      <c r="O42" s="19">
        <v>46031</v>
      </c>
      <c r="P42" s="20">
        <f t="shared" si="16"/>
        <v>313</v>
      </c>
      <c r="Q42" s="21">
        <f t="shared" si="17"/>
        <v>46395</v>
      </c>
      <c r="R42" s="7">
        <f t="shared" si="18"/>
        <v>52</v>
      </c>
    </row>
    <row r="43" spans="1:18" ht="20.149999999999999" hidden="1" customHeight="1" x14ac:dyDescent="0.25">
      <c r="A43" s="26">
        <v>46084</v>
      </c>
      <c r="B43" s="26">
        <v>46085</v>
      </c>
      <c r="C43" s="27" t="s">
        <v>415</v>
      </c>
      <c r="D43" s="27">
        <v>12</v>
      </c>
      <c r="E43" s="27">
        <f t="shared" ref="E43:E79" si="19">D43*195</f>
        <v>2340</v>
      </c>
      <c r="F43" s="69" t="s">
        <v>56</v>
      </c>
      <c r="G43" s="27">
        <f t="shared" ref="G43:G79" si="20">D43*214</f>
        <v>2568</v>
      </c>
      <c r="H43" s="36" t="s">
        <v>310</v>
      </c>
      <c r="I43" s="28">
        <f t="shared" si="15"/>
        <v>40560</v>
      </c>
      <c r="J43" s="28"/>
      <c r="K43" s="27"/>
      <c r="L43" s="27">
        <v>260302003</v>
      </c>
      <c r="M43" s="27"/>
      <c r="N43" s="27">
        <f>N42-D43</f>
        <v>13</v>
      </c>
      <c r="O43" s="19">
        <v>46031</v>
      </c>
      <c r="P43" s="20">
        <f t="shared" si="16"/>
        <v>311</v>
      </c>
      <c r="Q43" s="21">
        <f t="shared" si="17"/>
        <v>46395</v>
      </c>
      <c r="R43" s="7">
        <f t="shared" si="18"/>
        <v>54</v>
      </c>
    </row>
    <row r="44" spans="1:18" ht="20.149999999999999" hidden="1" customHeight="1" x14ac:dyDescent="0.25">
      <c r="A44" s="33">
        <v>46086</v>
      </c>
      <c r="B44" s="33">
        <v>46087</v>
      </c>
      <c r="C44" s="34" t="s">
        <v>177</v>
      </c>
      <c r="D44" s="34">
        <v>13</v>
      </c>
      <c r="E44" s="34">
        <f t="shared" si="19"/>
        <v>2535</v>
      </c>
      <c r="F44" s="76" t="s">
        <v>56</v>
      </c>
      <c r="G44" s="34">
        <f t="shared" si="20"/>
        <v>2782</v>
      </c>
      <c r="H44" s="39" t="s">
        <v>310</v>
      </c>
      <c r="I44" s="35">
        <f t="shared" si="15"/>
        <v>38025</v>
      </c>
      <c r="J44" s="35"/>
      <c r="K44" s="34"/>
      <c r="L44" s="34">
        <v>260304002</v>
      </c>
      <c r="M44" s="34"/>
      <c r="N44" s="34">
        <f>N43-D44</f>
        <v>0</v>
      </c>
      <c r="O44" s="19">
        <v>46031</v>
      </c>
      <c r="P44" s="20">
        <f t="shared" si="16"/>
        <v>309</v>
      </c>
      <c r="Q44" s="21">
        <f t="shared" si="17"/>
        <v>46395</v>
      </c>
      <c r="R44" s="7">
        <f t="shared" si="18"/>
        <v>56</v>
      </c>
    </row>
    <row r="45" spans="1:18" ht="20.149999999999999" hidden="1" customHeight="1" x14ac:dyDescent="0.25">
      <c r="A45" s="33">
        <v>46086</v>
      </c>
      <c r="B45" s="33">
        <v>46087</v>
      </c>
      <c r="C45" s="34" t="s">
        <v>426</v>
      </c>
      <c r="D45" s="34">
        <v>3</v>
      </c>
      <c r="E45" s="34">
        <f t="shared" si="19"/>
        <v>585</v>
      </c>
      <c r="F45" s="76" t="s">
        <v>56</v>
      </c>
      <c r="G45" s="34">
        <f t="shared" si="20"/>
        <v>642</v>
      </c>
      <c r="H45" s="39" t="s">
        <v>310</v>
      </c>
      <c r="I45" s="35">
        <f t="shared" si="15"/>
        <v>37440</v>
      </c>
      <c r="J45" s="35"/>
      <c r="K45" s="34"/>
      <c r="L45" s="34">
        <v>260304002</v>
      </c>
      <c r="M45" s="34"/>
      <c r="N45" s="34">
        <f>N20-D45</f>
        <v>34</v>
      </c>
      <c r="O45" s="19">
        <v>46037</v>
      </c>
      <c r="P45" s="20">
        <f t="shared" si="16"/>
        <v>315</v>
      </c>
      <c r="Q45" s="21">
        <f t="shared" si="17"/>
        <v>46401</v>
      </c>
      <c r="R45" s="7">
        <f t="shared" si="18"/>
        <v>50</v>
      </c>
    </row>
    <row r="46" spans="1:18" ht="20.149999999999999" hidden="1" customHeight="1" x14ac:dyDescent="0.25">
      <c r="A46" s="71">
        <v>46087</v>
      </c>
      <c r="B46" s="71">
        <v>46090</v>
      </c>
      <c r="C46" s="72" t="s">
        <v>202</v>
      </c>
      <c r="D46" s="72">
        <v>8</v>
      </c>
      <c r="E46" s="72">
        <f t="shared" si="19"/>
        <v>1560</v>
      </c>
      <c r="F46" s="88" t="s">
        <v>56</v>
      </c>
      <c r="G46" s="72">
        <f t="shared" si="20"/>
        <v>1712</v>
      </c>
      <c r="H46" s="73" t="s">
        <v>439</v>
      </c>
      <c r="I46" s="74">
        <f t="shared" ref="I46:I51" si="21">I45-E46</f>
        <v>35880</v>
      </c>
      <c r="J46" s="74"/>
      <c r="K46" s="72"/>
      <c r="L46" s="72">
        <v>260305004</v>
      </c>
      <c r="M46" s="72"/>
      <c r="N46" s="72">
        <f>N45-D46</f>
        <v>26</v>
      </c>
      <c r="O46" s="19">
        <v>46037</v>
      </c>
      <c r="P46" s="20">
        <f t="shared" si="16"/>
        <v>312</v>
      </c>
      <c r="Q46" s="21">
        <f t="shared" si="17"/>
        <v>46401</v>
      </c>
      <c r="R46" s="7">
        <f t="shared" si="18"/>
        <v>53</v>
      </c>
    </row>
    <row r="47" spans="1:18" ht="20.149999999999999" hidden="1" customHeight="1" x14ac:dyDescent="0.25">
      <c r="A47" s="71">
        <v>46087</v>
      </c>
      <c r="B47" s="71">
        <v>46090</v>
      </c>
      <c r="C47" s="72" t="s">
        <v>433</v>
      </c>
      <c r="D47" s="72">
        <v>4</v>
      </c>
      <c r="E47" s="72">
        <f t="shared" si="19"/>
        <v>780</v>
      </c>
      <c r="F47" s="88" t="s">
        <v>56</v>
      </c>
      <c r="G47" s="72">
        <f t="shared" si="20"/>
        <v>856</v>
      </c>
      <c r="H47" s="73" t="s">
        <v>434</v>
      </c>
      <c r="I47" s="74">
        <f t="shared" si="21"/>
        <v>35100</v>
      </c>
      <c r="J47" s="89" t="s">
        <v>12</v>
      </c>
      <c r="K47" s="72"/>
      <c r="L47" s="72">
        <v>260305004</v>
      </c>
      <c r="M47" s="72">
        <v>41</v>
      </c>
      <c r="N47" s="72">
        <f>M47-D47</f>
        <v>37</v>
      </c>
      <c r="O47" s="19">
        <v>46077</v>
      </c>
      <c r="P47" s="20">
        <f t="shared" si="16"/>
        <v>352</v>
      </c>
      <c r="Q47" s="21">
        <f t="shared" si="17"/>
        <v>46441</v>
      </c>
      <c r="R47" s="7">
        <f t="shared" si="18"/>
        <v>13</v>
      </c>
    </row>
    <row r="48" spans="1:18" ht="20.149999999999999" hidden="1" customHeight="1" x14ac:dyDescent="0.25">
      <c r="A48" s="22">
        <v>46091</v>
      </c>
      <c r="B48" s="22">
        <v>46092</v>
      </c>
      <c r="C48" s="23" t="s">
        <v>468</v>
      </c>
      <c r="D48" s="23">
        <v>20</v>
      </c>
      <c r="E48" s="23">
        <f t="shared" si="19"/>
        <v>3900</v>
      </c>
      <c r="F48" s="24" t="s">
        <v>56</v>
      </c>
      <c r="G48" s="23">
        <f t="shared" si="20"/>
        <v>4280</v>
      </c>
      <c r="H48" s="38" t="s">
        <v>474</v>
      </c>
      <c r="I48" s="25">
        <f t="shared" si="21"/>
        <v>31200</v>
      </c>
      <c r="J48" s="25"/>
      <c r="K48" s="23"/>
      <c r="L48" s="23">
        <v>260309002</v>
      </c>
      <c r="M48" s="23"/>
      <c r="N48" s="23">
        <f>N46-D48</f>
        <v>6</v>
      </c>
      <c r="O48" s="19">
        <v>46037</v>
      </c>
      <c r="P48" s="20">
        <f t="shared" si="16"/>
        <v>310</v>
      </c>
      <c r="Q48" s="21">
        <f t="shared" si="17"/>
        <v>46401</v>
      </c>
      <c r="R48" s="7">
        <f t="shared" si="18"/>
        <v>55</v>
      </c>
    </row>
    <row r="49" spans="1:18" ht="20.149999999999999" hidden="1" customHeight="1" x14ac:dyDescent="0.25">
      <c r="A49" s="29">
        <v>46093</v>
      </c>
      <c r="B49" s="29">
        <v>46094</v>
      </c>
      <c r="C49" s="30" t="s">
        <v>489</v>
      </c>
      <c r="D49" s="30">
        <v>6</v>
      </c>
      <c r="E49" s="30">
        <f t="shared" si="19"/>
        <v>1170</v>
      </c>
      <c r="F49" s="31" t="s">
        <v>56</v>
      </c>
      <c r="G49" s="30">
        <f t="shared" si="20"/>
        <v>1284</v>
      </c>
      <c r="H49" s="37" t="s">
        <v>310</v>
      </c>
      <c r="I49" s="32">
        <f t="shared" si="21"/>
        <v>30030</v>
      </c>
      <c r="J49" s="32"/>
      <c r="K49" s="30"/>
      <c r="L49" s="30">
        <v>260311002</v>
      </c>
      <c r="M49" s="30"/>
      <c r="N49" s="30">
        <f>N48-D49</f>
        <v>0</v>
      </c>
      <c r="O49" s="19">
        <v>46037</v>
      </c>
      <c r="P49" s="20">
        <f t="shared" si="16"/>
        <v>308</v>
      </c>
      <c r="Q49" s="21">
        <f t="shared" si="17"/>
        <v>46401</v>
      </c>
      <c r="R49" s="7">
        <f t="shared" si="18"/>
        <v>57</v>
      </c>
    </row>
    <row r="50" spans="1:18" ht="20.149999999999999" hidden="1" customHeight="1" x14ac:dyDescent="0.25">
      <c r="A50" s="29">
        <v>46093</v>
      </c>
      <c r="B50" s="29">
        <v>46094</v>
      </c>
      <c r="C50" s="30" t="s">
        <v>490</v>
      </c>
      <c r="D50" s="30">
        <v>6</v>
      </c>
      <c r="E50" s="30">
        <f t="shared" si="19"/>
        <v>1170</v>
      </c>
      <c r="F50" s="31" t="s">
        <v>56</v>
      </c>
      <c r="G50" s="30">
        <f t="shared" si="20"/>
        <v>1284</v>
      </c>
      <c r="H50" s="37" t="s">
        <v>488</v>
      </c>
      <c r="I50" s="32">
        <f t="shared" si="21"/>
        <v>28860</v>
      </c>
      <c r="J50" s="32"/>
      <c r="K50" s="30"/>
      <c r="L50" s="30">
        <v>260311002</v>
      </c>
      <c r="M50" s="30"/>
      <c r="N50" s="30">
        <f>N25-D50</f>
        <v>31</v>
      </c>
      <c r="O50" s="19">
        <v>46043</v>
      </c>
      <c r="P50" s="20">
        <f t="shared" si="16"/>
        <v>314</v>
      </c>
      <c r="Q50" s="21">
        <f t="shared" si="17"/>
        <v>46407</v>
      </c>
      <c r="R50" s="7">
        <f t="shared" si="18"/>
        <v>51</v>
      </c>
    </row>
    <row r="51" spans="1:18" ht="20.149999999999999" hidden="1" customHeight="1" x14ac:dyDescent="0.25">
      <c r="A51" s="124">
        <v>46094</v>
      </c>
      <c r="B51" s="124">
        <v>46097</v>
      </c>
      <c r="C51" s="39" t="s">
        <v>503</v>
      </c>
      <c r="D51" s="39">
        <v>12</v>
      </c>
      <c r="E51" s="39">
        <f t="shared" si="19"/>
        <v>2340</v>
      </c>
      <c r="F51" s="76" t="s">
        <v>56</v>
      </c>
      <c r="G51" s="39">
        <f t="shared" si="20"/>
        <v>2568</v>
      </c>
      <c r="H51" s="39" t="s">
        <v>508</v>
      </c>
      <c r="I51" s="125">
        <f t="shared" si="21"/>
        <v>26520</v>
      </c>
      <c r="J51" s="125"/>
      <c r="K51" s="39"/>
      <c r="L51" s="39">
        <v>260312003</v>
      </c>
      <c r="M51" s="39"/>
      <c r="N51" s="39">
        <f>N50-D51</f>
        <v>19</v>
      </c>
      <c r="O51" s="19">
        <v>46043</v>
      </c>
      <c r="P51" s="20">
        <f t="shared" si="16"/>
        <v>311</v>
      </c>
      <c r="Q51" s="21">
        <f t="shared" si="17"/>
        <v>46407</v>
      </c>
      <c r="R51" s="7">
        <f t="shared" si="18"/>
        <v>54</v>
      </c>
    </row>
    <row r="52" spans="1:18" ht="20.149999999999999" hidden="1" customHeight="1" x14ac:dyDescent="0.25">
      <c r="A52" s="26">
        <v>46098</v>
      </c>
      <c r="B52" s="26">
        <v>46099</v>
      </c>
      <c r="C52" s="36" t="s">
        <v>528</v>
      </c>
      <c r="D52" s="27">
        <v>12</v>
      </c>
      <c r="E52" s="36">
        <f t="shared" si="19"/>
        <v>2340</v>
      </c>
      <c r="F52" s="69" t="s">
        <v>56</v>
      </c>
      <c r="G52" s="36">
        <f t="shared" si="20"/>
        <v>2568</v>
      </c>
      <c r="H52" s="36" t="s">
        <v>527</v>
      </c>
      <c r="I52" s="28">
        <f>I51-E52</f>
        <v>24180</v>
      </c>
      <c r="J52" s="28"/>
      <c r="K52" s="27"/>
      <c r="L52" s="27">
        <v>260316004</v>
      </c>
      <c r="M52" s="27"/>
      <c r="N52" s="27">
        <f>N51-D52</f>
        <v>7</v>
      </c>
      <c r="O52" s="19">
        <v>46043</v>
      </c>
      <c r="P52" s="20">
        <f t="shared" si="16"/>
        <v>309</v>
      </c>
      <c r="Q52" s="21">
        <f t="shared" si="17"/>
        <v>46407</v>
      </c>
      <c r="R52" s="7">
        <f t="shared" si="18"/>
        <v>56</v>
      </c>
    </row>
    <row r="53" spans="1:18" ht="20.149999999999999" hidden="1" customHeight="1" x14ac:dyDescent="0.25">
      <c r="A53" s="71">
        <v>46100</v>
      </c>
      <c r="B53" s="71">
        <v>46101</v>
      </c>
      <c r="C53" s="72" t="s">
        <v>540</v>
      </c>
      <c r="D53" s="72">
        <v>7</v>
      </c>
      <c r="E53" s="73">
        <f t="shared" si="19"/>
        <v>1365</v>
      </c>
      <c r="F53" s="88" t="s">
        <v>56</v>
      </c>
      <c r="G53" s="73">
        <f t="shared" si="20"/>
        <v>1498</v>
      </c>
      <c r="H53" s="73" t="s">
        <v>310</v>
      </c>
      <c r="I53" s="74">
        <f>I52-E53</f>
        <v>22815</v>
      </c>
      <c r="J53" s="74"/>
      <c r="K53" s="72"/>
      <c r="L53" s="72">
        <v>260318002</v>
      </c>
      <c r="M53" s="72"/>
      <c r="N53" s="72">
        <f>N52-D53</f>
        <v>0</v>
      </c>
      <c r="O53" s="19">
        <v>46043</v>
      </c>
      <c r="P53" s="20">
        <f t="shared" si="16"/>
        <v>307</v>
      </c>
      <c r="Q53" s="21">
        <f t="shared" si="17"/>
        <v>46407</v>
      </c>
      <c r="R53" s="7">
        <f t="shared" si="18"/>
        <v>58</v>
      </c>
    </row>
    <row r="54" spans="1:18" ht="20.149999999999999" hidden="1" customHeight="1" x14ac:dyDescent="0.25">
      <c r="A54" s="71">
        <v>46100</v>
      </c>
      <c r="B54" s="71">
        <v>46101</v>
      </c>
      <c r="C54" s="72" t="s">
        <v>541</v>
      </c>
      <c r="D54" s="72">
        <v>5</v>
      </c>
      <c r="E54" s="73">
        <f t="shared" si="19"/>
        <v>975</v>
      </c>
      <c r="F54" s="88" t="s">
        <v>56</v>
      </c>
      <c r="G54" s="73">
        <f t="shared" si="20"/>
        <v>1070</v>
      </c>
      <c r="H54" s="73" t="s">
        <v>537</v>
      </c>
      <c r="I54" s="74">
        <f>I53-E54</f>
        <v>21840</v>
      </c>
      <c r="J54" s="74"/>
      <c r="K54" s="72"/>
      <c r="L54" s="72">
        <v>260318002</v>
      </c>
      <c r="M54" s="72"/>
      <c r="N54" s="72">
        <f>N26-D54</f>
        <v>33</v>
      </c>
      <c r="O54" s="19">
        <v>46045</v>
      </c>
      <c r="P54" s="20">
        <f t="shared" si="16"/>
        <v>309</v>
      </c>
      <c r="Q54" s="21">
        <f t="shared" si="17"/>
        <v>46409</v>
      </c>
      <c r="R54" s="7">
        <f t="shared" si="18"/>
        <v>56</v>
      </c>
    </row>
    <row r="55" spans="1:18" ht="20.149999999999999" hidden="1" customHeight="1" x14ac:dyDescent="0.2">
      <c r="A55" s="22">
        <v>46101</v>
      </c>
      <c r="B55" s="22">
        <v>46104</v>
      </c>
      <c r="C55" s="23" t="s">
        <v>552</v>
      </c>
      <c r="D55" s="23">
        <v>12</v>
      </c>
      <c r="E55" s="38">
        <f t="shared" si="19"/>
        <v>2340</v>
      </c>
      <c r="F55" s="23" t="s">
        <v>549</v>
      </c>
      <c r="G55" s="38">
        <f t="shared" si="20"/>
        <v>2568</v>
      </c>
      <c r="H55" s="38" t="s">
        <v>554</v>
      </c>
      <c r="I55" s="25">
        <f>I54-E55</f>
        <v>19500</v>
      </c>
      <c r="J55" s="25"/>
      <c r="K55" s="23"/>
      <c r="L55" s="23">
        <v>260319002</v>
      </c>
      <c r="M55" s="23"/>
      <c r="N55" s="23">
        <f>N54-D55</f>
        <v>21</v>
      </c>
      <c r="O55" s="19">
        <v>46045</v>
      </c>
      <c r="P55" s="20">
        <f t="shared" si="16"/>
        <v>306</v>
      </c>
      <c r="Q55" s="21">
        <f t="shared" si="17"/>
        <v>46409</v>
      </c>
      <c r="R55" s="7">
        <f t="shared" si="18"/>
        <v>59</v>
      </c>
    </row>
    <row r="56" spans="1:18" ht="20.149999999999999" hidden="1" customHeight="1" x14ac:dyDescent="0.2">
      <c r="A56" s="22">
        <v>46101</v>
      </c>
      <c r="B56" s="22">
        <v>46104</v>
      </c>
      <c r="C56" s="23" t="s">
        <v>550</v>
      </c>
      <c r="D56" s="23">
        <v>4</v>
      </c>
      <c r="E56" s="38">
        <f t="shared" si="19"/>
        <v>780</v>
      </c>
      <c r="F56" s="23" t="s">
        <v>549</v>
      </c>
      <c r="G56" s="38">
        <f t="shared" si="20"/>
        <v>856</v>
      </c>
      <c r="H56" s="38" t="s">
        <v>310</v>
      </c>
      <c r="I56" s="25">
        <f>I55-E56</f>
        <v>18720</v>
      </c>
      <c r="J56" s="43" t="s">
        <v>12</v>
      </c>
      <c r="K56" s="23"/>
      <c r="L56" s="23">
        <v>260319002</v>
      </c>
      <c r="M56" s="23">
        <v>42</v>
      </c>
      <c r="N56" s="23">
        <f>M56-D56</f>
        <v>38</v>
      </c>
      <c r="O56" s="19">
        <v>46090</v>
      </c>
      <c r="P56" s="20">
        <f t="shared" si="16"/>
        <v>351</v>
      </c>
      <c r="Q56" s="21">
        <f t="shared" si="17"/>
        <v>46454</v>
      </c>
      <c r="R56" s="7">
        <f t="shared" si="18"/>
        <v>14</v>
      </c>
    </row>
    <row r="57" spans="1:18" ht="20.149999999999999" hidden="1" customHeight="1" x14ac:dyDescent="0.2">
      <c r="A57" s="29">
        <v>46105</v>
      </c>
      <c r="B57" s="29">
        <v>46106</v>
      </c>
      <c r="C57" s="30" t="s">
        <v>247</v>
      </c>
      <c r="D57" s="30">
        <v>16</v>
      </c>
      <c r="E57" s="37">
        <f t="shared" si="19"/>
        <v>3120</v>
      </c>
      <c r="F57" s="30" t="s">
        <v>549</v>
      </c>
      <c r="G57" s="37">
        <f t="shared" si="20"/>
        <v>3424</v>
      </c>
      <c r="H57" s="37" t="s">
        <v>577</v>
      </c>
      <c r="I57" s="32">
        <f t="shared" ref="I57:I62" si="22">I56-E57</f>
        <v>15600</v>
      </c>
      <c r="J57" s="32"/>
      <c r="K57" s="30"/>
      <c r="L57" s="30">
        <v>260323002</v>
      </c>
      <c r="M57" s="30"/>
      <c r="N57" s="30">
        <f>N55-D57</f>
        <v>5</v>
      </c>
      <c r="O57" s="19">
        <v>46045</v>
      </c>
      <c r="P57" s="20">
        <f t="shared" si="16"/>
        <v>304</v>
      </c>
      <c r="Q57" s="21">
        <f t="shared" si="17"/>
        <v>46409</v>
      </c>
      <c r="R57" s="7">
        <f t="shared" si="18"/>
        <v>61</v>
      </c>
    </row>
    <row r="58" spans="1:18" ht="20.149999999999999" hidden="1" customHeight="1" x14ac:dyDescent="0.2">
      <c r="A58" s="33">
        <v>46107</v>
      </c>
      <c r="B58" s="33">
        <v>46108</v>
      </c>
      <c r="C58" s="34" t="s">
        <v>587</v>
      </c>
      <c r="D58" s="34">
        <v>5</v>
      </c>
      <c r="E58" s="39">
        <f t="shared" si="19"/>
        <v>975</v>
      </c>
      <c r="F58" s="34" t="s">
        <v>549</v>
      </c>
      <c r="G58" s="39">
        <f t="shared" si="20"/>
        <v>1070</v>
      </c>
      <c r="H58" s="39" t="s">
        <v>310</v>
      </c>
      <c r="I58" s="35">
        <f t="shared" si="22"/>
        <v>14625</v>
      </c>
      <c r="J58" s="35"/>
      <c r="K58" s="34"/>
      <c r="L58" s="34">
        <v>260325005</v>
      </c>
      <c r="M58" s="34"/>
      <c r="N58" s="34">
        <f>N57-D58</f>
        <v>0</v>
      </c>
      <c r="O58" s="19">
        <v>46045</v>
      </c>
      <c r="P58" s="20">
        <f t="shared" si="16"/>
        <v>302</v>
      </c>
      <c r="Q58" s="21">
        <f t="shared" si="17"/>
        <v>46409</v>
      </c>
      <c r="R58" s="7">
        <f t="shared" si="18"/>
        <v>63</v>
      </c>
    </row>
    <row r="59" spans="1:18" ht="20.149999999999999" hidden="1" customHeight="1" x14ac:dyDescent="0.2">
      <c r="A59" s="33">
        <v>46107</v>
      </c>
      <c r="B59" s="33">
        <v>46108</v>
      </c>
      <c r="C59" s="34" t="s">
        <v>588</v>
      </c>
      <c r="D59" s="34">
        <v>7</v>
      </c>
      <c r="E59" s="39">
        <f t="shared" si="19"/>
        <v>1365</v>
      </c>
      <c r="F59" s="34" t="s">
        <v>549</v>
      </c>
      <c r="G59" s="39">
        <f t="shared" si="20"/>
        <v>1498</v>
      </c>
      <c r="H59" s="39" t="s">
        <v>586</v>
      </c>
      <c r="I59" s="35">
        <f t="shared" si="22"/>
        <v>13260</v>
      </c>
      <c r="J59" s="35"/>
      <c r="K59" s="34"/>
      <c r="L59" s="34">
        <v>260325005</v>
      </c>
      <c r="M59" s="34"/>
      <c r="N59" s="34">
        <f>N29-D59</f>
        <v>30</v>
      </c>
      <c r="O59" s="19">
        <v>46051</v>
      </c>
      <c r="P59" s="20">
        <f t="shared" si="16"/>
        <v>308</v>
      </c>
      <c r="Q59" s="21">
        <f t="shared" si="17"/>
        <v>46415</v>
      </c>
      <c r="R59" s="7">
        <f t="shared" si="18"/>
        <v>57</v>
      </c>
    </row>
    <row r="60" spans="1:18" ht="20.149999999999999" hidden="1" customHeight="1" x14ac:dyDescent="0.2">
      <c r="A60" s="26">
        <v>46108</v>
      </c>
      <c r="B60" s="26">
        <v>46111</v>
      </c>
      <c r="C60" s="27" t="s">
        <v>598</v>
      </c>
      <c r="D60" s="27">
        <v>12</v>
      </c>
      <c r="E60" s="36">
        <f t="shared" si="19"/>
        <v>2340</v>
      </c>
      <c r="F60" s="27" t="s">
        <v>549</v>
      </c>
      <c r="G60" s="36">
        <f t="shared" si="20"/>
        <v>2568</v>
      </c>
      <c r="H60" s="36" t="s">
        <v>310</v>
      </c>
      <c r="I60" s="28">
        <f t="shared" si="22"/>
        <v>10920</v>
      </c>
      <c r="J60" s="28"/>
      <c r="K60" s="27"/>
      <c r="L60" s="27">
        <v>260326003</v>
      </c>
      <c r="M60" s="27"/>
      <c r="N60" s="27">
        <f>N59-D60</f>
        <v>18</v>
      </c>
      <c r="O60" s="19">
        <v>46051</v>
      </c>
      <c r="P60" s="20">
        <f t="shared" si="16"/>
        <v>305</v>
      </c>
      <c r="Q60" s="21">
        <f t="shared" si="17"/>
        <v>46415</v>
      </c>
      <c r="R60" s="7">
        <f t="shared" si="18"/>
        <v>60</v>
      </c>
    </row>
    <row r="61" spans="1:18" ht="20.149999999999999" hidden="1" customHeight="1" x14ac:dyDescent="0.2">
      <c r="A61" s="26">
        <v>46108</v>
      </c>
      <c r="B61" s="26">
        <v>46111</v>
      </c>
      <c r="C61" s="27" t="s">
        <v>599</v>
      </c>
      <c r="D61" s="27">
        <v>4</v>
      </c>
      <c r="E61" s="36">
        <f t="shared" si="19"/>
        <v>780</v>
      </c>
      <c r="F61" s="27" t="s">
        <v>549</v>
      </c>
      <c r="G61" s="36">
        <f t="shared" si="20"/>
        <v>856</v>
      </c>
      <c r="H61" s="36" t="s">
        <v>597</v>
      </c>
      <c r="I61" s="28">
        <f t="shared" si="22"/>
        <v>10140</v>
      </c>
      <c r="J61" s="61" t="s">
        <v>12</v>
      </c>
      <c r="K61" s="27"/>
      <c r="L61" s="27">
        <v>260326003</v>
      </c>
      <c r="M61" s="27">
        <v>42</v>
      </c>
      <c r="N61" s="27">
        <f>M61-D61</f>
        <v>38</v>
      </c>
      <c r="O61" s="19">
        <v>46099</v>
      </c>
      <c r="P61" s="20">
        <f t="shared" si="16"/>
        <v>353</v>
      </c>
      <c r="Q61" s="21">
        <f t="shared" si="17"/>
        <v>46463</v>
      </c>
      <c r="R61" s="7">
        <f t="shared" si="18"/>
        <v>12</v>
      </c>
    </row>
    <row r="62" spans="1:18" ht="20.149999999999999" hidden="1" customHeight="1" x14ac:dyDescent="0.2">
      <c r="A62" s="71">
        <v>46112</v>
      </c>
      <c r="B62" s="71">
        <v>46113</v>
      </c>
      <c r="C62" s="72" t="s">
        <v>647</v>
      </c>
      <c r="D62" s="72">
        <v>12</v>
      </c>
      <c r="E62" s="73">
        <f t="shared" si="19"/>
        <v>2340</v>
      </c>
      <c r="F62" s="72" t="s">
        <v>549</v>
      </c>
      <c r="G62" s="73">
        <f t="shared" si="20"/>
        <v>2568</v>
      </c>
      <c r="H62" s="73" t="s">
        <v>310</v>
      </c>
      <c r="I62" s="74">
        <f t="shared" si="22"/>
        <v>7800</v>
      </c>
      <c r="J62" s="74"/>
      <c r="K62" s="72"/>
      <c r="L62" s="72">
        <v>260330004</v>
      </c>
      <c r="M62" s="72"/>
      <c r="N62" s="72">
        <f>N60-D62</f>
        <v>6</v>
      </c>
      <c r="O62" s="19">
        <v>46051</v>
      </c>
      <c r="P62" s="20">
        <f t="shared" si="16"/>
        <v>303</v>
      </c>
      <c r="Q62" s="21">
        <f t="shared" si="17"/>
        <v>46415</v>
      </c>
      <c r="R62" s="7">
        <f t="shared" si="18"/>
        <v>62</v>
      </c>
    </row>
    <row r="63" spans="1:18" ht="20.149999999999999" hidden="1" customHeight="1" x14ac:dyDescent="0.2">
      <c r="A63" s="22">
        <v>46114</v>
      </c>
      <c r="B63" s="143">
        <v>46115</v>
      </c>
      <c r="C63" s="23" t="s">
        <v>280</v>
      </c>
      <c r="D63" s="23">
        <v>6</v>
      </c>
      <c r="E63" s="38">
        <f t="shared" si="19"/>
        <v>1170</v>
      </c>
      <c r="F63" s="23" t="s">
        <v>549</v>
      </c>
      <c r="G63" s="38">
        <f t="shared" si="20"/>
        <v>1284</v>
      </c>
      <c r="H63" s="38" t="s">
        <v>668</v>
      </c>
      <c r="I63" s="25">
        <f>I62-E63</f>
        <v>6630</v>
      </c>
      <c r="J63" s="25"/>
      <c r="K63" s="23"/>
      <c r="L63" s="23">
        <v>260401007</v>
      </c>
      <c r="M63" s="23"/>
      <c r="N63" s="23">
        <f>N62-D63</f>
        <v>0</v>
      </c>
      <c r="O63" s="19">
        <v>46051</v>
      </c>
      <c r="P63" s="20">
        <f t="shared" si="16"/>
        <v>301</v>
      </c>
      <c r="Q63" s="21">
        <f t="shared" si="17"/>
        <v>46415</v>
      </c>
      <c r="R63" s="7">
        <f t="shared" si="18"/>
        <v>64</v>
      </c>
    </row>
    <row r="64" spans="1:18" ht="20.149999999999999" hidden="1" customHeight="1" x14ac:dyDescent="0.2">
      <c r="A64" s="22">
        <v>46114</v>
      </c>
      <c r="B64" s="143">
        <v>46115</v>
      </c>
      <c r="C64" s="23" t="s">
        <v>381</v>
      </c>
      <c r="D64" s="23">
        <v>10</v>
      </c>
      <c r="E64" s="38">
        <f t="shared" si="19"/>
        <v>1950</v>
      </c>
      <c r="F64" s="23" t="s">
        <v>549</v>
      </c>
      <c r="G64" s="38">
        <f t="shared" si="20"/>
        <v>2140</v>
      </c>
      <c r="H64" s="38" t="s">
        <v>310</v>
      </c>
      <c r="I64" s="25">
        <f>I63-E64</f>
        <v>4680</v>
      </c>
      <c r="J64" s="25"/>
      <c r="K64" s="23"/>
      <c r="L64" s="23">
        <v>260401007</v>
      </c>
      <c r="M64" s="23"/>
      <c r="N64" s="23">
        <f>N39-D64</f>
        <v>28</v>
      </c>
      <c r="O64" s="19">
        <v>46065</v>
      </c>
      <c r="P64" s="20">
        <f t="shared" si="16"/>
        <v>315</v>
      </c>
      <c r="Q64" s="21">
        <f t="shared" si="17"/>
        <v>46429</v>
      </c>
      <c r="R64" s="7">
        <f t="shared" si="18"/>
        <v>50</v>
      </c>
    </row>
    <row r="65" spans="1:18" ht="20.149999999999999" hidden="1" customHeight="1" x14ac:dyDescent="0.2">
      <c r="A65" s="29">
        <v>46114</v>
      </c>
      <c r="B65" s="158">
        <v>46118</v>
      </c>
      <c r="C65" s="30" t="s">
        <v>667</v>
      </c>
      <c r="D65" s="30">
        <v>16</v>
      </c>
      <c r="E65" s="37">
        <f t="shared" si="19"/>
        <v>3120</v>
      </c>
      <c r="F65" s="30" t="s">
        <v>549</v>
      </c>
      <c r="G65" s="37">
        <f t="shared" si="20"/>
        <v>3424</v>
      </c>
      <c r="H65" s="37" t="s">
        <v>669</v>
      </c>
      <c r="I65" s="32">
        <f>I64-E65</f>
        <v>1560</v>
      </c>
      <c r="J65" s="32"/>
      <c r="K65" s="30"/>
      <c r="L65" s="30">
        <v>260401008</v>
      </c>
      <c r="M65" s="30"/>
      <c r="N65" s="30">
        <f>N64-D65</f>
        <v>12</v>
      </c>
      <c r="O65" s="19">
        <v>46065</v>
      </c>
      <c r="P65" s="20">
        <f t="shared" si="16"/>
        <v>312</v>
      </c>
      <c r="Q65" s="21">
        <f t="shared" si="17"/>
        <v>46429</v>
      </c>
      <c r="R65" s="7">
        <f t="shared" si="18"/>
        <v>53</v>
      </c>
    </row>
    <row r="66" spans="1:18" ht="20.149999999999999" hidden="1" customHeight="1" x14ac:dyDescent="0.2">
      <c r="A66" s="33">
        <v>46119</v>
      </c>
      <c r="B66" s="33">
        <v>46120</v>
      </c>
      <c r="C66" s="34" t="s">
        <v>381</v>
      </c>
      <c r="D66" s="34">
        <v>8</v>
      </c>
      <c r="E66" s="39">
        <f t="shared" si="19"/>
        <v>1560</v>
      </c>
      <c r="F66" s="34" t="s">
        <v>549</v>
      </c>
      <c r="G66" s="39">
        <f t="shared" si="20"/>
        <v>1712</v>
      </c>
      <c r="H66" s="39" t="s">
        <v>712</v>
      </c>
      <c r="I66" s="35">
        <f>I65-E66</f>
        <v>0</v>
      </c>
      <c r="J66" s="35"/>
      <c r="K66" s="34"/>
      <c r="L66" s="34">
        <v>260402002</v>
      </c>
      <c r="M66" s="34"/>
      <c r="N66" s="34">
        <f>N65-D66</f>
        <v>4</v>
      </c>
      <c r="O66" s="19">
        <v>46065</v>
      </c>
      <c r="P66" s="20">
        <f t="shared" si="16"/>
        <v>310</v>
      </c>
      <c r="Q66" s="21">
        <f t="shared" si="17"/>
        <v>46429</v>
      </c>
      <c r="R66" s="7">
        <f t="shared" si="18"/>
        <v>55</v>
      </c>
    </row>
    <row r="67" spans="1:18" ht="20.149999999999999" hidden="1" customHeight="1" x14ac:dyDescent="0.2">
      <c r="A67" s="33">
        <v>46119</v>
      </c>
      <c r="B67" s="33">
        <v>46120</v>
      </c>
      <c r="C67" s="34" t="s">
        <v>703</v>
      </c>
      <c r="D67" s="34">
        <v>4</v>
      </c>
      <c r="E67" s="39">
        <f t="shared" si="19"/>
        <v>780</v>
      </c>
      <c r="F67" s="34" t="s">
        <v>549</v>
      </c>
      <c r="G67" s="39">
        <f t="shared" si="20"/>
        <v>856</v>
      </c>
      <c r="H67" s="145" t="s">
        <v>722</v>
      </c>
      <c r="I67" s="35">
        <f>55380-E67</f>
        <v>54600</v>
      </c>
      <c r="J67" s="35"/>
      <c r="K67" s="34"/>
      <c r="L67" s="34" t="s">
        <v>713</v>
      </c>
      <c r="M67" s="34"/>
      <c r="N67" s="34">
        <f>N66-D67</f>
        <v>0</v>
      </c>
      <c r="O67" s="19">
        <v>46065</v>
      </c>
      <c r="P67" s="20">
        <f t="shared" si="16"/>
        <v>310</v>
      </c>
      <c r="Q67" s="21">
        <f t="shared" si="17"/>
        <v>46429</v>
      </c>
      <c r="R67" s="7">
        <f t="shared" si="18"/>
        <v>55</v>
      </c>
    </row>
    <row r="68" spans="1:18" ht="20.149999999999999" hidden="1" customHeight="1" x14ac:dyDescent="0.2">
      <c r="A68" s="71">
        <v>46121</v>
      </c>
      <c r="B68" s="71">
        <v>46122</v>
      </c>
      <c r="C68" s="72" t="s">
        <v>726</v>
      </c>
      <c r="D68" s="72">
        <v>12</v>
      </c>
      <c r="E68" s="73">
        <f t="shared" si="19"/>
        <v>2340</v>
      </c>
      <c r="F68" s="72" t="s">
        <v>549</v>
      </c>
      <c r="G68" s="73">
        <f t="shared" si="20"/>
        <v>2568</v>
      </c>
      <c r="H68" s="73" t="s">
        <v>734</v>
      </c>
      <c r="I68" s="74">
        <f t="shared" ref="I68:I73" si="23">I67-E68</f>
        <v>52260</v>
      </c>
      <c r="J68" s="74"/>
      <c r="K68" s="72"/>
      <c r="L68" s="72">
        <v>260408004</v>
      </c>
      <c r="M68" s="72"/>
      <c r="N68" s="72">
        <f>N47-D68</f>
        <v>25</v>
      </c>
      <c r="O68" s="19">
        <v>46077</v>
      </c>
      <c r="P68" s="20">
        <f t="shared" si="16"/>
        <v>320</v>
      </c>
      <c r="Q68" s="21">
        <f t="shared" si="17"/>
        <v>46441</v>
      </c>
      <c r="R68" s="7">
        <f t="shared" si="18"/>
        <v>45</v>
      </c>
    </row>
    <row r="69" spans="1:18" ht="20.149999999999999" hidden="1" customHeight="1" x14ac:dyDescent="0.2">
      <c r="A69" s="22">
        <v>46122</v>
      </c>
      <c r="B69" s="22">
        <v>46125</v>
      </c>
      <c r="C69" s="23" t="s">
        <v>744</v>
      </c>
      <c r="D69" s="23">
        <v>12</v>
      </c>
      <c r="E69" s="38">
        <f t="shared" si="19"/>
        <v>2340</v>
      </c>
      <c r="F69" s="23" t="s">
        <v>549</v>
      </c>
      <c r="G69" s="38">
        <f t="shared" si="20"/>
        <v>2568</v>
      </c>
      <c r="H69" s="38" t="s">
        <v>750</v>
      </c>
      <c r="I69" s="25">
        <f t="shared" si="23"/>
        <v>49920</v>
      </c>
      <c r="J69" s="25"/>
      <c r="K69" s="23"/>
      <c r="L69" s="23">
        <v>260409001</v>
      </c>
      <c r="M69" s="23"/>
      <c r="N69" s="23">
        <f>N68-D69</f>
        <v>13</v>
      </c>
      <c r="O69" s="19">
        <v>46077</v>
      </c>
      <c r="P69" s="20">
        <f t="shared" si="16"/>
        <v>317</v>
      </c>
      <c r="Q69" s="21">
        <f t="shared" si="17"/>
        <v>46441</v>
      </c>
      <c r="R69" s="7">
        <f t="shared" si="18"/>
        <v>48</v>
      </c>
    </row>
    <row r="70" spans="1:18" ht="20.149999999999999" hidden="1" customHeight="1" x14ac:dyDescent="0.2">
      <c r="A70" s="22">
        <v>46122</v>
      </c>
      <c r="B70" s="22">
        <v>46125</v>
      </c>
      <c r="C70" s="23" t="s">
        <v>740</v>
      </c>
      <c r="D70" s="23">
        <v>4</v>
      </c>
      <c r="E70" s="38">
        <f t="shared" si="19"/>
        <v>780</v>
      </c>
      <c r="F70" s="23" t="s">
        <v>549</v>
      </c>
      <c r="G70" s="38">
        <f t="shared" si="20"/>
        <v>856</v>
      </c>
      <c r="H70" s="38" t="s">
        <v>734</v>
      </c>
      <c r="I70" s="25">
        <f t="shared" si="23"/>
        <v>49140</v>
      </c>
      <c r="J70" s="43" t="s">
        <v>12</v>
      </c>
      <c r="K70" s="23"/>
      <c r="L70" s="23">
        <v>260409001</v>
      </c>
      <c r="M70" s="23">
        <v>41</v>
      </c>
      <c r="N70" s="23">
        <f>M70-D70</f>
        <v>37</v>
      </c>
      <c r="O70" s="19">
        <v>46107</v>
      </c>
      <c r="P70" s="20">
        <f t="shared" si="16"/>
        <v>347</v>
      </c>
      <c r="Q70" s="21">
        <f t="shared" si="17"/>
        <v>46471</v>
      </c>
      <c r="R70" s="7">
        <f t="shared" si="18"/>
        <v>18</v>
      </c>
    </row>
    <row r="71" spans="1:18" ht="20.149999999999999" hidden="1" customHeight="1" x14ac:dyDescent="0.2">
      <c r="A71" s="26">
        <v>46126</v>
      </c>
      <c r="B71" s="26">
        <v>46127</v>
      </c>
      <c r="C71" s="27" t="s">
        <v>781</v>
      </c>
      <c r="D71" s="27">
        <v>12</v>
      </c>
      <c r="E71" s="36">
        <f t="shared" si="19"/>
        <v>2340</v>
      </c>
      <c r="F71" s="27" t="s">
        <v>549</v>
      </c>
      <c r="G71" s="36">
        <f t="shared" si="20"/>
        <v>2568</v>
      </c>
      <c r="H71" s="36" t="s">
        <v>791</v>
      </c>
      <c r="I71" s="28">
        <f t="shared" si="23"/>
        <v>46800</v>
      </c>
      <c r="J71" s="28"/>
      <c r="K71" s="27"/>
      <c r="L71" s="27">
        <v>260413001</v>
      </c>
      <c r="M71" s="27"/>
      <c r="N71" s="27">
        <f>N69-D71</f>
        <v>1</v>
      </c>
      <c r="O71" s="19">
        <v>46077</v>
      </c>
      <c r="P71" s="20">
        <f t="shared" si="16"/>
        <v>315</v>
      </c>
      <c r="Q71" s="21">
        <f t="shared" si="17"/>
        <v>46441</v>
      </c>
      <c r="R71" s="7">
        <f t="shared" si="18"/>
        <v>50</v>
      </c>
    </row>
    <row r="72" spans="1:18" ht="20.149999999999999" hidden="1" customHeight="1" x14ac:dyDescent="0.2">
      <c r="A72" s="29">
        <v>46128</v>
      </c>
      <c r="B72" s="29">
        <v>46129</v>
      </c>
      <c r="C72" s="30" t="s">
        <v>433</v>
      </c>
      <c r="D72" s="30">
        <v>1</v>
      </c>
      <c r="E72" s="37">
        <f t="shared" si="19"/>
        <v>195</v>
      </c>
      <c r="F72" s="30" t="s">
        <v>549</v>
      </c>
      <c r="G72" s="37">
        <f t="shared" si="20"/>
        <v>214</v>
      </c>
      <c r="H72" s="37" t="s">
        <v>722</v>
      </c>
      <c r="I72" s="32">
        <f t="shared" si="23"/>
        <v>46605</v>
      </c>
      <c r="J72" s="32"/>
      <c r="K72" s="30"/>
      <c r="L72" s="30">
        <v>260415002</v>
      </c>
      <c r="M72" s="30"/>
      <c r="N72" s="30">
        <f>N71-D72</f>
        <v>0</v>
      </c>
      <c r="O72" s="19">
        <v>46077</v>
      </c>
      <c r="P72" s="20">
        <f t="shared" si="16"/>
        <v>313</v>
      </c>
      <c r="Q72" s="21">
        <f t="shared" si="17"/>
        <v>46441</v>
      </c>
      <c r="R72" s="7">
        <f t="shared" si="18"/>
        <v>52</v>
      </c>
    </row>
    <row r="73" spans="1:18" ht="20.149999999999999" hidden="1" customHeight="1" x14ac:dyDescent="0.2">
      <c r="A73" s="29">
        <v>46128</v>
      </c>
      <c r="B73" s="29">
        <v>46129</v>
      </c>
      <c r="C73" s="30" t="s">
        <v>806</v>
      </c>
      <c r="D73" s="30">
        <v>11</v>
      </c>
      <c r="E73" s="37">
        <f t="shared" si="19"/>
        <v>2145</v>
      </c>
      <c r="F73" s="30" t="s">
        <v>549</v>
      </c>
      <c r="G73" s="37">
        <f t="shared" si="20"/>
        <v>2354</v>
      </c>
      <c r="H73" s="37" t="s">
        <v>802</v>
      </c>
      <c r="I73" s="32">
        <f t="shared" si="23"/>
        <v>44460</v>
      </c>
      <c r="J73" s="32"/>
      <c r="K73" s="30"/>
      <c r="L73" s="30">
        <v>260415002</v>
      </c>
      <c r="M73" s="30"/>
      <c r="N73" s="30">
        <f>N56-D73</f>
        <v>27</v>
      </c>
      <c r="O73" s="19">
        <v>46090</v>
      </c>
      <c r="P73" s="20">
        <f t="shared" si="16"/>
        <v>326</v>
      </c>
      <c r="Q73" s="21">
        <f t="shared" si="17"/>
        <v>46454</v>
      </c>
      <c r="R73" s="7">
        <f t="shared" si="18"/>
        <v>39</v>
      </c>
    </row>
    <row r="74" spans="1:18" ht="20.149999999999999" hidden="1" customHeight="1" x14ac:dyDescent="0.2">
      <c r="A74" s="33">
        <v>46129</v>
      </c>
      <c r="B74" s="33">
        <v>46132</v>
      </c>
      <c r="C74" s="34" t="s">
        <v>826</v>
      </c>
      <c r="D74" s="34">
        <v>4</v>
      </c>
      <c r="E74" s="39">
        <f t="shared" si="19"/>
        <v>780</v>
      </c>
      <c r="F74" s="34" t="s">
        <v>549</v>
      </c>
      <c r="G74" s="39">
        <f t="shared" si="20"/>
        <v>856</v>
      </c>
      <c r="H74" s="39" t="s">
        <v>834</v>
      </c>
      <c r="I74" s="35">
        <f t="shared" ref="I74:I79" si="24">I73-E74</f>
        <v>43680</v>
      </c>
      <c r="J74" s="35"/>
      <c r="K74" s="34"/>
      <c r="L74" s="34">
        <v>260416002</v>
      </c>
      <c r="M74" s="34"/>
      <c r="N74" s="34">
        <f>N73-D74</f>
        <v>23</v>
      </c>
      <c r="O74" s="19">
        <v>46090</v>
      </c>
      <c r="P74" s="20">
        <f t="shared" si="16"/>
        <v>323</v>
      </c>
      <c r="Q74" s="21">
        <f t="shared" si="17"/>
        <v>46454</v>
      </c>
      <c r="R74" s="7">
        <f t="shared" si="18"/>
        <v>42</v>
      </c>
    </row>
    <row r="75" spans="1:18" ht="20.149999999999999" hidden="1" customHeight="1" x14ac:dyDescent="0.2">
      <c r="A75" s="33">
        <v>46129</v>
      </c>
      <c r="B75" s="33">
        <v>46132</v>
      </c>
      <c r="C75" s="34" t="s">
        <v>822</v>
      </c>
      <c r="D75" s="34">
        <v>4</v>
      </c>
      <c r="E75" s="39">
        <f t="shared" si="19"/>
        <v>780</v>
      </c>
      <c r="F75" s="34" t="s">
        <v>549</v>
      </c>
      <c r="G75" s="39">
        <f t="shared" si="20"/>
        <v>856</v>
      </c>
      <c r="H75" s="39" t="s">
        <v>722</v>
      </c>
      <c r="I75" s="35">
        <f t="shared" si="24"/>
        <v>42900</v>
      </c>
      <c r="J75" s="63" t="s">
        <v>22</v>
      </c>
      <c r="K75" s="34"/>
      <c r="L75" s="34">
        <v>260416002</v>
      </c>
      <c r="M75" s="34">
        <v>41</v>
      </c>
      <c r="N75" s="34">
        <f>M75-D75</f>
        <v>37</v>
      </c>
      <c r="O75" s="19">
        <v>46120</v>
      </c>
      <c r="P75" s="20">
        <f t="shared" si="16"/>
        <v>353</v>
      </c>
      <c r="Q75" s="21">
        <f t="shared" si="17"/>
        <v>46484</v>
      </c>
      <c r="R75" s="7">
        <f t="shared" si="18"/>
        <v>12</v>
      </c>
    </row>
    <row r="76" spans="1:18" ht="20.149999999999999" hidden="1" customHeight="1" x14ac:dyDescent="0.2">
      <c r="A76" s="33">
        <v>46129</v>
      </c>
      <c r="B76" s="33">
        <v>46132</v>
      </c>
      <c r="C76" s="34" t="s">
        <v>827</v>
      </c>
      <c r="D76" s="34">
        <v>4</v>
      </c>
      <c r="E76" s="39">
        <f t="shared" si="19"/>
        <v>780</v>
      </c>
      <c r="F76" s="34" t="s">
        <v>549</v>
      </c>
      <c r="G76" s="39">
        <f t="shared" si="20"/>
        <v>856</v>
      </c>
      <c r="H76" s="39" t="s">
        <v>722</v>
      </c>
      <c r="I76" s="35">
        <f t="shared" si="24"/>
        <v>42120</v>
      </c>
      <c r="J76" s="63" t="s">
        <v>22</v>
      </c>
      <c r="K76" s="34"/>
      <c r="L76" s="34">
        <v>260416002</v>
      </c>
      <c r="M76" s="34">
        <v>41</v>
      </c>
      <c r="N76" s="34">
        <f>M76-D76</f>
        <v>37</v>
      </c>
      <c r="O76" s="19">
        <v>46122</v>
      </c>
      <c r="P76" s="20">
        <f t="shared" si="16"/>
        <v>355</v>
      </c>
      <c r="Q76" s="21">
        <f t="shared" si="17"/>
        <v>46486</v>
      </c>
      <c r="R76" s="7">
        <f t="shared" si="18"/>
        <v>10</v>
      </c>
    </row>
    <row r="77" spans="1:18" ht="20.149999999999999" hidden="1" customHeight="1" x14ac:dyDescent="0.2">
      <c r="A77" s="22">
        <v>46133</v>
      </c>
      <c r="B77" s="22">
        <v>46134</v>
      </c>
      <c r="C77" s="23" t="s">
        <v>863</v>
      </c>
      <c r="D77" s="23">
        <v>12</v>
      </c>
      <c r="E77" s="23">
        <f t="shared" si="19"/>
        <v>2340</v>
      </c>
      <c r="F77" s="23" t="s">
        <v>549</v>
      </c>
      <c r="G77" s="23">
        <f t="shared" si="20"/>
        <v>2568</v>
      </c>
      <c r="H77" s="38" t="s">
        <v>722</v>
      </c>
      <c r="I77" s="25">
        <f t="shared" si="24"/>
        <v>39780</v>
      </c>
      <c r="J77" s="25"/>
      <c r="K77" s="23"/>
      <c r="L77" s="23">
        <v>260420001</v>
      </c>
      <c r="M77" s="23"/>
      <c r="N77" s="23">
        <f>N74-D77</f>
        <v>11</v>
      </c>
      <c r="O77" s="19">
        <v>46090</v>
      </c>
      <c r="P77" s="20">
        <f t="shared" ref="P77:P117" si="25">365-R77</f>
        <v>321</v>
      </c>
      <c r="Q77" s="21">
        <f t="shared" ref="Q77:Q117" si="26">DATE(YEAR(O77)+1,MONTH(O77),DAY(O77))-1</f>
        <v>46454</v>
      </c>
      <c r="R77" s="7">
        <f t="shared" ref="R77:R117" si="27">DATEDIF(O77,B77,"d")</f>
        <v>44</v>
      </c>
    </row>
    <row r="78" spans="1:18" ht="20.149999999999999" hidden="1" customHeight="1" x14ac:dyDescent="0.2">
      <c r="A78" s="26">
        <v>46135</v>
      </c>
      <c r="B78" s="26">
        <v>46136</v>
      </c>
      <c r="C78" s="27" t="s">
        <v>870</v>
      </c>
      <c r="D78" s="27">
        <v>11</v>
      </c>
      <c r="E78" s="27">
        <f t="shared" si="19"/>
        <v>2145</v>
      </c>
      <c r="F78" s="27" t="s">
        <v>549</v>
      </c>
      <c r="G78" s="27">
        <f t="shared" si="20"/>
        <v>2354</v>
      </c>
      <c r="H78" s="36" t="s">
        <v>722</v>
      </c>
      <c r="I78" s="28">
        <f t="shared" si="24"/>
        <v>37635</v>
      </c>
      <c r="J78" s="28"/>
      <c r="K78" s="27"/>
      <c r="L78" s="27">
        <v>260422002</v>
      </c>
      <c r="M78" s="27"/>
      <c r="N78" s="27">
        <f>N77-D78</f>
        <v>0</v>
      </c>
      <c r="O78" s="19">
        <v>46090</v>
      </c>
      <c r="P78" s="20">
        <f t="shared" si="25"/>
        <v>319</v>
      </c>
      <c r="Q78" s="21">
        <f t="shared" si="26"/>
        <v>46454</v>
      </c>
      <c r="R78" s="7">
        <f t="shared" si="27"/>
        <v>46</v>
      </c>
    </row>
    <row r="79" spans="1:18" ht="20.149999999999999" hidden="1" customHeight="1" x14ac:dyDescent="0.2">
      <c r="A79" s="26">
        <v>46135</v>
      </c>
      <c r="B79" s="26">
        <v>46136</v>
      </c>
      <c r="C79" s="27" t="s">
        <v>871</v>
      </c>
      <c r="D79" s="27">
        <v>1</v>
      </c>
      <c r="E79" s="27">
        <f t="shared" si="19"/>
        <v>195</v>
      </c>
      <c r="F79" s="27" t="s">
        <v>549</v>
      </c>
      <c r="G79" s="27">
        <f t="shared" si="20"/>
        <v>214</v>
      </c>
      <c r="H79" s="36" t="s">
        <v>879</v>
      </c>
      <c r="I79" s="28">
        <f t="shared" si="24"/>
        <v>37440</v>
      </c>
      <c r="J79" s="28"/>
      <c r="K79" s="27"/>
      <c r="L79" s="27">
        <v>260422002</v>
      </c>
      <c r="M79" s="27"/>
      <c r="N79" s="27">
        <f>N61-D79</f>
        <v>37</v>
      </c>
      <c r="O79" s="19">
        <v>46099</v>
      </c>
      <c r="P79" s="20">
        <f t="shared" si="25"/>
        <v>328</v>
      </c>
      <c r="Q79" s="21">
        <f t="shared" si="26"/>
        <v>46463</v>
      </c>
      <c r="R79" s="7">
        <f t="shared" si="27"/>
        <v>37</v>
      </c>
    </row>
    <row r="80" spans="1:18" ht="20.149999999999999" hidden="1" customHeight="1" x14ac:dyDescent="0.2">
      <c r="A80" s="71">
        <v>46136</v>
      </c>
      <c r="B80" s="71">
        <v>46139</v>
      </c>
      <c r="C80" s="72" t="s">
        <v>889</v>
      </c>
      <c r="D80" s="72">
        <v>12</v>
      </c>
      <c r="E80" s="72">
        <f>D80*195</f>
        <v>2340</v>
      </c>
      <c r="F80" s="72" t="s">
        <v>549</v>
      </c>
      <c r="G80" s="72">
        <f>D80*214</f>
        <v>2568</v>
      </c>
      <c r="H80" s="73" t="s">
        <v>722</v>
      </c>
      <c r="I80" s="74">
        <f t="shared" ref="I80:I87" si="28">I79-E80</f>
        <v>35100</v>
      </c>
      <c r="J80" s="74"/>
      <c r="K80" s="72"/>
      <c r="L80" s="72">
        <v>260423002</v>
      </c>
      <c r="M80" s="72"/>
      <c r="N80" s="72">
        <f>N79-D80</f>
        <v>25</v>
      </c>
      <c r="O80" s="19">
        <v>46099</v>
      </c>
      <c r="P80" s="20">
        <f t="shared" si="25"/>
        <v>325</v>
      </c>
      <c r="Q80" s="21">
        <f t="shared" si="26"/>
        <v>46463</v>
      </c>
      <c r="R80" s="7">
        <f t="shared" si="27"/>
        <v>40</v>
      </c>
    </row>
    <row r="81" spans="1:18" ht="20.149999999999999" hidden="1" customHeight="1" x14ac:dyDescent="0.2">
      <c r="A81" s="33">
        <v>46140</v>
      </c>
      <c r="B81" s="33">
        <v>46141</v>
      </c>
      <c r="C81" s="34" t="s">
        <v>599</v>
      </c>
      <c r="D81" s="34">
        <v>16</v>
      </c>
      <c r="E81" s="34">
        <f>D81*195</f>
        <v>3120</v>
      </c>
      <c r="F81" s="34" t="s">
        <v>549</v>
      </c>
      <c r="G81" s="34">
        <f>D81*214</f>
        <v>3424</v>
      </c>
      <c r="H81" s="39" t="s">
        <v>722</v>
      </c>
      <c r="I81" s="35">
        <f t="shared" si="28"/>
        <v>31980</v>
      </c>
      <c r="J81" s="35"/>
      <c r="K81" s="34"/>
      <c r="L81" s="34">
        <v>260427001</v>
      </c>
      <c r="M81" s="34"/>
      <c r="N81" s="34">
        <f>N80-D81</f>
        <v>9</v>
      </c>
      <c r="O81" s="19">
        <v>46099</v>
      </c>
      <c r="P81" s="20">
        <f t="shared" si="25"/>
        <v>323</v>
      </c>
      <c r="Q81" s="21">
        <f t="shared" si="26"/>
        <v>46463</v>
      </c>
      <c r="R81" s="7">
        <f t="shared" si="27"/>
        <v>42</v>
      </c>
    </row>
    <row r="82" spans="1:18" ht="20.149999999999999" hidden="1" customHeight="1" x14ac:dyDescent="0.2">
      <c r="A82" s="22">
        <v>46142</v>
      </c>
      <c r="B82" s="143">
        <v>46143</v>
      </c>
      <c r="C82" s="23" t="s">
        <v>911</v>
      </c>
      <c r="D82" s="23">
        <v>9</v>
      </c>
      <c r="E82" s="23">
        <f t="shared" ref="E82:E117" si="29">D82*195</f>
        <v>1755</v>
      </c>
      <c r="F82" s="23" t="s">
        <v>549</v>
      </c>
      <c r="G82" s="23">
        <f t="shared" ref="G82:G117" si="30">D82*214</f>
        <v>1926</v>
      </c>
      <c r="H82" s="38" t="s">
        <v>918</v>
      </c>
      <c r="I82" s="25">
        <f t="shared" si="28"/>
        <v>30225</v>
      </c>
      <c r="J82" s="25"/>
      <c r="K82" s="23"/>
      <c r="L82" s="23">
        <v>260429004</v>
      </c>
      <c r="M82" s="23"/>
      <c r="N82" s="23">
        <f>N81-D82</f>
        <v>0</v>
      </c>
      <c r="O82" s="19">
        <v>46099</v>
      </c>
      <c r="P82" s="20">
        <f t="shared" si="25"/>
        <v>321</v>
      </c>
      <c r="Q82" s="21">
        <f t="shared" si="26"/>
        <v>46463</v>
      </c>
      <c r="R82" s="7">
        <f t="shared" si="27"/>
        <v>44</v>
      </c>
    </row>
    <row r="83" spans="1:18" ht="20.149999999999999" hidden="1" customHeight="1" x14ac:dyDescent="0.2">
      <c r="A83" s="22">
        <v>46142</v>
      </c>
      <c r="B83" s="143">
        <v>46143</v>
      </c>
      <c r="C83" s="23" t="s">
        <v>912</v>
      </c>
      <c r="D83" s="23">
        <v>7</v>
      </c>
      <c r="E83" s="23">
        <f t="shared" si="29"/>
        <v>1365</v>
      </c>
      <c r="F83" s="23" t="s">
        <v>549</v>
      </c>
      <c r="G83" s="23">
        <f t="shared" si="30"/>
        <v>1498</v>
      </c>
      <c r="H83" s="38" t="s">
        <v>722</v>
      </c>
      <c r="I83" s="25">
        <f t="shared" si="28"/>
        <v>28860</v>
      </c>
      <c r="J83" s="25"/>
      <c r="K83" s="23"/>
      <c r="L83" s="23">
        <v>260429004</v>
      </c>
      <c r="M83" s="23"/>
      <c r="N83" s="23">
        <f>N70-D83</f>
        <v>30</v>
      </c>
      <c r="O83" s="19">
        <v>46107</v>
      </c>
      <c r="P83" s="20">
        <f t="shared" si="25"/>
        <v>329</v>
      </c>
      <c r="Q83" s="21">
        <f t="shared" si="26"/>
        <v>46471</v>
      </c>
      <c r="R83" s="7">
        <f t="shared" si="27"/>
        <v>36</v>
      </c>
    </row>
    <row r="84" spans="1:18" ht="20.149999999999999" hidden="1" customHeight="1" x14ac:dyDescent="0.2">
      <c r="A84" s="26">
        <v>46142</v>
      </c>
      <c r="B84" s="162">
        <v>46146</v>
      </c>
      <c r="C84" s="27" t="s">
        <v>912</v>
      </c>
      <c r="D84" s="27">
        <v>12</v>
      </c>
      <c r="E84" s="27">
        <f t="shared" si="29"/>
        <v>2340</v>
      </c>
      <c r="F84" s="27" t="s">
        <v>549</v>
      </c>
      <c r="G84" s="27">
        <f t="shared" si="30"/>
        <v>2568</v>
      </c>
      <c r="H84" s="36" t="s">
        <v>918</v>
      </c>
      <c r="I84" s="28">
        <f t="shared" si="28"/>
        <v>26520</v>
      </c>
      <c r="J84" s="28"/>
      <c r="K84" s="27"/>
      <c r="L84" s="27">
        <v>260429005</v>
      </c>
      <c r="M84" s="27"/>
      <c r="N84" s="27">
        <f>N83-D84</f>
        <v>18</v>
      </c>
      <c r="O84" s="19">
        <v>46107</v>
      </c>
      <c r="P84" s="20">
        <f t="shared" si="25"/>
        <v>326</v>
      </c>
      <c r="Q84" s="21">
        <f t="shared" si="26"/>
        <v>46471</v>
      </c>
      <c r="R84" s="7">
        <f t="shared" si="27"/>
        <v>39</v>
      </c>
    </row>
    <row r="85" spans="1:18" ht="20.149999999999999" hidden="1" customHeight="1" x14ac:dyDescent="0.2">
      <c r="A85" s="29">
        <v>46147</v>
      </c>
      <c r="B85" s="29">
        <v>46148</v>
      </c>
      <c r="C85" s="30" t="s">
        <v>740</v>
      </c>
      <c r="D85" s="30">
        <v>12</v>
      </c>
      <c r="E85" s="30">
        <f t="shared" si="29"/>
        <v>2340</v>
      </c>
      <c r="F85" s="30" t="s">
        <v>549</v>
      </c>
      <c r="G85" s="30">
        <f t="shared" si="30"/>
        <v>2568</v>
      </c>
      <c r="H85" s="37" t="s">
        <v>722</v>
      </c>
      <c r="I85" s="32">
        <f t="shared" si="28"/>
        <v>24180</v>
      </c>
      <c r="J85" s="32"/>
      <c r="K85" s="30"/>
      <c r="L85" s="30">
        <v>260504006</v>
      </c>
      <c r="M85" s="30"/>
      <c r="N85" s="30">
        <f>N84-D85</f>
        <v>6</v>
      </c>
      <c r="O85" s="19">
        <v>46107</v>
      </c>
      <c r="P85" s="20">
        <f t="shared" si="25"/>
        <v>324</v>
      </c>
      <c r="Q85" s="21">
        <f t="shared" si="26"/>
        <v>46471</v>
      </c>
      <c r="R85" s="7">
        <f t="shared" si="27"/>
        <v>41</v>
      </c>
    </row>
    <row r="86" spans="1:18" ht="20.149999999999999" hidden="1" customHeight="1" x14ac:dyDescent="0.2">
      <c r="A86" s="29">
        <v>46147</v>
      </c>
      <c r="B86" s="29">
        <v>46148</v>
      </c>
      <c r="C86" s="30" t="s">
        <v>933</v>
      </c>
      <c r="D86" s="30">
        <v>4</v>
      </c>
      <c r="E86" s="30">
        <f t="shared" si="29"/>
        <v>780</v>
      </c>
      <c r="F86" s="30" t="s">
        <v>549</v>
      </c>
      <c r="G86" s="30">
        <f t="shared" si="30"/>
        <v>856</v>
      </c>
      <c r="H86" s="37" t="s">
        <v>722</v>
      </c>
      <c r="I86" s="32">
        <f t="shared" si="28"/>
        <v>23400</v>
      </c>
      <c r="J86" s="70" t="s">
        <v>22</v>
      </c>
      <c r="K86" s="30"/>
      <c r="L86" s="30">
        <v>260504006</v>
      </c>
      <c r="M86" s="30">
        <v>43</v>
      </c>
      <c r="N86" s="30">
        <f>M86-D86</f>
        <v>39</v>
      </c>
      <c r="O86" s="19">
        <v>46133</v>
      </c>
      <c r="P86" s="20">
        <f t="shared" si="25"/>
        <v>350</v>
      </c>
      <c r="Q86" s="21">
        <f t="shared" si="26"/>
        <v>46497</v>
      </c>
      <c r="R86" s="7">
        <f t="shared" si="27"/>
        <v>15</v>
      </c>
    </row>
    <row r="87" spans="1:18" ht="20.149999999999999" hidden="1" customHeight="1" x14ac:dyDescent="0.2">
      <c r="A87" s="29">
        <v>46147</v>
      </c>
      <c r="B87" s="29">
        <v>46148</v>
      </c>
      <c r="C87" s="30" t="s">
        <v>926</v>
      </c>
      <c r="D87" s="30">
        <v>4</v>
      </c>
      <c r="E87" s="30">
        <f t="shared" si="29"/>
        <v>780</v>
      </c>
      <c r="F87" s="30" t="s">
        <v>549</v>
      </c>
      <c r="G87" s="30">
        <f t="shared" si="30"/>
        <v>856</v>
      </c>
      <c r="H87" s="37" t="s">
        <v>722</v>
      </c>
      <c r="I87" s="32">
        <f t="shared" si="28"/>
        <v>22620</v>
      </c>
      <c r="J87" s="70" t="s">
        <v>22</v>
      </c>
      <c r="K87" s="30"/>
      <c r="L87" s="30">
        <v>260504006</v>
      </c>
      <c r="M87" s="30">
        <v>41</v>
      </c>
      <c r="N87" s="30">
        <f>M87-D87</f>
        <v>37</v>
      </c>
      <c r="O87" s="19">
        <v>46135</v>
      </c>
      <c r="P87" s="20">
        <f t="shared" si="25"/>
        <v>352</v>
      </c>
      <c r="Q87" s="21">
        <f t="shared" si="26"/>
        <v>46499</v>
      </c>
      <c r="R87" s="7">
        <f t="shared" si="27"/>
        <v>13</v>
      </c>
    </row>
    <row r="88" spans="1:18" ht="20.149999999999999" hidden="1" customHeight="1" x14ac:dyDescent="0.2">
      <c r="A88" s="33">
        <v>46149</v>
      </c>
      <c r="B88" s="33">
        <v>46150</v>
      </c>
      <c r="C88" s="34" t="s">
        <v>952</v>
      </c>
      <c r="D88" s="34">
        <v>6</v>
      </c>
      <c r="E88" s="34">
        <f t="shared" si="29"/>
        <v>1170</v>
      </c>
      <c r="F88" s="34" t="s">
        <v>549</v>
      </c>
      <c r="G88" s="34">
        <f t="shared" si="30"/>
        <v>1284</v>
      </c>
      <c r="H88" s="39" t="s">
        <v>722</v>
      </c>
      <c r="I88" s="35">
        <f t="shared" ref="I88:I94" si="31">I87-E88</f>
        <v>21450</v>
      </c>
      <c r="J88" s="35"/>
      <c r="K88" s="34"/>
      <c r="L88" s="34">
        <v>260506002</v>
      </c>
      <c r="M88" s="34"/>
      <c r="N88" s="34">
        <f>N85-D88</f>
        <v>0</v>
      </c>
      <c r="O88" s="19">
        <v>46107</v>
      </c>
      <c r="P88" s="20">
        <f t="shared" si="25"/>
        <v>322</v>
      </c>
      <c r="Q88" s="21">
        <f t="shared" si="26"/>
        <v>46471</v>
      </c>
      <c r="R88" s="7">
        <f t="shared" si="27"/>
        <v>43</v>
      </c>
    </row>
    <row r="89" spans="1:18" ht="20.149999999999999" hidden="1" customHeight="1" x14ac:dyDescent="0.2">
      <c r="A89" s="33">
        <v>46149</v>
      </c>
      <c r="B89" s="33">
        <v>46150</v>
      </c>
      <c r="C89" s="34" t="s">
        <v>953</v>
      </c>
      <c r="D89" s="34">
        <v>6</v>
      </c>
      <c r="E89" s="34">
        <f t="shared" si="29"/>
        <v>1170</v>
      </c>
      <c r="F89" s="34" t="s">
        <v>549</v>
      </c>
      <c r="G89" s="34">
        <f t="shared" si="30"/>
        <v>1284</v>
      </c>
      <c r="H89" s="39" t="s">
        <v>722</v>
      </c>
      <c r="I89" s="35">
        <f t="shared" si="31"/>
        <v>20280</v>
      </c>
      <c r="J89" s="35"/>
      <c r="K89" s="34"/>
      <c r="L89" s="34">
        <v>260506002</v>
      </c>
      <c r="M89" s="34"/>
      <c r="N89" s="34">
        <f>N75-D89</f>
        <v>31</v>
      </c>
      <c r="O89" s="19">
        <v>46120</v>
      </c>
      <c r="P89" s="20">
        <f t="shared" si="25"/>
        <v>335</v>
      </c>
      <c r="Q89" s="21">
        <f t="shared" si="26"/>
        <v>46484</v>
      </c>
      <c r="R89" s="7">
        <f t="shared" si="27"/>
        <v>30</v>
      </c>
    </row>
    <row r="90" spans="1:18" ht="20.149999999999999" hidden="1" customHeight="1" x14ac:dyDescent="0.2">
      <c r="A90" s="71">
        <v>46150</v>
      </c>
      <c r="B90" s="71">
        <v>46153</v>
      </c>
      <c r="C90" s="72" t="s">
        <v>970</v>
      </c>
      <c r="D90" s="72">
        <v>16</v>
      </c>
      <c r="E90" s="72">
        <f t="shared" si="29"/>
        <v>3120</v>
      </c>
      <c r="F90" s="72" t="s">
        <v>549</v>
      </c>
      <c r="G90" s="72">
        <f t="shared" si="30"/>
        <v>3424</v>
      </c>
      <c r="H90" s="73" t="s">
        <v>734</v>
      </c>
      <c r="I90" s="74">
        <f t="shared" si="31"/>
        <v>17160</v>
      </c>
      <c r="J90" s="74"/>
      <c r="K90" s="72"/>
      <c r="L90" s="72">
        <v>260507002</v>
      </c>
      <c r="M90" s="72"/>
      <c r="N90" s="72">
        <f>N89-D90</f>
        <v>15</v>
      </c>
      <c r="O90" s="19">
        <v>46120</v>
      </c>
      <c r="P90" s="20">
        <f t="shared" si="25"/>
        <v>332</v>
      </c>
      <c r="Q90" s="21">
        <f t="shared" si="26"/>
        <v>46484</v>
      </c>
      <c r="R90" s="7">
        <f t="shared" si="27"/>
        <v>33</v>
      </c>
    </row>
    <row r="91" spans="1:18" ht="20.149999999999999" hidden="1" customHeight="1" x14ac:dyDescent="0.2">
      <c r="A91" s="26">
        <v>46154</v>
      </c>
      <c r="B91" s="26">
        <v>46155</v>
      </c>
      <c r="C91" s="27" t="s">
        <v>1000</v>
      </c>
      <c r="D91" s="27">
        <v>8</v>
      </c>
      <c r="E91" s="27">
        <f t="shared" si="29"/>
        <v>1560</v>
      </c>
      <c r="F91" s="27" t="s">
        <v>549</v>
      </c>
      <c r="G91" s="27">
        <f t="shared" si="30"/>
        <v>1712</v>
      </c>
      <c r="H91" s="36" t="s">
        <v>722</v>
      </c>
      <c r="I91" s="28">
        <f t="shared" si="31"/>
        <v>15600</v>
      </c>
      <c r="J91" s="28"/>
      <c r="K91" s="27"/>
      <c r="L91" s="27">
        <v>260511003</v>
      </c>
      <c r="M91" s="27"/>
      <c r="N91" s="27">
        <f>N90-D91</f>
        <v>7</v>
      </c>
      <c r="O91" s="19">
        <v>46120</v>
      </c>
      <c r="P91" s="20">
        <f t="shared" si="25"/>
        <v>330</v>
      </c>
      <c r="Q91" s="21">
        <f t="shared" si="26"/>
        <v>46484</v>
      </c>
      <c r="R91" s="7">
        <f t="shared" si="27"/>
        <v>35</v>
      </c>
    </row>
    <row r="92" spans="1:18" ht="20.149999999999999" hidden="1" customHeight="1" x14ac:dyDescent="0.2">
      <c r="A92" s="26">
        <v>46154</v>
      </c>
      <c r="B92" s="26">
        <v>46155</v>
      </c>
      <c r="C92" s="27" t="s">
        <v>1001</v>
      </c>
      <c r="D92" s="27">
        <v>4</v>
      </c>
      <c r="E92" s="27">
        <f t="shared" si="29"/>
        <v>780</v>
      </c>
      <c r="F92" s="27" t="s">
        <v>549</v>
      </c>
      <c r="G92" s="27">
        <f t="shared" si="30"/>
        <v>856</v>
      </c>
      <c r="H92" s="36" t="s">
        <v>722</v>
      </c>
      <c r="I92" s="28">
        <f t="shared" si="31"/>
        <v>14820</v>
      </c>
      <c r="J92" s="61" t="s">
        <v>22</v>
      </c>
      <c r="K92" s="27"/>
      <c r="L92" s="27">
        <v>260511003</v>
      </c>
      <c r="M92" s="27">
        <v>42</v>
      </c>
      <c r="N92" s="27">
        <f>M92-D92</f>
        <v>38</v>
      </c>
      <c r="O92" s="19">
        <v>46141</v>
      </c>
      <c r="P92" s="20">
        <f t="shared" si="25"/>
        <v>351</v>
      </c>
      <c r="Q92" s="21">
        <f t="shared" si="26"/>
        <v>46505</v>
      </c>
      <c r="R92" s="7">
        <f t="shared" si="27"/>
        <v>14</v>
      </c>
    </row>
    <row r="93" spans="1:18" ht="20.149999999999999" hidden="1" customHeight="1" x14ac:dyDescent="0.2">
      <c r="A93" s="22">
        <v>46156</v>
      </c>
      <c r="B93" s="22">
        <v>46157</v>
      </c>
      <c r="C93" s="23" t="s">
        <v>1018</v>
      </c>
      <c r="D93" s="23">
        <v>7</v>
      </c>
      <c r="E93" s="23">
        <f t="shared" si="29"/>
        <v>1365</v>
      </c>
      <c r="F93" s="23" t="s">
        <v>549</v>
      </c>
      <c r="G93" s="23">
        <f t="shared" si="30"/>
        <v>1498</v>
      </c>
      <c r="H93" s="38" t="s">
        <v>1026</v>
      </c>
      <c r="I93" s="25">
        <f t="shared" si="31"/>
        <v>13455</v>
      </c>
      <c r="J93" s="25"/>
      <c r="K93" s="23"/>
      <c r="L93" s="23">
        <v>260513002</v>
      </c>
      <c r="M93" s="23"/>
      <c r="N93" s="23">
        <f>N91-D93</f>
        <v>0</v>
      </c>
      <c r="O93" s="19">
        <v>46120</v>
      </c>
      <c r="P93" s="20">
        <f t="shared" si="25"/>
        <v>328</v>
      </c>
      <c r="Q93" s="21">
        <f t="shared" si="26"/>
        <v>46484</v>
      </c>
      <c r="R93" s="7">
        <f t="shared" si="27"/>
        <v>37</v>
      </c>
    </row>
    <row r="94" spans="1:18" ht="20.149999999999999" hidden="1" customHeight="1" x14ac:dyDescent="0.2">
      <c r="A94" s="22">
        <v>46156</v>
      </c>
      <c r="B94" s="22">
        <v>46157</v>
      </c>
      <c r="C94" s="23" t="s">
        <v>827</v>
      </c>
      <c r="D94" s="23">
        <v>5</v>
      </c>
      <c r="E94" s="23">
        <f t="shared" si="29"/>
        <v>975</v>
      </c>
      <c r="F94" s="23" t="s">
        <v>549</v>
      </c>
      <c r="G94" s="23">
        <f t="shared" si="30"/>
        <v>1070</v>
      </c>
      <c r="H94" s="38" t="s">
        <v>722</v>
      </c>
      <c r="I94" s="25">
        <f t="shared" si="31"/>
        <v>12480</v>
      </c>
      <c r="J94" s="25"/>
      <c r="K94" s="23"/>
      <c r="L94" s="23">
        <v>260513002</v>
      </c>
      <c r="M94" s="23"/>
      <c r="N94" s="23">
        <f>N76-D94</f>
        <v>32</v>
      </c>
      <c r="O94" s="19">
        <v>46122</v>
      </c>
      <c r="P94" s="20">
        <f t="shared" si="25"/>
        <v>330</v>
      </c>
      <c r="Q94" s="21">
        <f t="shared" si="26"/>
        <v>46486</v>
      </c>
      <c r="R94" s="7">
        <f t="shared" si="27"/>
        <v>35</v>
      </c>
    </row>
    <row r="95" spans="1:18" ht="20.149999999999999" hidden="1" customHeight="1" x14ac:dyDescent="0.2">
      <c r="A95" s="33">
        <v>46157</v>
      </c>
      <c r="B95" s="33">
        <v>46160</v>
      </c>
      <c r="C95" s="34" t="s">
        <v>827</v>
      </c>
      <c r="D95" s="34">
        <v>12</v>
      </c>
      <c r="E95" s="34">
        <f t="shared" si="29"/>
        <v>2340</v>
      </c>
      <c r="F95" s="34" t="s">
        <v>549</v>
      </c>
      <c r="G95" s="34">
        <f t="shared" si="30"/>
        <v>2568</v>
      </c>
      <c r="H95" s="39" t="s">
        <v>1038</v>
      </c>
      <c r="I95" s="35">
        <f t="shared" ref="I95:I100" si="32">I94-E95</f>
        <v>10140</v>
      </c>
      <c r="J95" s="35"/>
      <c r="K95" s="34"/>
      <c r="L95" s="34">
        <v>260514002</v>
      </c>
      <c r="M95" s="34"/>
      <c r="N95" s="34">
        <f>N94-D95</f>
        <v>20</v>
      </c>
      <c r="O95" s="19">
        <v>46122</v>
      </c>
      <c r="P95" s="20">
        <f t="shared" si="25"/>
        <v>327</v>
      </c>
      <c r="Q95" s="21">
        <f t="shared" si="26"/>
        <v>46486</v>
      </c>
      <c r="R95" s="7">
        <f t="shared" si="27"/>
        <v>38</v>
      </c>
    </row>
    <row r="96" spans="1:18" ht="20.149999999999999" hidden="1" customHeight="1" x14ac:dyDescent="0.2">
      <c r="A96" s="71">
        <v>46161</v>
      </c>
      <c r="B96" s="71">
        <v>46162</v>
      </c>
      <c r="C96" s="72" t="s">
        <v>1069</v>
      </c>
      <c r="D96" s="72">
        <v>4</v>
      </c>
      <c r="E96" s="72">
        <f t="shared" si="29"/>
        <v>780</v>
      </c>
      <c r="F96" s="72" t="s">
        <v>549</v>
      </c>
      <c r="G96" s="72">
        <f t="shared" si="30"/>
        <v>856</v>
      </c>
      <c r="H96" s="73" t="s">
        <v>1078</v>
      </c>
      <c r="I96" s="74">
        <f t="shared" si="32"/>
        <v>9360</v>
      </c>
      <c r="J96" s="74"/>
      <c r="K96" s="72"/>
      <c r="L96" s="72">
        <v>260518001</v>
      </c>
      <c r="M96" s="72"/>
      <c r="N96" s="72">
        <f>N95-D96</f>
        <v>16</v>
      </c>
      <c r="O96" s="19">
        <v>46122</v>
      </c>
      <c r="P96" s="20">
        <f t="shared" si="25"/>
        <v>325</v>
      </c>
      <c r="Q96" s="21">
        <f t="shared" si="26"/>
        <v>46486</v>
      </c>
      <c r="R96" s="7">
        <f t="shared" si="27"/>
        <v>40</v>
      </c>
    </row>
    <row r="97" spans="1:18" ht="20.149999999999999" hidden="1" customHeight="1" x14ac:dyDescent="0.2">
      <c r="A97" s="71">
        <v>46161</v>
      </c>
      <c r="B97" s="71">
        <v>46162</v>
      </c>
      <c r="C97" s="72" t="s">
        <v>1070</v>
      </c>
      <c r="D97" s="72">
        <v>4</v>
      </c>
      <c r="E97" s="72">
        <f t="shared" si="29"/>
        <v>780</v>
      </c>
      <c r="F97" s="72" t="s">
        <v>549</v>
      </c>
      <c r="G97" s="72">
        <f t="shared" si="30"/>
        <v>856</v>
      </c>
      <c r="H97" s="73" t="s">
        <v>722</v>
      </c>
      <c r="I97" s="74">
        <f t="shared" si="32"/>
        <v>8580</v>
      </c>
      <c r="J97" s="89" t="s">
        <v>22</v>
      </c>
      <c r="K97" s="72"/>
      <c r="L97" s="72">
        <v>260518001</v>
      </c>
      <c r="M97" s="72">
        <v>41</v>
      </c>
      <c r="N97" s="72">
        <f>M97-D97</f>
        <v>37</v>
      </c>
      <c r="O97" s="19">
        <v>46147</v>
      </c>
      <c r="P97" s="20">
        <f t="shared" si="25"/>
        <v>350</v>
      </c>
      <c r="Q97" s="21">
        <f t="shared" si="26"/>
        <v>46511</v>
      </c>
      <c r="R97" s="7">
        <f t="shared" si="27"/>
        <v>15</v>
      </c>
    </row>
    <row r="98" spans="1:18" ht="20.149999999999999" hidden="1" customHeight="1" x14ac:dyDescent="0.2">
      <c r="A98" s="71">
        <v>46161</v>
      </c>
      <c r="B98" s="71">
        <v>46162</v>
      </c>
      <c r="C98" s="72" t="s">
        <v>1071</v>
      </c>
      <c r="D98" s="72">
        <v>4</v>
      </c>
      <c r="E98" s="72">
        <f t="shared" si="29"/>
        <v>780</v>
      </c>
      <c r="F98" s="72" t="s">
        <v>549</v>
      </c>
      <c r="G98" s="72">
        <f t="shared" si="30"/>
        <v>856</v>
      </c>
      <c r="H98" s="73" t="s">
        <v>722</v>
      </c>
      <c r="I98" s="74">
        <f t="shared" si="32"/>
        <v>7800</v>
      </c>
      <c r="J98" s="89" t="s">
        <v>22</v>
      </c>
      <c r="K98" s="72"/>
      <c r="L98" s="72">
        <v>260518001</v>
      </c>
      <c r="M98" s="72">
        <v>40</v>
      </c>
      <c r="N98" s="72">
        <f>M98-D98</f>
        <v>36</v>
      </c>
      <c r="O98" s="19">
        <v>46149</v>
      </c>
      <c r="P98" s="20">
        <f t="shared" si="25"/>
        <v>352</v>
      </c>
      <c r="Q98" s="21">
        <f t="shared" si="26"/>
        <v>46513</v>
      </c>
      <c r="R98" s="7">
        <f t="shared" si="27"/>
        <v>13</v>
      </c>
    </row>
    <row r="99" spans="1:18" ht="20.149999999999999" hidden="1" customHeight="1" x14ac:dyDescent="0.2">
      <c r="A99" s="71">
        <v>46161</v>
      </c>
      <c r="B99" s="71">
        <v>46162</v>
      </c>
      <c r="C99" s="72" t="s">
        <v>1066</v>
      </c>
      <c r="D99" s="72">
        <v>4</v>
      </c>
      <c r="E99" s="72">
        <f t="shared" si="29"/>
        <v>780</v>
      </c>
      <c r="F99" s="72" t="s">
        <v>549</v>
      </c>
      <c r="G99" s="72">
        <f t="shared" si="30"/>
        <v>856</v>
      </c>
      <c r="H99" s="73" t="s">
        <v>722</v>
      </c>
      <c r="I99" s="74">
        <f t="shared" si="32"/>
        <v>7020</v>
      </c>
      <c r="J99" s="89" t="s">
        <v>22</v>
      </c>
      <c r="K99" s="72"/>
      <c r="L99" s="72">
        <v>260518001</v>
      </c>
      <c r="M99" s="72">
        <v>41</v>
      </c>
      <c r="N99" s="72">
        <f>M99-D99</f>
        <v>37</v>
      </c>
      <c r="O99" s="19">
        <v>46152</v>
      </c>
      <c r="P99" s="20">
        <f t="shared" si="25"/>
        <v>355</v>
      </c>
      <c r="Q99" s="21">
        <f t="shared" si="26"/>
        <v>46516</v>
      </c>
      <c r="R99" s="7">
        <f t="shared" si="27"/>
        <v>10</v>
      </c>
    </row>
    <row r="100" spans="1:18" ht="20.149999999999999" hidden="1" customHeight="1" x14ac:dyDescent="0.2">
      <c r="A100" s="26">
        <v>46163</v>
      </c>
      <c r="B100" s="26">
        <v>46164</v>
      </c>
      <c r="C100" s="27" t="s">
        <v>1093</v>
      </c>
      <c r="D100" s="27">
        <v>16</v>
      </c>
      <c r="E100" s="27">
        <f t="shared" si="29"/>
        <v>3120</v>
      </c>
      <c r="F100" s="27" t="s">
        <v>549</v>
      </c>
      <c r="G100" s="27">
        <f t="shared" si="30"/>
        <v>3424</v>
      </c>
      <c r="H100" s="36" t="s">
        <v>1101</v>
      </c>
      <c r="I100" s="28">
        <f t="shared" si="32"/>
        <v>3900</v>
      </c>
      <c r="J100" s="28"/>
      <c r="K100" s="27"/>
      <c r="L100" s="27">
        <v>260520001</v>
      </c>
      <c r="M100" s="27"/>
      <c r="N100" s="27">
        <f>N96-D100</f>
        <v>0</v>
      </c>
      <c r="O100" s="19">
        <v>46122</v>
      </c>
      <c r="P100" s="20">
        <f t="shared" si="25"/>
        <v>323</v>
      </c>
      <c r="Q100" s="21">
        <f t="shared" si="26"/>
        <v>46486</v>
      </c>
      <c r="R100" s="7">
        <f t="shared" si="27"/>
        <v>42</v>
      </c>
    </row>
    <row r="101" spans="1:18" ht="20.149999999999999" hidden="1" customHeight="1" x14ac:dyDescent="0.2">
      <c r="A101" s="29">
        <v>46164</v>
      </c>
      <c r="B101" s="29">
        <v>46167</v>
      </c>
      <c r="C101" s="30" t="s">
        <v>1109</v>
      </c>
      <c r="D101" s="30">
        <v>12</v>
      </c>
      <c r="E101" s="30">
        <f t="shared" si="29"/>
        <v>2340</v>
      </c>
      <c r="F101" s="30" t="s">
        <v>549</v>
      </c>
      <c r="G101" s="30">
        <f t="shared" si="30"/>
        <v>2568</v>
      </c>
      <c r="H101" s="37" t="s">
        <v>1114</v>
      </c>
      <c r="I101" s="32">
        <f>I100-E101</f>
        <v>1560</v>
      </c>
      <c r="J101" s="32"/>
      <c r="K101" s="30"/>
      <c r="L101" s="30" t="s">
        <v>1115</v>
      </c>
      <c r="M101" s="30"/>
      <c r="N101" s="30">
        <f>N86-D101</f>
        <v>27</v>
      </c>
      <c r="O101" s="19">
        <v>46133</v>
      </c>
      <c r="P101" s="20">
        <f t="shared" si="25"/>
        <v>331</v>
      </c>
      <c r="Q101" s="21">
        <f t="shared" si="26"/>
        <v>46497</v>
      </c>
      <c r="R101" s="7">
        <f t="shared" si="27"/>
        <v>34</v>
      </c>
    </row>
    <row r="102" spans="1:18" ht="20.149999999999999" hidden="1" customHeight="1" x14ac:dyDescent="0.2">
      <c r="A102" s="22">
        <v>46168</v>
      </c>
      <c r="B102" s="22">
        <v>46169</v>
      </c>
      <c r="C102" s="23" t="s">
        <v>1143</v>
      </c>
      <c r="D102" s="23">
        <v>8</v>
      </c>
      <c r="E102" s="23">
        <f t="shared" si="29"/>
        <v>1560</v>
      </c>
      <c r="F102" s="23" t="s">
        <v>549</v>
      </c>
      <c r="G102" s="23">
        <f t="shared" si="30"/>
        <v>1712</v>
      </c>
      <c r="H102" s="38" t="s">
        <v>1152</v>
      </c>
      <c r="I102" s="25">
        <f>I101-E102</f>
        <v>0</v>
      </c>
      <c r="J102" s="25"/>
      <c r="K102" s="23"/>
      <c r="L102" s="23">
        <v>260525001</v>
      </c>
      <c r="M102" s="23"/>
      <c r="N102" s="23">
        <f>N101-D102</f>
        <v>19</v>
      </c>
      <c r="O102" s="19">
        <v>46133</v>
      </c>
      <c r="P102" s="20">
        <f t="shared" si="25"/>
        <v>329</v>
      </c>
      <c r="Q102" s="21">
        <f t="shared" si="26"/>
        <v>46497</v>
      </c>
      <c r="R102" s="7">
        <f t="shared" si="27"/>
        <v>36</v>
      </c>
    </row>
    <row r="103" spans="1:18" ht="20.149999999999999" hidden="1" customHeight="1" x14ac:dyDescent="0.2">
      <c r="A103" s="22">
        <v>46168</v>
      </c>
      <c r="B103" s="22">
        <v>46169</v>
      </c>
      <c r="C103" s="23" t="s">
        <v>1153</v>
      </c>
      <c r="D103" s="23">
        <v>4</v>
      </c>
      <c r="E103" s="23">
        <f t="shared" si="29"/>
        <v>780</v>
      </c>
      <c r="F103" s="23" t="s">
        <v>549</v>
      </c>
      <c r="G103" s="23">
        <f t="shared" si="30"/>
        <v>856</v>
      </c>
      <c r="H103" s="148" t="s">
        <v>1140</v>
      </c>
      <c r="I103" s="25">
        <f>55380-E103</f>
        <v>54600</v>
      </c>
      <c r="J103" s="25"/>
      <c r="K103" s="23"/>
      <c r="L103" s="23" t="s">
        <v>1150</v>
      </c>
      <c r="M103" s="23"/>
      <c r="N103" s="23">
        <f>N102-D103</f>
        <v>15</v>
      </c>
      <c r="O103" s="19">
        <v>46133</v>
      </c>
      <c r="P103" s="20">
        <f t="shared" si="25"/>
        <v>329</v>
      </c>
      <c r="Q103" s="21">
        <f t="shared" si="26"/>
        <v>46497</v>
      </c>
      <c r="R103" s="7">
        <f t="shared" si="27"/>
        <v>36</v>
      </c>
    </row>
    <row r="104" spans="1:18" ht="20.149999999999999" hidden="1" customHeight="1" x14ac:dyDescent="0.2">
      <c r="A104" s="33">
        <v>46170</v>
      </c>
      <c r="B104" s="33">
        <v>46171</v>
      </c>
      <c r="C104" s="34" t="s">
        <v>1163</v>
      </c>
      <c r="D104" s="34">
        <v>8</v>
      </c>
      <c r="E104" s="34">
        <f t="shared" si="29"/>
        <v>1560</v>
      </c>
      <c r="F104" s="34" t="s">
        <v>549</v>
      </c>
      <c r="G104" s="34">
        <f t="shared" si="30"/>
        <v>1712</v>
      </c>
      <c r="H104" s="39" t="s">
        <v>1171</v>
      </c>
      <c r="I104" s="35">
        <f t="shared" ref="I104:I109" si="33">I103-E104</f>
        <v>53040</v>
      </c>
      <c r="J104" s="35"/>
      <c r="K104" s="34"/>
      <c r="L104" s="34">
        <v>260527002</v>
      </c>
      <c r="M104" s="34"/>
      <c r="N104" s="34">
        <f>N103-D104</f>
        <v>7</v>
      </c>
      <c r="O104" s="19">
        <v>46133</v>
      </c>
      <c r="P104" s="20">
        <f t="shared" si="25"/>
        <v>327</v>
      </c>
      <c r="Q104" s="21">
        <f t="shared" si="26"/>
        <v>46497</v>
      </c>
      <c r="R104" s="7">
        <f t="shared" si="27"/>
        <v>38</v>
      </c>
    </row>
    <row r="105" spans="1:18" ht="20.149999999999999" hidden="1" customHeight="1" x14ac:dyDescent="0.2">
      <c r="A105" s="33">
        <v>46170</v>
      </c>
      <c r="B105" s="33">
        <v>46171</v>
      </c>
      <c r="C105" s="34" t="s">
        <v>1164</v>
      </c>
      <c r="D105" s="34">
        <v>4</v>
      </c>
      <c r="E105" s="34">
        <f t="shared" si="29"/>
        <v>780</v>
      </c>
      <c r="F105" s="34" t="s">
        <v>549</v>
      </c>
      <c r="G105" s="34">
        <f t="shared" si="30"/>
        <v>856</v>
      </c>
      <c r="H105" s="39" t="s">
        <v>1140</v>
      </c>
      <c r="I105" s="35">
        <f t="shared" si="33"/>
        <v>52260</v>
      </c>
      <c r="J105" s="63" t="s">
        <v>22</v>
      </c>
      <c r="K105" s="34"/>
      <c r="L105" s="34">
        <v>260527002</v>
      </c>
      <c r="M105" s="34">
        <v>41</v>
      </c>
      <c r="N105" s="34">
        <f>M105-D105</f>
        <v>37</v>
      </c>
      <c r="O105" s="19">
        <v>46156</v>
      </c>
      <c r="P105" s="20">
        <f t="shared" si="25"/>
        <v>350</v>
      </c>
      <c r="Q105" s="21">
        <f t="shared" si="26"/>
        <v>46520</v>
      </c>
      <c r="R105" s="7">
        <f t="shared" si="27"/>
        <v>15</v>
      </c>
    </row>
    <row r="106" spans="1:18" ht="20.149999999999999" hidden="1" customHeight="1" x14ac:dyDescent="0.2">
      <c r="A106" s="71">
        <v>46171</v>
      </c>
      <c r="B106" s="71">
        <v>46174</v>
      </c>
      <c r="C106" s="72" t="s">
        <v>1185</v>
      </c>
      <c r="D106" s="72">
        <v>7</v>
      </c>
      <c r="E106" s="72">
        <f t="shared" si="29"/>
        <v>1365</v>
      </c>
      <c r="F106" s="72" t="s">
        <v>549</v>
      </c>
      <c r="G106" s="72">
        <f t="shared" si="30"/>
        <v>1498</v>
      </c>
      <c r="H106" s="73" t="s">
        <v>1189</v>
      </c>
      <c r="I106" s="74">
        <f t="shared" si="33"/>
        <v>50895</v>
      </c>
      <c r="J106" s="74"/>
      <c r="K106" s="72"/>
      <c r="L106" s="72">
        <v>260528001</v>
      </c>
      <c r="M106" s="72"/>
      <c r="N106" s="72">
        <f>N104-D106</f>
        <v>0</v>
      </c>
      <c r="O106" s="19">
        <v>46133</v>
      </c>
      <c r="P106" s="20">
        <f t="shared" si="25"/>
        <v>324</v>
      </c>
      <c r="Q106" s="21">
        <f t="shared" si="26"/>
        <v>46497</v>
      </c>
      <c r="R106" s="7">
        <f t="shared" si="27"/>
        <v>41</v>
      </c>
    </row>
    <row r="107" spans="1:18" ht="20.149999999999999" hidden="1" customHeight="1" x14ac:dyDescent="0.2">
      <c r="A107" s="71">
        <v>46171</v>
      </c>
      <c r="B107" s="71">
        <v>46174</v>
      </c>
      <c r="C107" s="72" t="s">
        <v>1186</v>
      </c>
      <c r="D107" s="72">
        <v>5</v>
      </c>
      <c r="E107" s="72">
        <f t="shared" si="29"/>
        <v>975</v>
      </c>
      <c r="F107" s="72" t="s">
        <v>549</v>
      </c>
      <c r="G107" s="72">
        <f t="shared" si="30"/>
        <v>1070</v>
      </c>
      <c r="H107" s="73" t="s">
        <v>1183</v>
      </c>
      <c r="I107" s="74">
        <f t="shared" si="33"/>
        <v>49920</v>
      </c>
      <c r="J107" s="74"/>
      <c r="K107" s="72"/>
      <c r="L107" s="72">
        <v>260528001</v>
      </c>
      <c r="M107" s="72"/>
      <c r="N107" s="72">
        <f>N87-D107</f>
        <v>32</v>
      </c>
      <c r="O107" s="19">
        <v>46135</v>
      </c>
      <c r="P107" s="20">
        <f t="shared" si="25"/>
        <v>326</v>
      </c>
      <c r="Q107" s="21">
        <f t="shared" si="26"/>
        <v>46499</v>
      </c>
      <c r="R107" s="7">
        <f t="shared" si="27"/>
        <v>39</v>
      </c>
    </row>
    <row r="108" spans="1:18" ht="20.149999999999999" hidden="1" customHeight="1" x14ac:dyDescent="0.2">
      <c r="A108" s="26">
        <v>46175</v>
      </c>
      <c r="B108" s="26">
        <v>46176</v>
      </c>
      <c r="C108" s="27" t="s">
        <v>1225</v>
      </c>
      <c r="D108" s="27">
        <v>8</v>
      </c>
      <c r="E108" s="27">
        <f t="shared" si="29"/>
        <v>1560</v>
      </c>
      <c r="F108" s="27" t="s">
        <v>549</v>
      </c>
      <c r="G108" s="27">
        <f t="shared" si="30"/>
        <v>1712</v>
      </c>
      <c r="H108" s="27" t="s">
        <v>1140</v>
      </c>
      <c r="I108" s="28">
        <f t="shared" si="33"/>
        <v>48360</v>
      </c>
      <c r="J108" s="28"/>
      <c r="K108" s="27"/>
      <c r="L108" s="27">
        <v>260601006</v>
      </c>
      <c r="M108" s="27"/>
      <c r="N108" s="27">
        <f>N107-D108</f>
        <v>24</v>
      </c>
      <c r="O108" s="19">
        <v>46135</v>
      </c>
      <c r="P108" s="20">
        <f t="shared" si="25"/>
        <v>324</v>
      </c>
      <c r="Q108" s="21">
        <f t="shared" si="26"/>
        <v>46499</v>
      </c>
      <c r="R108" s="7">
        <f t="shared" si="27"/>
        <v>41</v>
      </c>
    </row>
    <row r="109" spans="1:18" ht="20.149999999999999" hidden="1" customHeight="1" x14ac:dyDescent="0.2">
      <c r="A109" s="26">
        <v>46175</v>
      </c>
      <c r="B109" s="26">
        <v>46176</v>
      </c>
      <c r="C109" s="27" t="s">
        <v>1226</v>
      </c>
      <c r="D109" s="27">
        <v>4</v>
      </c>
      <c r="E109" s="27">
        <f t="shared" si="29"/>
        <v>780</v>
      </c>
      <c r="F109" s="27" t="s">
        <v>549</v>
      </c>
      <c r="G109" s="27">
        <f t="shared" si="30"/>
        <v>856</v>
      </c>
      <c r="H109" s="27" t="s">
        <v>1222</v>
      </c>
      <c r="I109" s="28">
        <f t="shared" si="33"/>
        <v>47580</v>
      </c>
      <c r="J109" s="61" t="s">
        <v>22</v>
      </c>
      <c r="K109" s="27"/>
      <c r="L109" s="27">
        <v>260601006</v>
      </c>
      <c r="M109" s="27">
        <v>42</v>
      </c>
      <c r="N109" s="27">
        <f>M109-D109</f>
        <v>38</v>
      </c>
      <c r="O109" s="19">
        <v>46163</v>
      </c>
      <c r="P109" s="20">
        <f t="shared" si="25"/>
        <v>352</v>
      </c>
      <c r="Q109" s="21">
        <f t="shared" si="26"/>
        <v>46527</v>
      </c>
      <c r="R109" s="7">
        <f t="shared" si="27"/>
        <v>13</v>
      </c>
    </row>
    <row r="110" spans="1:18" ht="20.149999999999999" hidden="1" customHeight="1" x14ac:dyDescent="0.2">
      <c r="A110" s="29">
        <v>46177</v>
      </c>
      <c r="B110" s="29">
        <v>46178</v>
      </c>
      <c r="C110" s="30" t="s">
        <v>1234</v>
      </c>
      <c r="D110" s="30">
        <v>16</v>
      </c>
      <c r="E110" s="30">
        <f t="shared" si="29"/>
        <v>3120</v>
      </c>
      <c r="F110" s="30" t="s">
        <v>549</v>
      </c>
      <c r="G110" s="30">
        <f t="shared" si="30"/>
        <v>3424</v>
      </c>
      <c r="H110" s="30" t="s">
        <v>1140</v>
      </c>
      <c r="I110" s="32">
        <f t="shared" ref="I110:I115" si="34">I109-E110</f>
        <v>44460</v>
      </c>
      <c r="J110" s="32"/>
      <c r="K110" s="30"/>
      <c r="L110" s="30">
        <v>260603002</v>
      </c>
      <c r="M110" s="30"/>
      <c r="N110" s="30">
        <f>N108-D110</f>
        <v>8</v>
      </c>
      <c r="O110" s="19">
        <v>46135</v>
      </c>
      <c r="P110" s="20">
        <f t="shared" si="25"/>
        <v>322</v>
      </c>
      <c r="Q110" s="21">
        <f t="shared" si="26"/>
        <v>46499</v>
      </c>
      <c r="R110" s="7">
        <f t="shared" si="27"/>
        <v>43</v>
      </c>
    </row>
    <row r="111" spans="1:18" ht="20.149999999999999" hidden="1" customHeight="1" x14ac:dyDescent="0.2">
      <c r="A111" s="22">
        <v>46178</v>
      </c>
      <c r="B111" s="22">
        <v>46181</v>
      </c>
      <c r="C111" s="23" t="s">
        <v>926</v>
      </c>
      <c r="D111" s="23">
        <v>8</v>
      </c>
      <c r="E111" s="23">
        <f t="shared" si="29"/>
        <v>1560</v>
      </c>
      <c r="F111" s="23" t="s">
        <v>549</v>
      </c>
      <c r="G111" s="23">
        <f t="shared" si="30"/>
        <v>1712</v>
      </c>
      <c r="H111" s="23" t="s">
        <v>1140</v>
      </c>
      <c r="I111" s="25">
        <f t="shared" si="34"/>
        <v>42900</v>
      </c>
      <c r="J111" s="25"/>
      <c r="K111" s="23"/>
      <c r="L111" s="23">
        <v>260604002</v>
      </c>
      <c r="M111" s="23"/>
      <c r="N111" s="23">
        <f>N110-D111</f>
        <v>0</v>
      </c>
      <c r="O111" s="19">
        <v>46135</v>
      </c>
      <c r="P111" s="20">
        <f t="shared" si="25"/>
        <v>319</v>
      </c>
      <c r="Q111" s="21">
        <f t="shared" si="26"/>
        <v>46499</v>
      </c>
      <c r="R111" s="7">
        <f t="shared" si="27"/>
        <v>46</v>
      </c>
    </row>
    <row r="112" spans="1:18" ht="20.149999999999999" hidden="1" customHeight="1" x14ac:dyDescent="0.2">
      <c r="A112" s="22">
        <v>46178</v>
      </c>
      <c r="B112" s="22">
        <v>46181</v>
      </c>
      <c r="C112" s="23" t="s">
        <v>1001</v>
      </c>
      <c r="D112" s="23">
        <v>8</v>
      </c>
      <c r="E112" s="23">
        <f t="shared" si="29"/>
        <v>1560</v>
      </c>
      <c r="F112" s="23" t="s">
        <v>549</v>
      </c>
      <c r="G112" s="23">
        <f t="shared" si="30"/>
        <v>1712</v>
      </c>
      <c r="H112" s="23" t="s">
        <v>1249</v>
      </c>
      <c r="I112" s="25">
        <f t="shared" si="34"/>
        <v>41340</v>
      </c>
      <c r="J112" s="25"/>
      <c r="K112" s="23"/>
      <c r="L112" s="23">
        <v>260604002</v>
      </c>
      <c r="M112" s="23"/>
      <c r="N112" s="23">
        <f>N92-D112</f>
        <v>30</v>
      </c>
      <c r="O112" s="19">
        <v>46141</v>
      </c>
      <c r="P112" s="20">
        <f t="shared" si="25"/>
        <v>325</v>
      </c>
      <c r="Q112" s="21">
        <f t="shared" si="26"/>
        <v>46505</v>
      </c>
      <c r="R112" s="7">
        <f t="shared" si="27"/>
        <v>40</v>
      </c>
    </row>
    <row r="113" spans="1:18" ht="20.149999999999999" hidden="1" customHeight="1" x14ac:dyDescent="0.2">
      <c r="A113" s="33">
        <v>46182</v>
      </c>
      <c r="B113" s="33">
        <v>46183</v>
      </c>
      <c r="C113" s="34" t="s">
        <v>1280</v>
      </c>
      <c r="D113" s="34">
        <v>8</v>
      </c>
      <c r="E113" s="34">
        <f t="shared" si="29"/>
        <v>1560</v>
      </c>
      <c r="F113" s="34" t="s">
        <v>549</v>
      </c>
      <c r="G113" s="34">
        <f t="shared" si="30"/>
        <v>1712</v>
      </c>
      <c r="H113" s="34" t="s">
        <v>1140</v>
      </c>
      <c r="I113" s="35">
        <f t="shared" si="34"/>
        <v>39780</v>
      </c>
      <c r="J113" s="35"/>
      <c r="K113" s="34"/>
      <c r="L113" s="34">
        <v>260608003</v>
      </c>
      <c r="M113" s="34"/>
      <c r="N113" s="34">
        <f>N112-D113</f>
        <v>22</v>
      </c>
      <c r="O113" s="19">
        <v>46141</v>
      </c>
      <c r="P113" s="20">
        <f t="shared" si="25"/>
        <v>323</v>
      </c>
      <c r="Q113" s="21">
        <f t="shared" si="26"/>
        <v>46505</v>
      </c>
      <c r="R113" s="7">
        <f t="shared" si="27"/>
        <v>42</v>
      </c>
    </row>
    <row r="114" spans="1:18" ht="20.149999999999999" hidden="1" customHeight="1" x14ac:dyDescent="0.2">
      <c r="A114" s="33">
        <v>46182</v>
      </c>
      <c r="B114" s="33">
        <v>46183</v>
      </c>
      <c r="C114" s="34" t="s">
        <v>1281</v>
      </c>
      <c r="D114" s="34">
        <v>4</v>
      </c>
      <c r="E114" s="34">
        <f t="shared" si="29"/>
        <v>780</v>
      </c>
      <c r="F114" s="34" t="s">
        <v>549</v>
      </c>
      <c r="G114" s="34">
        <f t="shared" si="30"/>
        <v>856</v>
      </c>
      <c r="H114" s="34" t="s">
        <v>1249</v>
      </c>
      <c r="I114" s="35">
        <f t="shared" si="34"/>
        <v>39000</v>
      </c>
      <c r="J114" s="63" t="s">
        <v>22</v>
      </c>
      <c r="K114" s="34"/>
      <c r="L114" s="34">
        <v>260608003</v>
      </c>
      <c r="M114" s="34">
        <v>41</v>
      </c>
      <c r="N114" s="34">
        <f>M114-D114</f>
        <v>37</v>
      </c>
      <c r="O114" s="19">
        <v>46170</v>
      </c>
      <c r="P114" s="20">
        <f t="shared" si="25"/>
        <v>352</v>
      </c>
      <c r="Q114" s="21">
        <f t="shared" si="26"/>
        <v>46534</v>
      </c>
      <c r="R114" s="7">
        <f t="shared" si="27"/>
        <v>13</v>
      </c>
    </row>
    <row r="115" spans="1:18" ht="20.149999999999999" hidden="1" customHeight="1" x14ac:dyDescent="0.2">
      <c r="A115" s="71">
        <v>46184</v>
      </c>
      <c r="B115" s="71">
        <v>46185</v>
      </c>
      <c r="C115" s="72" t="s">
        <v>1290</v>
      </c>
      <c r="D115" s="72">
        <v>12</v>
      </c>
      <c r="E115" s="72">
        <f t="shared" si="29"/>
        <v>2340</v>
      </c>
      <c r="F115" s="72" t="s">
        <v>549</v>
      </c>
      <c r="G115" s="72">
        <f t="shared" si="30"/>
        <v>2568</v>
      </c>
      <c r="H115" s="72" t="s">
        <v>1298</v>
      </c>
      <c r="I115" s="74">
        <f t="shared" si="34"/>
        <v>36660</v>
      </c>
      <c r="J115" s="74"/>
      <c r="K115" s="72"/>
      <c r="L115" s="72">
        <v>260610003</v>
      </c>
      <c r="M115" s="72"/>
      <c r="N115" s="72">
        <f>N113-D115</f>
        <v>10</v>
      </c>
      <c r="O115" s="19">
        <v>46141</v>
      </c>
      <c r="P115" s="20">
        <f t="shared" si="25"/>
        <v>321</v>
      </c>
      <c r="Q115" s="21">
        <f t="shared" si="26"/>
        <v>46505</v>
      </c>
      <c r="R115" s="7">
        <f t="shared" si="27"/>
        <v>44</v>
      </c>
    </row>
    <row r="116" spans="1:18" ht="20.149999999999999" hidden="1" customHeight="1" x14ac:dyDescent="0.2">
      <c r="A116" s="26">
        <v>46185</v>
      </c>
      <c r="B116" s="26">
        <v>46188</v>
      </c>
      <c r="C116" s="27" t="s">
        <v>1304</v>
      </c>
      <c r="D116" s="27">
        <v>10</v>
      </c>
      <c r="E116" s="27">
        <f t="shared" si="29"/>
        <v>1950</v>
      </c>
      <c r="F116" s="27" t="s">
        <v>549</v>
      </c>
      <c r="G116" s="27">
        <f t="shared" si="30"/>
        <v>2140</v>
      </c>
      <c r="H116" s="27" t="s">
        <v>1313</v>
      </c>
      <c r="I116" s="28">
        <f t="shared" ref="I116:I122" si="35">I115-E116</f>
        <v>34710</v>
      </c>
      <c r="J116" s="28"/>
      <c r="K116" s="27"/>
      <c r="L116" s="27">
        <v>260610011</v>
      </c>
      <c r="M116" s="27"/>
      <c r="N116" s="27">
        <f>N115-D116</f>
        <v>0</v>
      </c>
      <c r="O116" s="19">
        <v>46141</v>
      </c>
      <c r="P116" s="20">
        <f t="shared" si="25"/>
        <v>318</v>
      </c>
      <c r="Q116" s="21">
        <f t="shared" si="26"/>
        <v>46505</v>
      </c>
      <c r="R116" s="7">
        <f t="shared" si="27"/>
        <v>47</v>
      </c>
    </row>
    <row r="117" spans="1:18" ht="20.149999999999999" hidden="1" customHeight="1" x14ac:dyDescent="0.2">
      <c r="A117" s="26">
        <v>46185</v>
      </c>
      <c r="B117" s="26">
        <v>46188</v>
      </c>
      <c r="C117" s="27" t="s">
        <v>1305</v>
      </c>
      <c r="D117" s="27">
        <v>2</v>
      </c>
      <c r="E117" s="27">
        <f t="shared" si="29"/>
        <v>390</v>
      </c>
      <c r="F117" s="27" t="s">
        <v>549</v>
      </c>
      <c r="G117" s="27">
        <f t="shared" si="30"/>
        <v>428</v>
      </c>
      <c r="H117" s="27" t="s">
        <v>1306</v>
      </c>
      <c r="I117" s="28">
        <f t="shared" si="35"/>
        <v>34320</v>
      </c>
      <c r="J117" s="28"/>
      <c r="K117" s="27"/>
      <c r="L117" s="27">
        <v>260610011</v>
      </c>
      <c r="M117" s="27"/>
      <c r="N117" s="27">
        <f>N97-D117</f>
        <v>35</v>
      </c>
      <c r="O117" s="19">
        <v>46147</v>
      </c>
      <c r="P117" s="20">
        <f t="shared" si="25"/>
        <v>324</v>
      </c>
      <c r="Q117" s="21">
        <f t="shared" si="26"/>
        <v>46511</v>
      </c>
      <c r="R117" s="7">
        <f t="shared" si="27"/>
        <v>41</v>
      </c>
    </row>
    <row r="118" spans="1:18" ht="20.149999999999999" hidden="1" customHeight="1" x14ac:dyDescent="0.2">
      <c r="A118" s="29">
        <v>46189</v>
      </c>
      <c r="B118" s="29">
        <v>46190</v>
      </c>
      <c r="C118" s="30" t="s">
        <v>1070</v>
      </c>
      <c r="D118" s="30">
        <v>16</v>
      </c>
      <c r="E118" s="30">
        <f t="shared" ref="E118:E144" si="36">D118*195</f>
        <v>3120</v>
      </c>
      <c r="F118" s="30" t="s">
        <v>549</v>
      </c>
      <c r="G118" s="30">
        <f t="shared" ref="G118:G144" si="37">D118*214</f>
        <v>3424</v>
      </c>
      <c r="H118" s="30" t="s">
        <v>1337</v>
      </c>
      <c r="I118" s="32">
        <f t="shared" si="35"/>
        <v>31200</v>
      </c>
      <c r="J118" s="32"/>
      <c r="K118" s="30"/>
      <c r="L118" s="30">
        <v>260615001</v>
      </c>
      <c r="M118" s="30"/>
      <c r="N118" s="30">
        <f>N117-D118</f>
        <v>19</v>
      </c>
      <c r="O118" s="19">
        <v>46147</v>
      </c>
      <c r="P118" s="20">
        <f t="shared" ref="P118:P144" si="38">365-R118</f>
        <v>322</v>
      </c>
      <c r="Q118" s="21">
        <f t="shared" ref="Q118:Q181" si="39">DATE(YEAR(O118)+1,MONTH(O118),DAY(O118))-1</f>
        <v>46511</v>
      </c>
      <c r="R118" s="7">
        <f t="shared" ref="R118:R144" si="40">DATEDIF(O118,B118,"d")</f>
        <v>43</v>
      </c>
    </row>
    <row r="119" spans="1:18" ht="20.149999999999999" hidden="1" customHeight="1" x14ac:dyDescent="0.2">
      <c r="A119" s="22">
        <v>46191</v>
      </c>
      <c r="B119" s="143">
        <v>46192</v>
      </c>
      <c r="C119" s="23" t="s">
        <v>1363</v>
      </c>
      <c r="D119" s="23">
        <v>4</v>
      </c>
      <c r="E119" s="23">
        <f t="shared" si="36"/>
        <v>780</v>
      </c>
      <c r="F119" s="23" t="s">
        <v>549</v>
      </c>
      <c r="G119" s="23">
        <f t="shared" si="37"/>
        <v>856</v>
      </c>
      <c r="H119" s="23" t="s">
        <v>1140</v>
      </c>
      <c r="I119" s="25">
        <f t="shared" si="35"/>
        <v>30420</v>
      </c>
      <c r="J119" s="25"/>
      <c r="K119" s="23"/>
      <c r="L119" s="23">
        <v>260617005</v>
      </c>
      <c r="M119" s="23"/>
      <c r="N119" s="23">
        <f>N118-D119</f>
        <v>15</v>
      </c>
      <c r="O119" s="19">
        <v>46147</v>
      </c>
      <c r="P119" s="20">
        <f t="shared" si="38"/>
        <v>320</v>
      </c>
      <c r="Q119" s="21">
        <f t="shared" si="39"/>
        <v>46511</v>
      </c>
      <c r="R119" s="7">
        <f t="shared" si="40"/>
        <v>45</v>
      </c>
    </row>
    <row r="120" spans="1:18" ht="20.149999999999999" hidden="1" customHeight="1" x14ac:dyDescent="0.2">
      <c r="A120" s="22">
        <v>46191</v>
      </c>
      <c r="B120" s="143">
        <v>46192</v>
      </c>
      <c r="C120" s="23" t="s">
        <v>1364</v>
      </c>
      <c r="D120" s="23">
        <v>4</v>
      </c>
      <c r="E120" s="23">
        <f t="shared" si="36"/>
        <v>780</v>
      </c>
      <c r="F120" s="23" t="s">
        <v>549</v>
      </c>
      <c r="G120" s="23">
        <f t="shared" si="37"/>
        <v>856</v>
      </c>
      <c r="H120" s="23" t="s">
        <v>1140</v>
      </c>
      <c r="I120" s="25">
        <f t="shared" si="35"/>
        <v>29640</v>
      </c>
      <c r="J120" s="43" t="s">
        <v>22</v>
      </c>
      <c r="K120" s="23"/>
      <c r="L120" s="23">
        <v>260617005</v>
      </c>
      <c r="M120" s="23">
        <v>42</v>
      </c>
      <c r="N120" s="23">
        <f>M120-D120</f>
        <v>38</v>
      </c>
      <c r="O120" s="19">
        <v>46177</v>
      </c>
      <c r="P120" s="20">
        <f t="shared" si="38"/>
        <v>350</v>
      </c>
      <c r="Q120" s="21">
        <f t="shared" si="39"/>
        <v>46541</v>
      </c>
      <c r="R120" s="7">
        <f t="shared" si="40"/>
        <v>15</v>
      </c>
    </row>
    <row r="121" spans="1:18" ht="20.149999999999999" hidden="1" customHeight="1" x14ac:dyDescent="0.2">
      <c r="A121" s="22">
        <v>46191</v>
      </c>
      <c r="B121" s="143">
        <v>46192</v>
      </c>
      <c r="C121" s="23" t="s">
        <v>1365</v>
      </c>
      <c r="D121" s="23">
        <v>4</v>
      </c>
      <c r="E121" s="23">
        <f t="shared" si="36"/>
        <v>780</v>
      </c>
      <c r="F121" s="23" t="s">
        <v>549</v>
      </c>
      <c r="G121" s="23">
        <f t="shared" si="37"/>
        <v>856</v>
      </c>
      <c r="H121" s="23" t="s">
        <v>1140</v>
      </c>
      <c r="I121" s="25">
        <f t="shared" si="35"/>
        <v>28860</v>
      </c>
      <c r="J121" s="43" t="s">
        <v>22</v>
      </c>
      <c r="K121" s="23"/>
      <c r="L121" s="23">
        <v>260617005</v>
      </c>
      <c r="M121" s="23">
        <v>41</v>
      </c>
      <c r="N121" s="23">
        <f>M121-D121</f>
        <v>37</v>
      </c>
      <c r="O121" s="19">
        <v>46180</v>
      </c>
      <c r="P121" s="20">
        <f t="shared" si="38"/>
        <v>353</v>
      </c>
      <c r="Q121" s="21">
        <f t="shared" si="39"/>
        <v>46544</v>
      </c>
      <c r="R121" s="7">
        <f t="shared" si="40"/>
        <v>12</v>
      </c>
    </row>
    <row r="122" spans="1:18" ht="20.149999999999999" hidden="1" customHeight="1" x14ac:dyDescent="0.2">
      <c r="A122" s="33">
        <v>46191</v>
      </c>
      <c r="B122" s="33">
        <v>46195</v>
      </c>
      <c r="C122" s="34" t="s">
        <v>1366</v>
      </c>
      <c r="D122" s="34">
        <v>12</v>
      </c>
      <c r="E122" s="34">
        <f t="shared" si="36"/>
        <v>2340</v>
      </c>
      <c r="F122" s="34" t="s">
        <v>549</v>
      </c>
      <c r="G122" s="34">
        <f t="shared" si="37"/>
        <v>2568</v>
      </c>
      <c r="H122" s="34" t="s">
        <v>1140</v>
      </c>
      <c r="I122" s="35">
        <f t="shared" si="35"/>
        <v>26520</v>
      </c>
      <c r="J122" s="35"/>
      <c r="K122" s="34"/>
      <c r="L122" s="34">
        <v>260617006</v>
      </c>
      <c r="M122" s="34"/>
      <c r="N122" s="34">
        <f>N119-D122</f>
        <v>3</v>
      </c>
      <c r="O122" s="19">
        <v>46147</v>
      </c>
      <c r="P122" s="20">
        <f t="shared" si="38"/>
        <v>317</v>
      </c>
      <c r="Q122" s="21">
        <f t="shared" si="39"/>
        <v>46511</v>
      </c>
      <c r="R122" s="7">
        <f t="shared" si="40"/>
        <v>48</v>
      </c>
    </row>
    <row r="123" spans="1:18" ht="20.149999999999999" hidden="1" customHeight="1" x14ac:dyDescent="0.2">
      <c r="A123" s="71">
        <v>46196</v>
      </c>
      <c r="B123" s="71">
        <v>46197</v>
      </c>
      <c r="C123" s="72" t="s">
        <v>1395</v>
      </c>
      <c r="D123" s="72">
        <v>3</v>
      </c>
      <c r="E123" s="72">
        <f t="shared" si="36"/>
        <v>585</v>
      </c>
      <c r="F123" s="72" t="s">
        <v>549</v>
      </c>
      <c r="G123" s="72">
        <f t="shared" si="37"/>
        <v>642</v>
      </c>
      <c r="H123" s="72" t="s">
        <v>1403</v>
      </c>
      <c r="I123" s="74">
        <f t="shared" ref="I123:I130" si="41">I122-E123</f>
        <v>25935</v>
      </c>
      <c r="J123" s="74"/>
      <c r="K123" s="72"/>
      <c r="L123" s="72">
        <v>260622005</v>
      </c>
      <c r="M123" s="72"/>
      <c r="N123" s="72">
        <f>N122-D123</f>
        <v>0</v>
      </c>
      <c r="O123" s="19">
        <v>46147</v>
      </c>
      <c r="P123" s="20">
        <f t="shared" si="38"/>
        <v>315</v>
      </c>
      <c r="Q123" s="21">
        <f t="shared" si="39"/>
        <v>46511</v>
      </c>
      <c r="R123" s="7">
        <f t="shared" si="40"/>
        <v>50</v>
      </c>
    </row>
    <row r="124" spans="1:18" ht="20.149999999999999" hidden="1" customHeight="1" x14ac:dyDescent="0.2">
      <c r="A124" s="71">
        <v>46196</v>
      </c>
      <c r="B124" s="71">
        <v>46197</v>
      </c>
      <c r="C124" s="72" t="s">
        <v>1396</v>
      </c>
      <c r="D124" s="72">
        <v>9</v>
      </c>
      <c r="E124" s="72">
        <f t="shared" si="36"/>
        <v>1755</v>
      </c>
      <c r="F124" s="72" t="s">
        <v>549</v>
      </c>
      <c r="G124" s="72">
        <f t="shared" si="37"/>
        <v>1926</v>
      </c>
      <c r="H124" s="72" t="s">
        <v>1394</v>
      </c>
      <c r="I124" s="74">
        <f t="shared" si="41"/>
        <v>24180</v>
      </c>
      <c r="J124" s="74"/>
      <c r="K124" s="72"/>
      <c r="L124" s="72">
        <v>260622005</v>
      </c>
      <c r="M124" s="72"/>
      <c r="N124" s="72">
        <f>N98-D124</f>
        <v>27</v>
      </c>
      <c r="O124" s="19">
        <v>46149</v>
      </c>
      <c r="P124" s="20">
        <f t="shared" si="38"/>
        <v>317</v>
      </c>
      <c r="Q124" s="21">
        <f t="shared" si="39"/>
        <v>46513</v>
      </c>
      <c r="R124" s="7">
        <f t="shared" si="40"/>
        <v>48</v>
      </c>
    </row>
    <row r="125" spans="1:18" ht="20.149999999999999" hidden="1" customHeight="1" x14ac:dyDescent="0.2">
      <c r="A125" s="71">
        <v>46196</v>
      </c>
      <c r="B125" s="71">
        <v>46197</v>
      </c>
      <c r="C125" s="72" t="s">
        <v>1397</v>
      </c>
      <c r="D125" s="72">
        <v>4</v>
      </c>
      <c r="E125" s="72">
        <f t="shared" si="36"/>
        <v>780</v>
      </c>
      <c r="F125" s="72" t="s">
        <v>549</v>
      </c>
      <c r="G125" s="72">
        <f t="shared" si="37"/>
        <v>856</v>
      </c>
      <c r="H125" s="72" t="s">
        <v>1140</v>
      </c>
      <c r="I125" s="74">
        <f t="shared" si="41"/>
        <v>23400</v>
      </c>
      <c r="J125" s="89" t="s">
        <v>22</v>
      </c>
      <c r="K125" s="72"/>
      <c r="L125" s="72">
        <v>260622005</v>
      </c>
      <c r="M125" s="72">
        <v>41</v>
      </c>
      <c r="N125" s="72">
        <f>M125-D125</f>
        <v>37</v>
      </c>
      <c r="O125" s="19">
        <v>46184</v>
      </c>
      <c r="P125" s="20">
        <f t="shared" si="38"/>
        <v>352</v>
      </c>
      <c r="Q125" s="21">
        <f t="shared" si="39"/>
        <v>46548</v>
      </c>
      <c r="R125" s="7">
        <f t="shared" si="40"/>
        <v>13</v>
      </c>
    </row>
    <row r="126" spans="1:18" ht="20.149999999999999" hidden="1" customHeight="1" x14ac:dyDescent="0.2">
      <c r="A126" s="26">
        <v>46198</v>
      </c>
      <c r="B126" s="26">
        <v>46199</v>
      </c>
      <c r="C126" s="27" t="s">
        <v>1411</v>
      </c>
      <c r="D126" s="27">
        <v>12</v>
      </c>
      <c r="E126" s="27">
        <f t="shared" si="36"/>
        <v>2340</v>
      </c>
      <c r="F126" s="27" t="s">
        <v>549</v>
      </c>
      <c r="G126" s="27">
        <f t="shared" si="37"/>
        <v>2568</v>
      </c>
      <c r="H126" s="27" t="s">
        <v>1140</v>
      </c>
      <c r="I126" s="28">
        <f t="shared" si="41"/>
        <v>21060</v>
      </c>
      <c r="J126" s="28"/>
      <c r="K126" s="27"/>
      <c r="L126" s="27">
        <v>260624002</v>
      </c>
      <c r="M126" s="27"/>
      <c r="N126" s="27">
        <f>N124-D126</f>
        <v>15</v>
      </c>
      <c r="O126" s="19">
        <v>46149</v>
      </c>
      <c r="P126" s="20">
        <f t="shared" si="38"/>
        <v>315</v>
      </c>
      <c r="Q126" s="21">
        <f t="shared" si="39"/>
        <v>46513</v>
      </c>
      <c r="R126" s="7">
        <f t="shared" si="40"/>
        <v>50</v>
      </c>
    </row>
    <row r="127" spans="1:18" ht="20.149999999999999" hidden="1" customHeight="1" x14ac:dyDescent="0.2">
      <c r="A127" s="29">
        <v>46199</v>
      </c>
      <c r="B127" s="29">
        <v>46202</v>
      </c>
      <c r="C127" s="30" t="s">
        <v>1071</v>
      </c>
      <c r="D127" s="30">
        <v>12</v>
      </c>
      <c r="E127" s="30">
        <f t="shared" si="36"/>
        <v>2340</v>
      </c>
      <c r="F127" s="30" t="s">
        <v>549</v>
      </c>
      <c r="G127" s="30">
        <f t="shared" si="37"/>
        <v>2568</v>
      </c>
      <c r="H127" s="30" t="s">
        <v>1140</v>
      </c>
      <c r="I127" s="32">
        <f t="shared" si="41"/>
        <v>18720</v>
      </c>
      <c r="J127" s="32"/>
      <c r="K127" s="30"/>
      <c r="L127" s="30">
        <v>260625002</v>
      </c>
      <c r="M127" s="30"/>
      <c r="N127" s="30">
        <f>N126-D127</f>
        <v>3</v>
      </c>
      <c r="O127" s="19">
        <v>46149</v>
      </c>
      <c r="P127" s="20">
        <f t="shared" si="38"/>
        <v>312</v>
      </c>
      <c r="Q127" s="21">
        <f t="shared" si="39"/>
        <v>46513</v>
      </c>
      <c r="R127" s="7">
        <f t="shared" si="40"/>
        <v>53</v>
      </c>
    </row>
    <row r="128" spans="1:18" ht="20.149999999999999" hidden="1" customHeight="1" x14ac:dyDescent="0.2">
      <c r="A128" s="22">
        <v>46203</v>
      </c>
      <c r="B128" s="22">
        <v>46204</v>
      </c>
      <c r="C128" s="23" t="s">
        <v>1461</v>
      </c>
      <c r="D128" s="23">
        <v>3</v>
      </c>
      <c r="E128" s="23">
        <f t="shared" si="36"/>
        <v>585</v>
      </c>
      <c r="F128" s="23" t="s">
        <v>549</v>
      </c>
      <c r="G128" s="23">
        <f t="shared" si="37"/>
        <v>642</v>
      </c>
      <c r="H128" s="23" t="s">
        <v>1140</v>
      </c>
      <c r="I128" s="25">
        <f t="shared" si="41"/>
        <v>18135</v>
      </c>
      <c r="J128" s="25"/>
      <c r="K128" s="23"/>
      <c r="L128" s="23">
        <v>260629001</v>
      </c>
      <c r="M128" s="23"/>
      <c r="N128" s="23">
        <f>N127-D128</f>
        <v>0</v>
      </c>
      <c r="O128" s="19">
        <v>46149</v>
      </c>
      <c r="P128" s="20">
        <f t="shared" si="38"/>
        <v>310</v>
      </c>
      <c r="Q128" s="21">
        <f t="shared" si="39"/>
        <v>46513</v>
      </c>
      <c r="R128" s="7">
        <f t="shared" si="40"/>
        <v>55</v>
      </c>
    </row>
    <row r="129" spans="1:18" ht="20.149999999999999" hidden="1" customHeight="1" x14ac:dyDescent="0.2">
      <c r="A129" s="22">
        <v>46203</v>
      </c>
      <c r="B129" s="22">
        <v>46204</v>
      </c>
      <c r="C129" s="23" t="s">
        <v>1460</v>
      </c>
      <c r="D129" s="23">
        <v>5</v>
      </c>
      <c r="E129" s="23">
        <f t="shared" si="36"/>
        <v>975</v>
      </c>
      <c r="F129" s="23" t="s">
        <v>549</v>
      </c>
      <c r="G129" s="23">
        <f t="shared" si="37"/>
        <v>1070</v>
      </c>
      <c r="H129" s="23" t="s">
        <v>1456</v>
      </c>
      <c r="I129" s="25">
        <f t="shared" si="41"/>
        <v>17160</v>
      </c>
      <c r="J129" s="25"/>
      <c r="K129" s="23"/>
      <c r="L129" s="23">
        <v>260629001</v>
      </c>
      <c r="M129" s="23"/>
      <c r="N129" s="23">
        <f>N99-D129</f>
        <v>32</v>
      </c>
      <c r="O129" s="19">
        <v>46152</v>
      </c>
      <c r="P129" s="20">
        <f t="shared" si="38"/>
        <v>313</v>
      </c>
      <c r="Q129" s="21">
        <f t="shared" si="39"/>
        <v>46516</v>
      </c>
      <c r="R129" s="7">
        <f t="shared" si="40"/>
        <v>52</v>
      </c>
    </row>
    <row r="130" spans="1:18" ht="20.149999999999999" hidden="1" customHeight="1" x14ac:dyDescent="0.2">
      <c r="A130" s="22">
        <v>46203</v>
      </c>
      <c r="B130" s="22">
        <v>46204</v>
      </c>
      <c r="C130" s="23" t="s">
        <v>1455</v>
      </c>
      <c r="D130" s="23">
        <v>4</v>
      </c>
      <c r="E130" s="23">
        <f t="shared" si="36"/>
        <v>780</v>
      </c>
      <c r="F130" s="23" t="s">
        <v>549</v>
      </c>
      <c r="G130" s="23">
        <f t="shared" si="37"/>
        <v>856</v>
      </c>
      <c r="H130" s="23" t="s">
        <v>1140</v>
      </c>
      <c r="I130" s="25">
        <f t="shared" si="41"/>
        <v>16380</v>
      </c>
      <c r="J130" s="43" t="s">
        <v>22</v>
      </c>
      <c r="K130" s="23"/>
      <c r="L130" s="23">
        <v>260629001</v>
      </c>
      <c r="M130" s="23">
        <v>42</v>
      </c>
      <c r="N130" s="23">
        <f>M130-D130</f>
        <v>38</v>
      </c>
      <c r="O130" s="19">
        <v>46190</v>
      </c>
      <c r="P130" s="20">
        <f t="shared" si="38"/>
        <v>351</v>
      </c>
      <c r="Q130" s="21">
        <f t="shared" si="39"/>
        <v>46554</v>
      </c>
      <c r="R130" s="7">
        <f t="shared" si="40"/>
        <v>14</v>
      </c>
    </row>
    <row r="131" spans="1:18" ht="20.149999999999999" hidden="1" customHeight="1" x14ac:dyDescent="0.2">
      <c r="A131" s="33">
        <v>46205</v>
      </c>
      <c r="B131" s="33">
        <v>46206</v>
      </c>
      <c r="C131" s="34" t="s">
        <v>1066</v>
      </c>
      <c r="D131" s="34">
        <v>12</v>
      </c>
      <c r="E131" s="34">
        <f t="shared" si="36"/>
        <v>2340</v>
      </c>
      <c r="F131" s="34" t="s">
        <v>549</v>
      </c>
      <c r="G131" s="34">
        <f t="shared" si="37"/>
        <v>2568</v>
      </c>
      <c r="H131" s="34" t="s">
        <v>1475</v>
      </c>
      <c r="I131" s="35">
        <f t="shared" ref="I131:I136" si="42">I130-E131</f>
        <v>14040</v>
      </c>
      <c r="J131" s="35"/>
      <c r="K131" s="34"/>
      <c r="L131" s="34">
        <v>260701002</v>
      </c>
      <c r="M131" s="34"/>
      <c r="N131" s="34">
        <f>N129-D131</f>
        <v>20</v>
      </c>
      <c r="O131" s="19">
        <v>46152</v>
      </c>
      <c r="P131" s="20">
        <f t="shared" si="38"/>
        <v>311</v>
      </c>
      <c r="Q131" s="21">
        <f t="shared" si="39"/>
        <v>46516</v>
      </c>
      <c r="R131" s="7">
        <f t="shared" si="40"/>
        <v>54</v>
      </c>
    </row>
    <row r="132" spans="1:18" ht="20.149999999999999" hidden="1" customHeight="1" x14ac:dyDescent="0.2">
      <c r="A132" s="71">
        <v>46206</v>
      </c>
      <c r="B132" s="71">
        <v>46209</v>
      </c>
      <c r="C132" s="72" t="s">
        <v>1066</v>
      </c>
      <c r="D132" s="72">
        <v>8</v>
      </c>
      <c r="E132" s="72">
        <f t="shared" si="36"/>
        <v>1560</v>
      </c>
      <c r="F132" s="72" t="s">
        <v>549</v>
      </c>
      <c r="G132" s="72">
        <f t="shared" si="37"/>
        <v>1712</v>
      </c>
      <c r="H132" s="72" t="s">
        <v>1488</v>
      </c>
      <c r="I132" s="74">
        <f t="shared" si="42"/>
        <v>12480</v>
      </c>
      <c r="J132" s="74"/>
      <c r="K132" s="72"/>
      <c r="L132" s="72">
        <v>260702005</v>
      </c>
      <c r="M132" s="72"/>
      <c r="N132" s="72">
        <f>N131-D132</f>
        <v>12</v>
      </c>
      <c r="O132" s="19">
        <v>46152</v>
      </c>
      <c r="P132" s="20">
        <f t="shared" si="38"/>
        <v>308</v>
      </c>
      <c r="Q132" s="21">
        <f t="shared" si="39"/>
        <v>46516</v>
      </c>
      <c r="R132" s="7">
        <f t="shared" si="40"/>
        <v>57</v>
      </c>
    </row>
    <row r="133" spans="1:18" ht="20.149999999999999" hidden="1" customHeight="1" x14ac:dyDescent="0.2">
      <c r="A133" s="71">
        <v>46206</v>
      </c>
      <c r="B133" s="71">
        <v>46209</v>
      </c>
      <c r="C133" s="72" t="s">
        <v>1486</v>
      </c>
      <c r="D133" s="72">
        <v>4</v>
      </c>
      <c r="E133" s="72">
        <f t="shared" si="36"/>
        <v>780</v>
      </c>
      <c r="F133" s="72" t="s">
        <v>549</v>
      </c>
      <c r="G133" s="72">
        <f t="shared" si="37"/>
        <v>856</v>
      </c>
      <c r="H133" s="72" t="s">
        <v>1140</v>
      </c>
      <c r="I133" s="74">
        <f t="shared" si="42"/>
        <v>11700</v>
      </c>
      <c r="J133" s="89" t="s">
        <v>22</v>
      </c>
      <c r="K133" s="72"/>
      <c r="L133" s="72">
        <v>260702005</v>
      </c>
      <c r="M133" s="72">
        <v>41</v>
      </c>
      <c r="N133" s="72">
        <f>M133-D133</f>
        <v>37</v>
      </c>
      <c r="O133" s="19">
        <v>46198</v>
      </c>
      <c r="P133" s="20">
        <f t="shared" si="38"/>
        <v>354</v>
      </c>
      <c r="Q133" s="21">
        <f t="shared" si="39"/>
        <v>46562</v>
      </c>
      <c r="R133" s="7">
        <f t="shared" si="40"/>
        <v>11</v>
      </c>
    </row>
    <row r="134" spans="1:18" ht="20.149999999999999" hidden="1" customHeight="1" x14ac:dyDescent="0.2">
      <c r="A134" s="26">
        <v>46211</v>
      </c>
      <c r="B134" s="26">
        <v>46212</v>
      </c>
      <c r="C134" s="27" t="s">
        <v>1526</v>
      </c>
      <c r="D134" s="27">
        <v>12</v>
      </c>
      <c r="E134" s="27">
        <f t="shared" si="36"/>
        <v>2340</v>
      </c>
      <c r="F134" s="27" t="s">
        <v>549</v>
      </c>
      <c r="G134" s="27">
        <f t="shared" si="37"/>
        <v>2568</v>
      </c>
      <c r="H134" s="27" t="s">
        <v>1529</v>
      </c>
      <c r="I134" s="28">
        <f t="shared" si="42"/>
        <v>9360</v>
      </c>
      <c r="J134" s="28"/>
      <c r="K134" s="27"/>
      <c r="L134" s="27">
        <v>260707004</v>
      </c>
      <c r="M134" s="27"/>
      <c r="N134" s="27">
        <f>N132-D134</f>
        <v>0</v>
      </c>
      <c r="O134" s="19">
        <v>46152</v>
      </c>
      <c r="P134" s="20">
        <f t="shared" si="38"/>
        <v>305</v>
      </c>
      <c r="Q134" s="21">
        <f t="shared" si="39"/>
        <v>46516</v>
      </c>
      <c r="R134" s="7">
        <f t="shared" si="40"/>
        <v>60</v>
      </c>
    </row>
    <row r="135" spans="1:18" ht="20.149999999999999" hidden="1" customHeight="1" x14ac:dyDescent="0.2">
      <c r="A135" s="26">
        <v>46211</v>
      </c>
      <c r="B135" s="26">
        <v>46212</v>
      </c>
      <c r="C135" s="27" t="s">
        <v>1527</v>
      </c>
      <c r="D135" s="27">
        <v>12</v>
      </c>
      <c r="E135" s="27">
        <f t="shared" si="36"/>
        <v>2340</v>
      </c>
      <c r="F135" s="27" t="s">
        <v>549</v>
      </c>
      <c r="G135" s="27">
        <f t="shared" si="37"/>
        <v>2568</v>
      </c>
      <c r="H135" s="27" t="s">
        <v>1140</v>
      </c>
      <c r="I135" s="28">
        <f t="shared" si="42"/>
        <v>7020</v>
      </c>
      <c r="J135" s="28"/>
      <c r="K135" s="27"/>
      <c r="L135" s="27">
        <v>260707004</v>
      </c>
      <c r="M135" s="27"/>
      <c r="N135" s="27">
        <f>N105-D135</f>
        <v>25</v>
      </c>
      <c r="O135" s="19">
        <v>46156</v>
      </c>
      <c r="P135" s="20">
        <f t="shared" si="38"/>
        <v>309</v>
      </c>
      <c r="Q135" s="21">
        <f t="shared" si="39"/>
        <v>46520</v>
      </c>
      <c r="R135" s="7">
        <f t="shared" si="40"/>
        <v>56</v>
      </c>
    </row>
    <row r="136" spans="1:18" ht="20.149999999999999" hidden="1" customHeight="1" x14ac:dyDescent="0.2">
      <c r="A136" s="29">
        <v>46213</v>
      </c>
      <c r="B136" s="29">
        <v>46216</v>
      </c>
      <c r="C136" s="30" t="s">
        <v>1164</v>
      </c>
      <c r="D136" s="30">
        <v>16</v>
      </c>
      <c r="E136" s="30">
        <f t="shared" si="36"/>
        <v>3120</v>
      </c>
      <c r="F136" s="30" t="s">
        <v>549</v>
      </c>
      <c r="G136" s="30">
        <f t="shared" si="37"/>
        <v>3424</v>
      </c>
      <c r="H136" s="30" t="s">
        <v>1553</v>
      </c>
      <c r="I136" s="32">
        <f t="shared" si="42"/>
        <v>3900</v>
      </c>
      <c r="J136" s="32"/>
      <c r="K136" s="30"/>
      <c r="L136" s="30">
        <v>260709002</v>
      </c>
      <c r="M136" s="30"/>
      <c r="N136" s="30">
        <f>N135-D136</f>
        <v>9</v>
      </c>
      <c r="O136" s="19">
        <v>46156</v>
      </c>
      <c r="P136" s="20">
        <f t="shared" si="38"/>
        <v>305</v>
      </c>
      <c r="Q136" s="21">
        <f t="shared" si="39"/>
        <v>46520</v>
      </c>
      <c r="R136" s="7">
        <f t="shared" si="40"/>
        <v>60</v>
      </c>
    </row>
    <row r="137" spans="1:18" ht="20.149999999999999" hidden="1" customHeight="1" x14ac:dyDescent="0.2">
      <c r="A137" s="22">
        <v>46218</v>
      </c>
      <c r="B137" s="22">
        <v>46219</v>
      </c>
      <c r="C137" s="23" t="s">
        <v>1584</v>
      </c>
      <c r="D137" s="23">
        <v>9</v>
      </c>
      <c r="E137" s="23">
        <f t="shared" si="36"/>
        <v>1755</v>
      </c>
      <c r="F137" s="23" t="s">
        <v>549</v>
      </c>
      <c r="G137" s="23">
        <f t="shared" si="37"/>
        <v>1926</v>
      </c>
      <c r="H137" s="23" t="s">
        <v>1140</v>
      </c>
      <c r="I137" s="25">
        <f>I136-E137</f>
        <v>2145</v>
      </c>
      <c r="J137" s="25"/>
      <c r="K137" s="23"/>
      <c r="L137" s="23">
        <v>260714001</v>
      </c>
      <c r="M137" s="23"/>
      <c r="N137" s="23">
        <f>N136-D137</f>
        <v>0</v>
      </c>
      <c r="O137" s="19">
        <v>46156</v>
      </c>
      <c r="P137" s="20">
        <f t="shared" si="38"/>
        <v>302</v>
      </c>
      <c r="Q137" s="21">
        <f t="shared" si="39"/>
        <v>46520</v>
      </c>
      <c r="R137" s="7">
        <f t="shared" si="40"/>
        <v>63</v>
      </c>
    </row>
    <row r="138" spans="1:18" ht="20.149999999999999" hidden="1" customHeight="1" x14ac:dyDescent="0.2">
      <c r="A138" s="22">
        <v>46218</v>
      </c>
      <c r="B138" s="22">
        <v>46219</v>
      </c>
      <c r="C138" s="23" t="s">
        <v>1585</v>
      </c>
      <c r="D138" s="23">
        <v>11</v>
      </c>
      <c r="E138" s="23">
        <f t="shared" si="36"/>
        <v>2145</v>
      </c>
      <c r="F138" s="23" t="s">
        <v>549</v>
      </c>
      <c r="G138" s="23">
        <f t="shared" si="37"/>
        <v>2354</v>
      </c>
      <c r="H138" s="23" t="s">
        <v>1582</v>
      </c>
      <c r="I138" s="25">
        <f>I137-E138</f>
        <v>0</v>
      </c>
      <c r="J138" s="25"/>
      <c r="K138" s="23"/>
      <c r="L138" s="23">
        <v>260714001</v>
      </c>
      <c r="M138" s="23"/>
      <c r="N138" s="23">
        <f>N109-D138</f>
        <v>27</v>
      </c>
      <c r="O138" s="19">
        <v>46163</v>
      </c>
      <c r="P138" s="20">
        <f t="shared" si="38"/>
        <v>309</v>
      </c>
      <c r="Q138" s="21">
        <f t="shared" si="39"/>
        <v>46527</v>
      </c>
      <c r="R138" s="7">
        <f t="shared" si="40"/>
        <v>56</v>
      </c>
    </row>
    <row r="139" spans="1:18" ht="20.149999999999999" hidden="1" customHeight="1" x14ac:dyDescent="0.2">
      <c r="A139" s="22">
        <v>46218</v>
      </c>
      <c r="B139" s="22">
        <v>46219</v>
      </c>
      <c r="C139" s="23" t="s">
        <v>1580</v>
      </c>
      <c r="D139" s="23">
        <v>4</v>
      </c>
      <c r="E139" s="23">
        <f t="shared" si="36"/>
        <v>780</v>
      </c>
      <c r="F139" s="23" t="s">
        <v>549</v>
      </c>
      <c r="G139" s="23">
        <f t="shared" si="37"/>
        <v>856</v>
      </c>
      <c r="H139" s="148" t="s">
        <v>1590</v>
      </c>
      <c r="I139" s="25">
        <f>58500-E139</f>
        <v>57720</v>
      </c>
      <c r="J139" s="25"/>
      <c r="K139" s="23"/>
      <c r="L139" s="23" t="s">
        <v>1589</v>
      </c>
      <c r="M139" s="23"/>
      <c r="N139" s="23">
        <f>N138-D139</f>
        <v>23</v>
      </c>
      <c r="O139" s="19">
        <v>46163</v>
      </c>
      <c r="P139" s="20">
        <f t="shared" si="38"/>
        <v>309</v>
      </c>
      <c r="Q139" s="21">
        <f t="shared" si="39"/>
        <v>46527</v>
      </c>
      <c r="R139" s="7">
        <f t="shared" si="40"/>
        <v>56</v>
      </c>
    </row>
    <row r="140" spans="1:18" ht="20.149999999999999" hidden="1" customHeight="1" x14ac:dyDescent="0.2">
      <c r="A140" s="22">
        <v>46218</v>
      </c>
      <c r="B140" s="22">
        <v>46219</v>
      </c>
      <c r="C140" s="23" t="s">
        <v>1586</v>
      </c>
      <c r="D140" s="23">
        <v>4</v>
      </c>
      <c r="E140" s="23">
        <f t="shared" si="36"/>
        <v>780</v>
      </c>
      <c r="F140" s="23" t="s">
        <v>549</v>
      </c>
      <c r="G140" s="23">
        <f t="shared" si="37"/>
        <v>856</v>
      </c>
      <c r="H140" s="148" t="s">
        <v>1583</v>
      </c>
      <c r="I140" s="25">
        <f>I139-E140</f>
        <v>56940</v>
      </c>
      <c r="J140" s="43" t="s">
        <v>22</v>
      </c>
      <c r="K140" s="23"/>
      <c r="L140" s="23" t="s">
        <v>1589</v>
      </c>
      <c r="M140" s="23">
        <v>42</v>
      </c>
      <c r="N140" s="23">
        <f>M140-D140</f>
        <v>38</v>
      </c>
      <c r="O140" s="19">
        <v>46205</v>
      </c>
      <c r="P140" s="20">
        <f t="shared" si="38"/>
        <v>351</v>
      </c>
      <c r="Q140" s="21">
        <f t="shared" si="39"/>
        <v>46569</v>
      </c>
      <c r="R140" s="7">
        <f t="shared" si="40"/>
        <v>14</v>
      </c>
    </row>
    <row r="141" spans="1:18" ht="20.149999999999999" hidden="1" customHeight="1" x14ac:dyDescent="0.2">
      <c r="A141" s="33">
        <v>46220</v>
      </c>
      <c r="B141" s="33">
        <v>46223</v>
      </c>
      <c r="C141" s="34" t="s">
        <v>1613</v>
      </c>
      <c r="D141" s="34">
        <v>16</v>
      </c>
      <c r="E141" s="34">
        <f t="shared" si="36"/>
        <v>3120</v>
      </c>
      <c r="F141" s="34" t="s">
        <v>549</v>
      </c>
      <c r="G141" s="34">
        <f t="shared" si="37"/>
        <v>3424</v>
      </c>
      <c r="H141" s="39" t="s">
        <v>1616</v>
      </c>
      <c r="I141" s="35">
        <f>I140-E141</f>
        <v>53820</v>
      </c>
      <c r="J141" s="35"/>
      <c r="K141" s="34"/>
      <c r="L141" s="34">
        <v>260716001</v>
      </c>
      <c r="M141" s="34"/>
      <c r="N141" s="34">
        <f>N139-D141</f>
        <v>7</v>
      </c>
      <c r="O141" s="19">
        <v>46163</v>
      </c>
      <c r="P141" s="20">
        <f t="shared" si="38"/>
        <v>305</v>
      </c>
      <c r="Q141" s="21">
        <f t="shared" si="39"/>
        <v>46527</v>
      </c>
      <c r="R141" s="7">
        <f t="shared" si="40"/>
        <v>60</v>
      </c>
    </row>
    <row r="142" spans="1:18" ht="20.149999999999999" hidden="1" customHeight="1" x14ac:dyDescent="0.2">
      <c r="A142" s="71">
        <v>46225</v>
      </c>
      <c r="B142" s="71">
        <v>46226</v>
      </c>
      <c r="C142" s="72" t="s">
        <v>1649</v>
      </c>
      <c r="D142" s="72">
        <v>7</v>
      </c>
      <c r="E142" s="72">
        <f t="shared" si="36"/>
        <v>1365</v>
      </c>
      <c r="F142" s="72" t="s">
        <v>549</v>
      </c>
      <c r="G142" s="72">
        <f t="shared" si="37"/>
        <v>1498</v>
      </c>
      <c r="H142" s="73" t="s">
        <v>1583</v>
      </c>
      <c r="I142" s="74">
        <f>I141-E142</f>
        <v>52455</v>
      </c>
      <c r="J142" s="74"/>
      <c r="K142" s="72"/>
      <c r="L142" s="72">
        <v>260721002</v>
      </c>
      <c r="M142" s="72"/>
      <c r="N142" s="72">
        <f>N141-D142</f>
        <v>0</v>
      </c>
      <c r="O142" s="19">
        <v>46163</v>
      </c>
      <c r="P142" s="20">
        <f t="shared" si="38"/>
        <v>302</v>
      </c>
      <c r="Q142" s="21">
        <f t="shared" si="39"/>
        <v>46527</v>
      </c>
      <c r="R142" s="7">
        <f t="shared" si="40"/>
        <v>63</v>
      </c>
    </row>
    <row r="143" spans="1:18" ht="20.149999999999999" hidden="1" customHeight="1" x14ac:dyDescent="0.2">
      <c r="A143" s="71">
        <v>46225</v>
      </c>
      <c r="B143" s="71">
        <v>46226</v>
      </c>
      <c r="C143" s="72" t="s">
        <v>1648</v>
      </c>
      <c r="D143" s="72">
        <v>21</v>
      </c>
      <c r="E143" s="72">
        <f t="shared" si="36"/>
        <v>4095</v>
      </c>
      <c r="F143" s="72" t="s">
        <v>549</v>
      </c>
      <c r="G143" s="72">
        <f t="shared" si="37"/>
        <v>4494</v>
      </c>
      <c r="H143" s="73" t="s">
        <v>1646</v>
      </c>
      <c r="I143" s="74">
        <f>I142-E143</f>
        <v>48360</v>
      </c>
      <c r="J143" s="74"/>
      <c r="K143" s="72"/>
      <c r="L143" s="72">
        <v>260721002</v>
      </c>
      <c r="M143" s="72"/>
      <c r="N143" s="72">
        <f>N114-D143</f>
        <v>16</v>
      </c>
      <c r="O143" s="19">
        <v>46170</v>
      </c>
      <c r="P143" s="20">
        <f t="shared" si="38"/>
        <v>309</v>
      </c>
      <c r="Q143" s="21">
        <f t="shared" si="39"/>
        <v>46534</v>
      </c>
      <c r="R143" s="7">
        <f t="shared" si="40"/>
        <v>56</v>
      </c>
    </row>
    <row r="144" spans="1:18" ht="20.149999999999999" hidden="1" customHeight="1" x14ac:dyDescent="0.2">
      <c r="A144" s="26">
        <v>46227</v>
      </c>
      <c r="B144" s="26">
        <v>46230</v>
      </c>
      <c r="C144" s="27" t="s">
        <v>1674</v>
      </c>
      <c r="D144" s="27">
        <v>16</v>
      </c>
      <c r="E144" s="27">
        <f t="shared" si="36"/>
        <v>3120</v>
      </c>
      <c r="F144" s="27" t="s">
        <v>549</v>
      </c>
      <c r="G144" s="27">
        <f t="shared" si="37"/>
        <v>3424</v>
      </c>
      <c r="H144" s="36" t="s">
        <v>1682</v>
      </c>
      <c r="I144" s="28">
        <f>I143-E144</f>
        <v>45240</v>
      </c>
      <c r="J144" s="28"/>
      <c r="K144" s="27"/>
      <c r="L144" s="27">
        <v>260723002</v>
      </c>
      <c r="M144" s="27"/>
      <c r="N144" s="27">
        <f>N143-D144</f>
        <v>0</v>
      </c>
      <c r="O144" s="19">
        <v>46170</v>
      </c>
      <c r="P144" s="20">
        <f t="shared" si="38"/>
        <v>305</v>
      </c>
      <c r="Q144" s="21">
        <f t="shared" si="39"/>
        <v>46534</v>
      </c>
      <c r="R144" s="7">
        <f t="shared" si="40"/>
        <v>60</v>
      </c>
    </row>
    <row r="145" spans="1:18" ht="20.149999999999999" hidden="1" customHeight="1" x14ac:dyDescent="0.2">
      <c r="A145" s="29">
        <v>46232</v>
      </c>
      <c r="B145" s="29">
        <v>46233</v>
      </c>
      <c r="C145" s="30" t="s">
        <v>1701</v>
      </c>
      <c r="D145" s="30">
        <v>20</v>
      </c>
      <c r="E145" s="30">
        <f t="shared" ref="E145:E182" si="43">D145*195</f>
        <v>3900</v>
      </c>
      <c r="F145" s="30" t="s">
        <v>549</v>
      </c>
      <c r="G145" s="30">
        <f t="shared" ref="G145:G182" si="44">D145*214</f>
        <v>4280</v>
      </c>
      <c r="H145" s="37" t="s">
        <v>1583</v>
      </c>
      <c r="I145" s="32">
        <f t="shared" ref="I145:I150" si="45">I144-E145</f>
        <v>41340</v>
      </c>
      <c r="J145" s="32"/>
      <c r="K145" s="30"/>
      <c r="L145" s="30">
        <v>260728003</v>
      </c>
      <c r="M145" s="30"/>
      <c r="N145" s="30">
        <f>N120-D145</f>
        <v>18</v>
      </c>
      <c r="O145" s="19">
        <v>46177</v>
      </c>
      <c r="P145" s="20">
        <f t="shared" ref="P145:P182" si="46">365-R145</f>
        <v>309</v>
      </c>
      <c r="Q145" s="21">
        <f t="shared" si="39"/>
        <v>46541</v>
      </c>
      <c r="R145" s="7">
        <f t="shared" ref="R145:R182" si="47">DATEDIF(O145,B145,"d")</f>
        <v>56</v>
      </c>
    </row>
    <row r="146" spans="1:18" ht="20.149999999999999" hidden="1" customHeight="1" x14ac:dyDescent="0.2">
      <c r="A146" s="185">
        <v>46234</v>
      </c>
      <c r="B146" s="185">
        <v>46237</v>
      </c>
      <c r="C146" s="38" t="s">
        <v>1719</v>
      </c>
      <c r="D146" s="38">
        <v>12</v>
      </c>
      <c r="E146" s="38">
        <f t="shared" si="43"/>
        <v>2340</v>
      </c>
      <c r="F146" s="38" t="s">
        <v>549</v>
      </c>
      <c r="G146" s="38">
        <f t="shared" si="44"/>
        <v>2568</v>
      </c>
      <c r="H146" s="38" t="s">
        <v>1723</v>
      </c>
      <c r="I146" s="187">
        <f t="shared" si="45"/>
        <v>39000</v>
      </c>
      <c r="J146" s="187"/>
      <c r="K146" s="38"/>
      <c r="L146" s="38">
        <v>260730003</v>
      </c>
      <c r="M146" s="38"/>
      <c r="N146" s="38">
        <f>N145-D146</f>
        <v>6</v>
      </c>
      <c r="O146" s="19">
        <v>46177</v>
      </c>
      <c r="P146" s="20">
        <f t="shared" si="46"/>
        <v>305</v>
      </c>
      <c r="Q146" s="21">
        <f t="shared" si="39"/>
        <v>46541</v>
      </c>
      <c r="R146" s="7">
        <f t="shared" si="47"/>
        <v>60</v>
      </c>
    </row>
    <row r="147" spans="1:18" ht="20.149999999999999" hidden="1" customHeight="1" x14ac:dyDescent="0.2">
      <c r="A147" s="185">
        <v>46234</v>
      </c>
      <c r="B147" s="185">
        <v>46237</v>
      </c>
      <c r="C147" s="38" t="s">
        <v>1720</v>
      </c>
      <c r="D147" s="38">
        <v>4</v>
      </c>
      <c r="E147" s="38">
        <f t="shared" si="43"/>
        <v>780</v>
      </c>
      <c r="F147" s="38" t="s">
        <v>549</v>
      </c>
      <c r="G147" s="38">
        <f t="shared" si="44"/>
        <v>856</v>
      </c>
      <c r="H147" s="38" t="s">
        <v>1583</v>
      </c>
      <c r="I147" s="187">
        <f t="shared" si="45"/>
        <v>38220</v>
      </c>
      <c r="J147" s="43" t="s">
        <v>22</v>
      </c>
      <c r="K147" s="38"/>
      <c r="L147" s="38">
        <v>260730003</v>
      </c>
      <c r="M147" s="38">
        <v>43</v>
      </c>
      <c r="N147" s="38">
        <f>M147-D147</f>
        <v>39</v>
      </c>
      <c r="O147" s="19">
        <v>46217</v>
      </c>
      <c r="P147" s="20">
        <f t="shared" si="46"/>
        <v>345</v>
      </c>
      <c r="Q147" s="21">
        <f t="shared" si="39"/>
        <v>46581</v>
      </c>
      <c r="R147" s="7">
        <f t="shared" si="47"/>
        <v>20</v>
      </c>
    </row>
    <row r="148" spans="1:18" ht="20.149999999999999" hidden="1" customHeight="1" x14ac:dyDescent="0.2">
      <c r="A148" s="33">
        <v>46239</v>
      </c>
      <c r="B148" s="33">
        <v>46240</v>
      </c>
      <c r="C148" s="39" t="s">
        <v>1758</v>
      </c>
      <c r="D148" s="34">
        <v>6</v>
      </c>
      <c r="E148" s="39">
        <f t="shared" si="43"/>
        <v>1170</v>
      </c>
      <c r="F148" s="39" t="s">
        <v>549</v>
      </c>
      <c r="G148" s="39">
        <f t="shared" si="44"/>
        <v>1284</v>
      </c>
      <c r="H148" s="39" t="s">
        <v>1766</v>
      </c>
      <c r="I148" s="35">
        <f t="shared" si="45"/>
        <v>37050</v>
      </c>
      <c r="J148" s="35"/>
      <c r="K148" s="34"/>
      <c r="L148" s="34" t="s">
        <v>1767</v>
      </c>
      <c r="M148" s="34"/>
      <c r="N148" s="34">
        <f>N146-D148</f>
        <v>0</v>
      </c>
      <c r="O148" s="19">
        <v>46177</v>
      </c>
      <c r="P148" s="20">
        <f t="shared" si="46"/>
        <v>302</v>
      </c>
      <c r="Q148" s="21">
        <f t="shared" si="39"/>
        <v>46541</v>
      </c>
      <c r="R148" s="7">
        <f t="shared" si="47"/>
        <v>63</v>
      </c>
    </row>
    <row r="149" spans="1:18" ht="20.149999999999999" hidden="1" customHeight="1" x14ac:dyDescent="0.2">
      <c r="A149" s="33">
        <v>46239</v>
      </c>
      <c r="B149" s="33">
        <v>46240</v>
      </c>
      <c r="C149" s="34" t="s">
        <v>1759</v>
      </c>
      <c r="D149" s="34">
        <v>14</v>
      </c>
      <c r="E149" s="39">
        <f t="shared" si="43"/>
        <v>2730</v>
      </c>
      <c r="F149" s="39" t="s">
        <v>549</v>
      </c>
      <c r="G149" s="39">
        <f t="shared" si="44"/>
        <v>2996</v>
      </c>
      <c r="H149" s="39" t="s">
        <v>1757</v>
      </c>
      <c r="I149" s="35">
        <f t="shared" si="45"/>
        <v>34320</v>
      </c>
      <c r="J149" s="35"/>
      <c r="K149" s="34"/>
      <c r="L149" s="34" t="s">
        <v>1767</v>
      </c>
      <c r="M149" s="34"/>
      <c r="N149" s="34">
        <f>N121-D149</f>
        <v>23</v>
      </c>
      <c r="O149" s="19">
        <v>46180</v>
      </c>
      <c r="P149" s="20">
        <f t="shared" si="46"/>
        <v>305</v>
      </c>
      <c r="Q149" s="21">
        <f t="shared" si="39"/>
        <v>46544</v>
      </c>
      <c r="R149" s="7">
        <f t="shared" si="47"/>
        <v>60</v>
      </c>
    </row>
    <row r="150" spans="1:18" ht="20.149999999999999" hidden="1" customHeight="1" x14ac:dyDescent="0.2">
      <c r="A150" s="33">
        <v>46239</v>
      </c>
      <c r="B150" s="33">
        <v>46240</v>
      </c>
      <c r="C150" s="34" t="s">
        <v>1760</v>
      </c>
      <c r="D150" s="34">
        <v>4</v>
      </c>
      <c r="E150" s="39">
        <f t="shared" si="43"/>
        <v>780</v>
      </c>
      <c r="F150" s="39" t="s">
        <v>549</v>
      </c>
      <c r="G150" s="39">
        <f t="shared" si="44"/>
        <v>856</v>
      </c>
      <c r="H150" s="39" t="s">
        <v>1583</v>
      </c>
      <c r="I150" s="35">
        <f t="shared" si="45"/>
        <v>33540</v>
      </c>
      <c r="J150" s="63" t="s">
        <v>22</v>
      </c>
      <c r="K150" s="34"/>
      <c r="L150" s="34" t="s">
        <v>1767</v>
      </c>
      <c r="M150" s="34">
        <v>42</v>
      </c>
      <c r="N150" s="34">
        <f>M150-D150</f>
        <v>38</v>
      </c>
      <c r="O150" s="19">
        <v>46229</v>
      </c>
      <c r="P150" s="20">
        <f t="shared" si="46"/>
        <v>354</v>
      </c>
      <c r="Q150" s="21">
        <f t="shared" si="39"/>
        <v>46593</v>
      </c>
      <c r="R150" s="7">
        <f t="shared" si="47"/>
        <v>11</v>
      </c>
    </row>
    <row r="151" spans="1:18" ht="20.149999999999999" hidden="1" customHeight="1" x14ac:dyDescent="0.2">
      <c r="A151" s="71">
        <v>46241</v>
      </c>
      <c r="B151" s="71">
        <v>46244</v>
      </c>
      <c r="C151" s="72" t="s">
        <v>1365</v>
      </c>
      <c r="D151" s="72">
        <v>16</v>
      </c>
      <c r="E151" s="73">
        <f t="shared" si="43"/>
        <v>3120</v>
      </c>
      <c r="F151" s="73" t="s">
        <v>549</v>
      </c>
      <c r="G151" s="73">
        <f t="shared" si="44"/>
        <v>3424</v>
      </c>
      <c r="H151" s="73" t="s">
        <v>1583</v>
      </c>
      <c r="I151" s="74">
        <f t="shared" ref="I151:I156" si="48">I150-E151</f>
        <v>30420</v>
      </c>
      <c r="J151" s="74"/>
      <c r="K151" s="72"/>
      <c r="L151" s="72">
        <v>260806006</v>
      </c>
      <c r="M151" s="72"/>
      <c r="N151" s="72">
        <f>N149-D151</f>
        <v>7</v>
      </c>
      <c r="O151" s="19">
        <v>46180</v>
      </c>
      <c r="P151" s="20">
        <f t="shared" si="46"/>
        <v>301</v>
      </c>
      <c r="Q151" s="21">
        <f t="shared" si="39"/>
        <v>46544</v>
      </c>
      <c r="R151" s="7">
        <f t="shared" si="47"/>
        <v>64</v>
      </c>
    </row>
    <row r="152" spans="1:18" ht="20.149999999999999" hidden="1" customHeight="1" x14ac:dyDescent="0.2">
      <c r="A152" s="26">
        <v>46246</v>
      </c>
      <c r="B152" s="26">
        <v>46247</v>
      </c>
      <c r="C152" s="27" t="s">
        <v>1365</v>
      </c>
      <c r="D152" s="27">
        <v>7</v>
      </c>
      <c r="E152" s="36">
        <f t="shared" si="43"/>
        <v>1365</v>
      </c>
      <c r="F152" s="36" t="s">
        <v>549</v>
      </c>
      <c r="G152" s="36">
        <f t="shared" si="44"/>
        <v>1498</v>
      </c>
      <c r="H152" s="36" t="s">
        <v>1831</v>
      </c>
      <c r="I152" s="28">
        <f t="shared" si="48"/>
        <v>29055</v>
      </c>
      <c r="J152" s="28"/>
      <c r="K152" s="27"/>
      <c r="L152" s="27">
        <v>260806007</v>
      </c>
      <c r="M152" s="27"/>
      <c r="N152" s="27">
        <f>N151-D152</f>
        <v>0</v>
      </c>
      <c r="O152" s="19">
        <v>46180</v>
      </c>
      <c r="P152" s="20">
        <f t="shared" si="46"/>
        <v>298</v>
      </c>
      <c r="Q152" s="21">
        <f t="shared" si="39"/>
        <v>46544</v>
      </c>
      <c r="R152" s="7">
        <f t="shared" si="47"/>
        <v>67</v>
      </c>
    </row>
    <row r="153" spans="1:18" ht="20.149999999999999" hidden="1" customHeight="1" x14ac:dyDescent="0.2">
      <c r="A153" s="26">
        <v>46246</v>
      </c>
      <c r="B153" s="26">
        <v>46247</v>
      </c>
      <c r="C153" s="27" t="s">
        <v>1828</v>
      </c>
      <c r="D153" s="27">
        <v>9</v>
      </c>
      <c r="E153" s="36">
        <f t="shared" si="43"/>
        <v>1755</v>
      </c>
      <c r="F153" s="36" t="s">
        <v>549</v>
      </c>
      <c r="G153" s="36">
        <f t="shared" si="44"/>
        <v>1926</v>
      </c>
      <c r="H153" s="36" t="s">
        <v>1826</v>
      </c>
      <c r="I153" s="28">
        <f t="shared" si="48"/>
        <v>27300</v>
      </c>
      <c r="J153" s="28"/>
      <c r="K153" s="27"/>
      <c r="L153" s="27">
        <v>260806007</v>
      </c>
      <c r="M153" s="27"/>
      <c r="N153" s="27">
        <f>N125-D153</f>
        <v>28</v>
      </c>
      <c r="O153" s="19">
        <v>46184</v>
      </c>
      <c r="P153" s="20">
        <f t="shared" si="46"/>
        <v>302</v>
      </c>
      <c r="Q153" s="21">
        <f t="shared" si="39"/>
        <v>46548</v>
      </c>
      <c r="R153" s="7">
        <f t="shared" si="47"/>
        <v>63</v>
      </c>
    </row>
    <row r="154" spans="1:18" ht="20.149999999999999" hidden="1" customHeight="1" x14ac:dyDescent="0.2">
      <c r="A154" s="26">
        <v>46246</v>
      </c>
      <c r="B154" s="26">
        <v>46247</v>
      </c>
      <c r="C154" s="27" t="s">
        <v>1825</v>
      </c>
      <c r="D154" s="27">
        <v>4</v>
      </c>
      <c r="E154" s="36">
        <f t="shared" si="43"/>
        <v>780</v>
      </c>
      <c r="F154" s="36" t="s">
        <v>549</v>
      </c>
      <c r="G154" s="36">
        <f t="shared" si="44"/>
        <v>856</v>
      </c>
      <c r="H154" s="36" t="s">
        <v>1583</v>
      </c>
      <c r="I154" s="28">
        <f t="shared" si="48"/>
        <v>26520</v>
      </c>
      <c r="J154" s="61" t="s">
        <v>22</v>
      </c>
      <c r="K154" s="27"/>
      <c r="L154" s="27">
        <v>260806007</v>
      </c>
      <c r="M154" s="27">
        <v>42</v>
      </c>
      <c r="N154" s="27">
        <f>M154-D154</f>
        <v>38</v>
      </c>
      <c r="O154" s="19">
        <v>46231</v>
      </c>
      <c r="P154" s="20">
        <f t="shared" si="46"/>
        <v>349</v>
      </c>
      <c r="Q154" s="21">
        <f t="shared" si="39"/>
        <v>46595</v>
      </c>
      <c r="R154" s="7">
        <f t="shared" si="47"/>
        <v>16</v>
      </c>
    </row>
    <row r="155" spans="1:18" ht="20.149999999999999" hidden="1" customHeight="1" x14ac:dyDescent="0.2">
      <c r="A155" s="26">
        <v>46246</v>
      </c>
      <c r="B155" s="26">
        <v>46247</v>
      </c>
      <c r="C155" s="27" t="s">
        <v>1829</v>
      </c>
      <c r="D155" s="27">
        <v>4</v>
      </c>
      <c r="E155" s="36">
        <f t="shared" si="43"/>
        <v>780</v>
      </c>
      <c r="F155" s="36" t="s">
        <v>549</v>
      </c>
      <c r="G155" s="36">
        <f t="shared" si="44"/>
        <v>856</v>
      </c>
      <c r="H155" s="36" t="s">
        <v>1583</v>
      </c>
      <c r="I155" s="28">
        <f t="shared" si="48"/>
        <v>25740</v>
      </c>
      <c r="J155" s="61" t="s">
        <v>22</v>
      </c>
      <c r="K155" s="27"/>
      <c r="L155" s="27">
        <v>260806007</v>
      </c>
      <c r="M155" s="27">
        <v>41</v>
      </c>
      <c r="N155" s="28">
        <f>M155-D155</f>
        <v>37</v>
      </c>
      <c r="O155" s="19">
        <v>46233</v>
      </c>
      <c r="P155" s="20">
        <f t="shared" si="46"/>
        <v>351</v>
      </c>
      <c r="Q155" s="21">
        <f t="shared" si="39"/>
        <v>46597</v>
      </c>
      <c r="R155" s="7">
        <f t="shared" si="47"/>
        <v>14</v>
      </c>
    </row>
    <row r="156" spans="1:18" ht="20.149999999999999" hidden="1" customHeight="1" x14ac:dyDescent="0.2">
      <c r="A156" s="29">
        <v>46248</v>
      </c>
      <c r="B156" s="29">
        <v>46251</v>
      </c>
      <c r="C156" s="30" t="s">
        <v>1847</v>
      </c>
      <c r="D156" s="30">
        <v>16</v>
      </c>
      <c r="E156" s="30">
        <f t="shared" si="43"/>
        <v>3120</v>
      </c>
      <c r="F156" s="37" t="s">
        <v>549</v>
      </c>
      <c r="G156" s="30">
        <f t="shared" si="44"/>
        <v>3424</v>
      </c>
      <c r="H156" s="37" t="s">
        <v>1583</v>
      </c>
      <c r="I156" s="32">
        <f t="shared" si="48"/>
        <v>22620</v>
      </c>
      <c r="J156" s="32"/>
      <c r="K156" s="30"/>
      <c r="L156" s="30">
        <v>260813002</v>
      </c>
      <c r="M156" s="30"/>
      <c r="N156" s="30">
        <f>N153-D156</f>
        <v>12</v>
      </c>
      <c r="O156" s="19">
        <v>46184</v>
      </c>
      <c r="P156" s="20">
        <f t="shared" si="46"/>
        <v>298</v>
      </c>
      <c r="Q156" s="21">
        <f t="shared" si="39"/>
        <v>46548</v>
      </c>
      <c r="R156" s="7">
        <f t="shared" si="47"/>
        <v>67</v>
      </c>
    </row>
    <row r="157" spans="1:18" ht="20.149999999999999" hidden="1" customHeight="1" x14ac:dyDescent="0.2">
      <c r="A157" s="22">
        <v>46253</v>
      </c>
      <c r="B157" s="22">
        <v>46254</v>
      </c>
      <c r="C157" s="23" t="s">
        <v>1882</v>
      </c>
      <c r="D157" s="23">
        <v>12</v>
      </c>
      <c r="E157" s="23">
        <f t="shared" si="43"/>
        <v>2340</v>
      </c>
      <c r="F157" s="38" t="s">
        <v>549</v>
      </c>
      <c r="G157" s="23">
        <f t="shared" si="44"/>
        <v>2568</v>
      </c>
      <c r="H157" s="38" t="s">
        <v>1884</v>
      </c>
      <c r="I157" s="25">
        <f t="shared" ref="I157:I162" si="49">I156-E157</f>
        <v>20280</v>
      </c>
      <c r="J157" s="25"/>
      <c r="K157" s="23"/>
      <c r="L157" s="23">
        <v>260818004</v>
      </c>
      <c r="M157" s="23"/>
      <c r="N157" s="23">
        <f>N156-D157</f>
        <v>0</v>
      </c>
      <c r="O157" s="19">
        <v>46184</v>
      </c>
      <c r="P157" s="20">
        <f t="shared" si="46"/>
        <v>295</v>
      </c>
      <c r="Q157" s="21">
        <f t="shared" si="39"/>
        <v>46548</v>
      </c>
      <c r="R157" s="7">
        <f t="shared" si="47"/>
        <v>70</v>
      </c>
    </row>
    <row r="158" spans="1:18" ht="20.149999999999999" hidden="1" customHeight="1" x14ac:dyDescent="0.2">
      <c r="A158" s="22">
        <v>46253</v>
      </c>
      <c r="B158" s="22">
        <v>46254</v>
      </c>
      <c r="C158" s="23" t="s">
        <v>1455</v>
      </c>
      <c r="D158" s="23">
        <v>8</v>
      </c>
      <c r="E158" s="23">
        <f t="shared" si="43"/>
        <v>1560</v>
      </c>
      <c r="F158" s="38" t="s">
        <v>549</v>
      </c>
      <c r="G158" s="23">
        <f t="shared" si="44"/>
        <v>1712</v>
      </c>
      <c r="H158" s="38" t="s">
        <v>1880</v>
      </c>
      <c r="I158" s="25">
        <f t="shared" si="49"/>
        <v>18720</v>
      </c>
      <c r="J158" s="25"/>
      <c r="K158" s="23"/>
      <c r="L158" s="23">
        <v>260818004</v>
      </c>
      <c r="M158" s="23"/>
      <c r="N158" s="23">
        <f>N130-D158</f>
        <v>30</v>
      </c>
      <c r="O158" s="19">
        <v>46190</v>
      </c>
      <c r="P158" s="20">
        <f t="shared" si="46"/>
        <v>301</v>
      </c>
      <c r="Q158" s="21">
        <f t="shared" si="39"/>
        <v>46554</v>
      </c>
      <c r="R158" s="7">
        <f t="shared" si="47"/>
        <v>64</v>
      </c>
    </row>
    <row r="159" spans="1:18" ht="20.149999999999999" hidden="1" customHeight="1" x14ac:dyDescent="0.2">
      <c r="A159" s="33">
        <v>46255</v>
      </c>
      <c r="B159" s="33">
        <v>46258</v>
      </c>
      <c r="C159" s="34" t="s">
        <v>1918</v>
      </c>
      <c r="D159" s="34">
        <v>12</v>
      </c>
      <c r="E159" s="34">
        <f t="shared" si="43"/>
        <v>2340</v>
      </c>
      <c r="F159" s="39" t="s">
        <v>549</v>
      </c>
      <c r="G159" s="34">
        <f t="shared" si="44"/>
        <v>2568</v>
      </c>
      <c r="H159" s="39" t="s">
        <v>1922</v>
      </c>
      <c r="I159" s="35">
        <f t="shared" si="49"/>
        <v>16380</v>
      </c>
      <c r="J159" s="35"/>
      <c r="K159" s="34"/>
      <c r="L159" s="34">
        <v>260820004</v>
      </c>
      <c r="M159" s="34"/>
      <c r="N159" s="34">
        <f>N158-D159</f>
        <v>18</v>
      </c>
      <c r="O159" s="19">
        <v>46190</v>
      </c>
      <c r="P159" s="20">
        <f t="shared" si="46"/>
        <v>297</v>
      </c>
      <c r="Q159" s="21">
        <f t="shared" si="39"/>
        <v>46554</v>
      </c>
      <c r="R159" s="7">
        <f t="shared" si="47"/>
        <v>68</v>
      </c>
    </row>
    <row r="160" spans="1:18" ht="20.149999999999999" hidden="1" customHeight="1" x14ac:dyDescent="0.2">
      <c r="A160" s="33">
        <v>46255</v>
      </c>
      <c r="B160" s="33">
        <v>46258</v>
      </c>
      <c r="C160" s="34" t="s">
        <v>1919</v>
      </c>
      <c r="D160" s="34">
        <v>4</v>
      </c>
      <c r="E160" s="34">
        <f t="shared" si="43"/>
        <v>780</v>
      </c>
      <c r="F160" s="39" t="s">
        <v>549</v>
      </c>
      <c r="G160" s="34">
        <f t="shared" si="44"/>
        <v>856</v>
      </c>
      <c r="H160" s="39" t="s">
        <v>1583</v>
      </c>
      <c r="I160" s="35">
        <f t="shared" si="49"/>
        <v>15600</v>
      </c>
      <c r="J160" s="63" t="s">
        <v>22</v>
      </c>
      <c r="K160" s="34"/>
      <c r="L160" s="34">
        <v>260820004</v>
      </c>
      <c r="M160" s="34">
        <v>42</v>
      </c>
      <c r="N160" s="34">
        <f>M160-D160</f>
        <v>38</v>
      </c>
      <c r="O160" s="19">
        <v>46247</v>
      </c>
      <c r="P160" s="20">
        <f t="shared" si="46"/>
        <v>354</v>
      </c>
      <c r="Q160" s="21">
        <f t="shared" si="39"/>
        <v>46611</v>
      </c>
      <c r="R160" s="7">
        <f t="shared" si="47"/>
        <v>11</v>
      </c>
    </row>
    <row r="161" spans="1:18" ht="20.149999999999999" hidden="1" customHeight="1" x14ac:dyDescent="0.2">
      <c r="A161" s="71">
        <v>46260</v>
      </c>
      <c r="B161" s="71">
        <v>46261</v>
      </c>
      <c r="C161" s="72" t="s">
        <v>1960</v>
      </c>
      <c r="D161" s="72">
        <v>18</v>
      </c>
      <c r="E161" s="72">
        <f t="shared" si="43"/>
        <v>3510</v>
      </c>
      <c r="F161" s="73" t="s">
        <v>549</v>
      </c>
      <c r="G161" s="72">
        <f t="shared" si="44"/>
        <v>3852</v>
      </c>
      <c r="H161" s="73" t="s">
        <v>1583</v>
      </c>
      <c r="I161" s="74">
        <f t="shared" si="49"/>
        <v>12090</v>
      </c>
      <c r="J161" s="74"/>
      <c r="K161" s="72"/>
      <c r="L161" s="72">
        <v>260825003</v>
      </c>
      <c r="M161" s="72"/>
      <c r="N161" s="72">
        <f>N159-D161</f>
        <v>0</v>
      </c>
      <c r="O161" s="19">
        <v>46190</v>
      </c>
      <c r="P161" s="20">
        <f t="shared" si="46"/>
        <v>294</v>
      </c>
      <c r="Q161" s="21">
        <f t="shared" si="39"/>
        <v>46554</v>
      </c>
      <c r="R161" s="7">
        <f t="shared" si="47"/>
        <v>71</v>
      </c>
    </row>
    <row r="162" spans="1:18" ht="20.149999999999999" hidden="1" customHeight="1" x14ac:dyDescent="0.2">
      <c r="A162" s="71">
        <v>46260</v>
      </c>
      <c r="B162" s="71">
        <v>46261</v>
      </c>
      <c r="C162" s="72" t="s">
        <v>1956</v>
      </c>
      <c r="D162" s="72">
        <v>14</v>
      </c>
      <c r="E162" s="72">
        <f t="shared" si="43"/>
        <v>2730</v>
      </c>
      <c r="F162" s="73" t="s">
        <v>549</v>
      </c>
      <c r="G162" s="72">
        <f t="shared" si="44"/>
        <v>2996</v>
      </c>
      <c r="H162" s="73" t="s">
        <v>1957</v>
      </c>
      <c r="I162" s="74">
        <f t="shared" si="49"/>
        <v>9360</v>
      </c>
      <c r="J162" s="74"/>
      <c r="K162" s="72"/>
      <c r="L162" s="72">
        <v>260825003</v>
      </c>
      <c r="M162" s="72"/>
      <c r="N162" s="72">
        <f>N133-D162</f>
        <v>23</v>
      </c>
      <c r="O162" s="19">
        <v>46198</v>
      </c>
      <c r="P162" s="20">
        <f t="shared" si="46"/>
        <v>302</v>
      </c>
      <c r="Q162" s="21">
        <f t="shared" si="39"/>
        <v>46562</v>
      </c>
      <c r="R162" s="7">
        <f t="shared" si="47"/>
        <v>63</v>
      </c>
    </row>
    <row r="163" spans="1:18" ht="20.149999999999999" hidden="1" customHeight="1" x14ac:dyDescent="0.2">
      <c r="A163" s="26">
        <v>46262</v>
      </c>
      <c r="B163" s="26">
        <v>46265</v>
      </c>
      <c r="C163" s="27" t="s">
        <v>1984</v>
      </c>
      <c r="D163" s="27">
        <v>20</v>
      </c>
      <c r="E163" s="27">
        <f t="shared" si="43"/>
        <v>3900</v>
      </c>
      <c r="F163" s="36" t="s">
        <v>549</v>
      </c>
      <c r="G163" s="27">
        <f t="shared" si="44"/>
        <v>4280</v>
      </c>
      <c r="H163" s="36" t="s">
        <v>1583</v>
      </c>
      <c r="I163" s="28">
        <f>I162-E163</f>
        <v>5460</v>
      </c>
      <c r="J163" s="28"/>
      <c r="K163" s="27"/>
      <c r="L163" s="27">
        <v>260827001</v>
      </c>
      <c r="M163" s="27"/>
      <c r="N163" s="27">
        <f>N162-D163</f>
        <v>3</v>
      </c>
      <c r="O163" s="19">
        <v>46198</v>
      </c>
      <c r="P163" s="20">
        <f t="shared" si="46"/>
        <v>298</v>
      </c>
      <c r="Q163" s="21">
        <f t="shared" si="39"/>
        <v>46562</v>
      </c>
      <c r="R163" s="7">
        <f t="shared" si="47"/>
        <v>67</v>
      </c>
    </row>
    <row r="164" spans="1:18" ht="20.149999999999999" customHeight="1" x14ac:dyDescent="0.2">
      <c r="A164" s="29">
        <v>46267</v>
      </c>
      <c r="B164" s="29">
        <v>46268</v>
      </c>
      <c r="C164" s="30" t="s">
        <v>1486</v>
      </c>
      <c r="D164" s="30">
        <v>3</v>
      </c>
      <c r="E164" s="30">
        <f t="shared" si="43"/>
        <v>585</v>
      </c>
      <c r="F164" s="37" t="s">
        <v>549</v>
      </c>
      <c r="G164" s="30">
        <f t="shared" si="44"/>
        <v>642</v>
      </c>
      <c r="H164" s="37" t="s">
        <v>1646</v>
      </c>
      <c r="I164" s="32">
        <f>I163-E164</f>
        <v>4875</v>
      </c>
      <c r="J164" s="32"/>
      <c r="K164" s="30"/>
      <c r="L164" s="30">
        <v>260901002</v>
      </c>
      <c r="M164" s="30"/>
      <c r="N164" s="30">
        <f>N163-D164</f>
        <v>0</v>
      </c>
      <c r="O164" s="19">
        <v>46198</v>
      </c>
      <c r="P164" s="20">
        <f t="shared" si="46"/>
        <v>295</v>
      </c>
      <c r="Q164" s="21">
        <f t="shared" si="39"/>
        <v>46562</v>
      </c>
      <c r="R164" s="7">
        <f t="shared" si="47"/>
        <v>70</v>
      </c>
    </row>
    <row r="165" spans="1:18" ht="20.149999999999999" customHeight="1" x14ac:dyDescent="0.2">
      <c r="A165" s="29">
        <v>46267</v>
      </c>
      <c r="B165" s="29">
        <v>46268</v>
      </c>
      <c r="C165" s="30" t="s">
        <v>2023</v>
      </c>
      <c r="D165" s="30">
        <v>13</v>
      </c>
      <c r="E165" s="30">
        <f t="shared" si="43"/>
        <v>2535</v>
      </c>
      <c r="F165" s="37" t="s">
        <v>549</v>
      </c>
      <c r="G165" s="30">
        <f t="shared" si="44"/>
        <v>2782</v>
      </c>
      <c r="H165" s="37" t="s">
        <v>2022</v>
      </c>
      <c r="I165" s="32">
        <f>I164-E165</f>
        <v>2340</v>
      </c>
      <c r="J165" s="32"/>
      <c r="K165" s="30"/>
      <c r="L165" s="30">
        <v>260901002</v>
      </c>
      <c r="M165" s="30"/>
      <c r="N165" s="30">
        <f>N140-D165</f>
        <v>25</v>
      </c>
      <c r="O165" s="19">
        <v>46205</v>
      </c>
      <c r="P165" s="20">
        <f t="shared" si="46"/>
        <v>302</v>
      </c>
      <c r="Q165" s="21">
        <f t="shared" si="39"/>
        <v>46569</v>
      </c>
      <c r="R165" s="7">
        <f t="shared" si="47"/>
        <v>63</v>
      </c>
    </row>
    <row r="166" spans="1:18" ht="20.149999999999999" customHeight="1" x14ac:dyDescent="0.2">
      <c r="A166" s="29">
        <v>46267</v>
      </c>
      <c r="B166" s="29">
        <v>46268</v>
      </c>
      <c r="C166" s="30" t="s">
        <v>2021</v>
      </c>
      <c r="D166" s="30">
        <v>4</v>
      </c>
      <c r="E166" s="30">
        <f t="shared" si="43"/>
        <v>780</v>
      </c>
      <c r="F166" s="37" t="s">
        <v>549</v>
      </c>
      <c r="G166" s="30">
        <f t="shared" si="44"/>
        <v>856</v>
      </c>
      <c r="H166" s="37" t="s">
        <v>1583</v>
      </c>
      <c r="I166" s="32">
        <f>I165-E166</f>
        <v>1560</v>
      </c>
      <c r="J166" s="70" t="s">
        <v>22</v>
      </c>
      <c r="K166" s="30"/>
      <c r="L166" s="30">
        <v>260901002</v>
      </c>
      <c r="M166" s="30">
        <v>41</v>
      </c>
      <c r="N166" s="30">
        <f>M166-D166</f>
        <v>37</v>
      </c>
      <c r="O166" s="19">
        <v>46254</v>
      </c>
      <c r="P166" s="20">
        <f t="shared" si="46"/>
        <v>351</v>
      </c>
      <c r="Q166" s="21">
        <f t="shared" si="39"/>
        <v>46618</v>
      </c>
      <c r="R166" s="7">
        <f t="shared" si="47"/>
        <v>14</v>
      </c>
    </row>
    <row r="167" spans="1:18" ht="20.149999999999999" customHeight="1" x14ac:dyDescent="0.2">
      <c r="A167" s="22">
        <v>46269</v>
      </c>
      <c r="B167" s="22">
        <v>46272</v>
      </c>
      <c r="C167" s="23" t="s">
        <v>2043</v>
      </c>
      <c r="D167" s="23">
        <v>8</v>
      </c>
      <c r="E167" s="23">
        <f t="shared" si="43"/>
        <v>1560</v>
      </c>
      <c r="F167" s="38" t="s">
        <v>549</v>
      </c>
      <c r="G167" s="23">
        <f t="shared" si="44"/>
        <v>1712</v>
      </c>
      <c r="H167" s="38" t="s">
        <v>2046</v>
      </c>
      <c r="I167" s="25">
        <f>I166-E167</f>
        <v>0</v>
      </c>
      <c r="J167" s="25"/>
      <c r="K167" s="23"/>
      <c r="L167" s="23">
        <v>260903001</v>
      </c>
      <c r="M167" s="23"/>
      <c r="N167" s="23">
        <f>N165-D167</f>
        <v>17</v>
      </c>
      <c r="O167" s="19">
        <v>46205</v>
      </c>
      <c r="P167" s="20">
        <f t="shared" si="46"/>
        <v>298</v>
      </c>
      <c r="Q167" s="21">
        <f t="shared" si="39"/>
        <v>46569</v>
      </c>
      <c r="R167" s="7">
        <f t="shared" si="47"/>
        <v>67</v>
      </c>
    </row>
    <row r="168" spans="1:18" ht="20.149999999999999" customHeight="1" x14ac:dyDescent="0.2">
      <c r="A168" s="22">
        <v>46269</v>
      </c>
      <c r="B168" s="22">
        <v>46272</v>
      </c>
      <c r="C168" s="23" t="s">
        <v>2023</v>
      </c>
      <c r="D168" s="23">
        <v>12</v>
      </c>
      <c r="E168" s="23">
        <f t="shared" si="43"/>
        <v>2340</v>
      </c>
      <c r="F168" s="38" t="s">
        <v>549</v>
      </c>
      <c r="G168" s="23">
        <f t="shared" si="44"/>
        <v>2568</v>
      </c>
      <c r="H168" s="148" t="s">
        <v>2047</v>
      </c>
      <c r="I168" s="25">
        <f>40560-E168</f>
        <v>38220</v>
      </c>
      <c r="J168" s="25"/>
      <c r="K168" s="23"/>
      <c r="L168" s="23" t="s">
        <v>2045</v>
      </c>
      <c r="M168" s="23"/>
      <c r="N168" s="23">
        <f>N167-D168</f>
        <v>5</v>
      </c>
      <c r="O168" s="19">
        <v>46205</v>
      </c>
      <c r="P168" s="20">
        <f t="shared" si="46"/>
        <v>298</v>
      </c>
      <c r="Q168" s="21">
        <f t="shared" si="39"/>
        <v>46569</v>
      </c>
      <c r="R168" s="7">
        <f t="shared" si="47"/>
        <v>67</v>
      </c>
    </row>
    <row r="169" spans="1:18" ht="20.149999999999999" customHeight="1" x14ac:dyDescent="0.2">
      <c r="A169" s="33">
        <v>46274</v>
      </c>
      <c r="B169" s="33">
        <v>46275</v>
      </c>
      <c r="C169" s="34" t="s">
        <v>1586</v>
      </c>
      <c r="D169" s="34">
        <v>5</v>
      </c>
      <c r="E169" s="34">
        <f t="shared" si="43"/>
        <v>975</v>
      </c>
      <c r="F169" s="39" t="s">
        <v>549</v>
      </c>
      <c r="G169" s="34">
        <f t="shared" si="44"/>
        <v>1070</v>
      </c>
      <c r="H169" s="39" t="s">
        <v>2082</v>
      </c>
      <c r="I169" s="35">
        <f t="shared" ref="I169:I174" si="50">I168-E169</f>
        <v>37245</v>
      </c>
      <c r="J169" s="35"/>
      <c r="K169" s="34"/>
      <c r="L169" s="34" t="s">
        <v>2083</v>
      </c>
      <c r="M169" s="34"/>
      <c r="N169" s="34">
        <f>N168-D169</f>
        <v>0</v>
      </c>
      <c r="O169" s="19">
        <v>46205</v>
      </c>
      <c r="P169" s="20">
        <f t="shared" si="46"/>
        <v>295</v>
      </c>
      <c r="Q169" s="21">
        <f t="shared" si="39"/>
        <v>46569</v>
      </c>
      <c r="R169" s="7">
        <f t="shared" si="47"/>
        <v>70</v>
      </c>
    </row>
    <row r="170" spans="1:18" ht="20.149999999999999" customHeight="1" x14ac:dyDescent="0.2">
      <c r="A170" s="33">
        <v>46274</v>
      </c>
      <c r="B170" s="33">
        <v>46275</v>
      </c>
      <c r="C170" s="34" t="s">
        <v>2078</v>
      </c>
      <c r="D170" s="34">
        <v>19</v>
      </c>
      <c r="E170" s="34">
        <f t="shared" si="43"/>
        <v>3705</v>
      </c>
      <c r="F170" s="39" t="s">
        <v>549</v>
      </c>
      <c r="G170" s="34">
        <f t="shared" si="44"/>
        <v>4066</v>
      </c>
      <c r="H170" s="39" t="s">
        <v>2076</v>
      </c>
      <c r="I170" s="35">
        <f t="shared" si="50"/>
        <v>33540</v>
      </c>
      <c r="J170" s="35"/>
      <c r="K170" s="34"/>
      <c r="L170" s="34" t="s">
        <v>2083</v>
      </c>
      <c r="M170" s="34"/>
      <c r="N170" s="34">
        <f>N147-D170</f>
        <v>20</v>
      </c>
      <c r="O170" s="19">
        <v>46217</v>
      </c>
      <c r="P170" s="20">
        <f t="shared" si="46"/>
        <v>307</v>
      </c>
      <c r="Q170" s="21">
        <f t="shared" si="39"/>
        <v>46581</v>
      </c>
      <c r="R170" s="7">
        <f t="shared" si="47"/>
        <v>58</v>
      </c>
    </row>
    <row r="171" spans="1:18" ht="20.149999999999999" customHeight="1" x14ac:dyDescent="0.2">
      <c r="A171" s="71">
        <v>46276</v>
      </c>
      <c r="B171" s="71">
        <v>46279</v>
      </c>
      <c r="C171" s="72" t="s">
        <v>1720</v>
      </c>
      <c r="D171" s="72">
        <v>16</v>
      </c>
      <c r="E171" s="72">
        <f t="shared" si="43"/>
        <v>3120</v>
      </c>
      <c r="F171" s="73" t="s">
        <v>549</v>
      </c>
      <c r="G171" s="72">
        <f t="shared" si="44"/>
        <v>3424</v>
      </c>
      <c r="H171" s="73" t="s">
        <v>2112</v>
      </c>
      <c r="I171" s="74">
        <f t="shared" si="50"/>
        <v>30420</v>
      </c>
      <c r="J171" s="74"/>
      <c r="K171" s="72"/>
      <c r="L171" s="72">
        <v>260910001</v>
      </c>
      <c r="M171" s="72"/>
      <c r="N171" s="72">
        <f>N170-D171</f>
        <v>4</v>
      </c>
      <c r="O171" s="19">
        <v>46217</v>
      </c>
      <c r="P171" s="20">
        <f t="shared" si="46"/>
        <v>303</v>
      </c>
      <c r="Q171" s="21">
        <f t="shared" si="39"/>
        <v>46581</v>
      </c>
      <c r="R171" s="7">
        <f t="shared" si="47"/>
        <v>62</v>
      </c>
    </row>
    <row r="172" spans="1:18" ht="20.149999999999999" customHeight="1" x14ac:dyDescent="0.2">
      <c r="A172" s="26">
        <v>46281</v>
      </c>
      <c r="B172" s="26">
        <v>46282</v>
      </c>
      <c r="C172" s="27" t="s">
        <v>2150</v>
      </c>
      <c r="D172" s="27">
        <v>4</v>
      </c>
      <c r="E172" s="27">
        <f t="shared" si="43"/>
        <v>780</v>
      </c>
      <c r="F172" s="36" t="s">
        <v>549</v>
      </c>
      <c r="G172" s="27">
        <f t="shared" si="44"/>
        <v>856</v>
      </c>
      <c r="H172" s="36" t="s">
        <v>2153</v>
      </c>
      <c r="I172" s="28">
        <f t="shared" si="50"/>
        <v>29640</v>
      </c>
      <c r="J172" s="28"/>
      <c r="K172" s="27"/>
      <c r="L172" s="27">
        <v>260915001</v>
      </c>
      <c r="M172" s="27"/>
      <c r="N172" s="27">
        <f>N171-D172</f>
        <v>0</v>
      </c>
      <c r="O172" s="19">
        <v>46217</v>
      </c>
      <c r="P172" s="20">
        <f t="shared" si="46"/>
        <v>300</v>
      </c>
      <c r="Q172" s="21">
        <f t="shared" si="39"/>
        <v>46581</v>
      </c>
      <c r="R172" s="7">
        <f t="shared" si="47"/>
        <v>65</v>
      </c>
    </row>
    <row r="173" spans="1:18" ht="20.149999999999999" customHeight="1" x14ac:dyDescent="0.2">
      <c r="A173" s="26">
        <v>46281</v>
      </c>
      <c r="B173" s="26">
        <v>46282</v>
      </c>
      <c r="C173" s="27" t="s">
        <v>1760</v>
      </c>
      <c r="D173" s="27">
        <v>20</v>
      </c>
      <c r="E173" s="27">
        <f t="shared" si="43"/>
        <v>3900</v>
      </c>
      <c r="F173" s="36" t="s">
        <v>549</v>
      </c>
      <c r="G173" s="27">
        <f t="shared" si="44"/>
        <v>4280</v>
      </c>
      <c r="H173" s="36" t="s">
        <v>2147</v>
      </c>
      <c r="I173" s="28">
        <f t="shared" si="50"/>
        <v>25740</v>
      </c>
      <c r="J173" s="28"/>
      <c r="K173" s="27"/>
      <c r="L173" s="27">
        <v>260915001</v>
      </c>
      <c r="M173" s="27"/>
      <c r="N173" s="27">
        <f>N150-D173</f>
        <v>18</v>
      </c>
      <c r="O173" s="19">
        <v>46229</v>
      </c>
      <c r="P173" s="20">
        <f t="shared" si="46"/>
        <v>312</v>
      </c>
      <c r="Q173" s="21">
        <f t="shared" si="39"/>
        <v>46593</v>
      </c>
      <c r="R173" s="7">
        <f t="shared" si="47"/>
        <v>53</v>
      </c>
    </row>
    <row r="174" spans="1:18" ht="20.149999999999999" customHeight="1" x14ac:dyDescent="0.2">
      <c r="A174" s="26">
        <v>46281</v>
      </c>
      <c r="B174" s="26">
        <v>46282</v>
      </c>
      <c r="C174" s="27" t="s">
        <v>2151</v>
      </c>
      <c r="D174" s="27">
        <v>4</v>
      </c>
      <c r="E174" s="27">
        <f t="shared" si="43"/>
        <v>780</v>
      </c>
      <c r="F174" s="36" t="s">
        <v>549</v>
      </c>
      <c r="G174" s="27">
        <f t="shared" si="44"/>
        <v>856</v>
      </c>
      <c r="H174" s="36" t="s">
        <v>2047</v>
      </c>
      <c r="I174" s="28">
        <f t="shared" si="50"/>
        <v>24960</v>
      </c>
      <c r="J174" s="61" t="s">
        <v>22</v>
      </c>
      <c r="K174" s="27"/>
      <c r="L174" s="27">
        <v>260915001</v>
      </c>
      <c r="M174" s="27">
        <v>42</v>
      </c>
      <c r="N174" s="27">
        <f>M174-D174</f>
        <v>38</v>
      </c>
      <c r="O174" s="19">
        <v>46266</v>
      </c>
      <c r="P174" s="20">
        <f t="shared" si="46"/>
        <v>349</v>
      </c>
      <c r="Q174" s="21">
        <f t="shared" si="39"/>
        <v>46630</v>
      </c>
      <c r="R174" s="7">
        <f t="shared" si="47"/>
        <v>16</v>
      </c>
    </row>
    <row r="175" spans="1:18" ht="20.149999999999999" customHeight="1" x14ac:dyDescent="0.2">
      <c r="A175" s="29">
        <v>46283</v>
      </c>
      <c r="B175" s="29">
        <v>46286</v>
      </c>
      <c r="C175" s="30" t="s">
        <v>1760</v>
      </c>
      <c r="D175" s="30">
        <v>16</v>
      </c>
      <c r="E175" s="30">
        <f t="shared" si="43"/>
        <v>3120</v>
      </c>
      <c r="F175" s="37" t="s">
        <v>549</v>
      </c>
      <c r="G175" s="30">
        <f t="shared" si="44"/>
        <v>3424</v>
      </c>
      <c r="H175" s="37" t="s">
        <v>2169</v>
      </c>
      <c r="I175" s="32">
        <f t="shared" ref="I175:I180" si="51">I174-E175</f>
        <v>21840</v>
      </c>
      <c r="J175" s="32"/>
      <c r="K175" s="30"/>
      <c r="L175" s="30">
        <v>260917005</v>
      </c>
      <c r="M175" s="30"/>
      <c r="N175" s="30">
        <f>N173-D175</f>
        <v>2</v>
      </c>
      <c r="O175" s="19">
        <v>46229</v>
      </c>
      <c r="P175" s="20">
        <f t="shared" si="46"/>
        <v>308</v>
      </c>
      <c r="Q175" s="21">
        <f t="shared" si="39"/>
        <v>46593</v>
      </c>
      <c r="R175" s="7">
        <f t="shared" si="47"/>
        <v>57</v>
      </c>
    </row>
    <row r="176" spans="1:18" ht="20.149999999999999" customHeight="1" x14ac:dyDescent="0.2">
      <c r="A176" s="22">
        <v>46288</v>
      </c>
      <c r="B176" s="22">
        <v>46289</v>
      </c>
      <c r="C176" s="23" t="s">
        <v>1760</v>
      </c>
      <c r="D176" s="23">
        <v>2</v>
      </c>
      <c r="E176" s="23">
        <f t="shared" si="43"/>
        <v>390</v>
      </c>
      <c r="F176" s="38" t="s">
        <v>549</v>
      </c>
      <c r="G176" s="23">
        <f t="shared" si="44"/>
        <v>428</v>
      </c>
      <c r="H176" s="38" t="s">
        <v>2210</v>
      </c>
      <c r="I176" s="25">
        <f t="shared" si="51"/>
        <v>21450</v>
      </c>
      <c r="J176" s="25"/>
      <c r="K176" s="23"/>
      <c r="L176" s="23">
        <v>260922001</v>
      </c>
      <c r="M176" s="23"/>
      <c r="N176" s="23">
        <f>N175-D176</f>
        <v>0</v>
      </c>
      <c r="O176" s="19">
        <v>46229</v>
      </c>
      <c r="P176" s="20">
        <f t="shared" si="46"/>
        <v>305</v>
      </c>
      <c r="Q176" s="21">
        <f t="shared" si="39"/>
        <v>46593</v>
      </c>
      <c r="R176" s="7">
        <f t="shared" si="47"/>
        <v>60</v>
      </c>
    </row>
    <row r="177" spans="1:18" ht="20.149999999999999" customHeight="1" x14ac:dyDescent="0.2">
      <c r="A177" s="22">
        <v>46288</v>
      </c>
      <c r="B177" s="22">
        <v>46289</v>
      </c>
      <c r="C177" s="23" t="s">
        <v>2203</v>
      </c>
      <c r="D177" s="23">
        <v>18</v>
      </c>
      <c r="E177" s="23">
        <f t="shared" si="43"/>
        <v>3510</v>
      </c>
      <c r="F177" s="38" t="s">
        <v>549</v>
      </c>
      <c r="G177" s="23">
        <f t="shared" si="44"/>
        <v>3852</v>
      </c>
      <c r="H177" s="38" t="s">
        <v>2202</v>
      </c>
      <c r="I177" s="25">
        <f t="shared" si="51"/>
        <v>17940</v>
      </c>
      <c r="J177" s="25"/>
      <c r="K177" s="23"/>
      <c r="L177" s="23">
        <v>260922001</v>
      </c>
      <c r="M177" s="23"/>
      <c r="N177" s="23">
        <f>N154-D177</f>
        <v>20</v>
      </c>
      <c r="O177" s="19">
        <v>46231</v>
      </c>
      <c r="P177" s="20">
        <f t="shared" si="46"/>
        <v>307</v>
      </c>
      <c r="Q177" s="21">
        <f t="shared" si="39"/>
        <v>46595</v>
      </c>
      <c r="R177" s="7">
        <f t="shared" si="47"/>
        <v>58</v>
      </c>
    </row>
    <row r="178" spans="1:18" ht="20.149999999999999" customHeight="1" x14ac:dyDescent="0.2">
      <c r="A178" s="33">
        <v>46289</v>
      </c>
      <c r="B178" s="33">
        <v>46294</v>
      </c>
      <c r="C178" s="34" t="s">
        <v>1825</v>
      </c>
      <c r="D178" s="34">
        <v>20</v>
      </c>
      <c r="E178" s="34">
        <f t="shared" si="43"/>
        <v>3900</v>
      </c>
      <c r="F178" s="39" t="s">
        <v>549</v>
      </c>
      <c r="G178" s="34">
        <f t="shared" si="44"/>
        <v>4280</v>
      </c>
      <c r="H178" s="39" t="s">
        <v>2226</v>
      </c>
      <c r="I178" s="35">
        <f t="shared" si="51"/>
        <v>14040</v>
      </c>
      <c r="J178" s="35"/>
      <c r="K178" s="34"/>
      <c r="L178" s="34">
        <v>260923004</v>
      </c>
      <c r="M178" s="34"/>
      <c r="N178" s="34">
        <f>N177-D178</f>
        <v>0</v>
      </c>
      <c r="O178" s="19">
        <v>46231</v>
      </c>
      <c r="P178" s="20">
        <f t="shared" si="46"/>
        <v>302</v>
      </c>
      <c r="Q178" s="21">
        <f t="shared" si="39"/>
        <v>46595</v>
      </c>
      <c r="R178" s="7">
        <f t="shared" si="47"/>
        <v>63</v>
      </c>
    </row>
    <row r="179" spans="1:18" ht="20.149999999999999" customHeight="1" x14ac:dyDescent="0.2">
      <c r="A179" s="71">
        <v>46295</v>
      </c>
      <c r="B179" s="71">
        <v>46296</v>
      </c>
      <c r="C179" s="72" t="s">
        <v>2248</v>
      </c>
      <c r="D179" s="72">
        <v>20</v>
      </c>
      <c r="E179" s="72">
        <f t="shared" si="43"/>
        <v>3900</v>
      </c>
      <c r="F179" s="73" t="s">
        <v>549</v>
      </c>
      <c r="G179" s="72">
        <f t="shared" si="44"/>
        <v>4280</v>
      </c>
      <c r="H179" s="73" t="s">
        <v>2047</v>
      </c>
      <c r="I179" s="74">
        <f t="shared" si="51"/>
        <v>10140</v>
      </c>
      <c r="J179" s="74"/>
      <c r="K179" s="72"/>
      <c r="L179" s="72">
        <v>260929010</v>
      </c>
      <c r="M179" s="72"/>
      <c r="N179" s="74">
        <f>N155-D179</f>
        <v>17</v>
      </c>
      <c r="O179" s="19">
        <v>46233</v>
      </c>
      <c r="P179" s="20">
        <f t="shared" si="46"/>
        <v>302</v>
      </c>
      <c r="Q179" s="21">
        <f t="shared" si="39"/>
        <v>46597</v>
      </c>
      <c r="R179" s="7">
        <f t="shared" si="47"/>
        <v>63</v>
      </c>
    </row>
    <row r="180" spans="1:18" ht="20.149999999999999" customHeight="1" x14ac:dyDescent="0.2">
      <c r="A180" s="71">
        <v>46295</v>
      </c>
      <c r="B180" s="71">
        <v>46296</v>
      </c>
      <c r="C180" s="72" t="s">
        <v>2249</v>
      </c>
      <c r="D180" s="72">
        <v>4</v>
      </c>
      <c r="E180" s="72">
        <f t="shared" si="43"/>
        <v>780</v>
      </c>
      <c r="F180" s="73" t="s">
        <v>549</v>
      </c>
      <c r="G180" s="72">
        <f t="shared" si="44"/>
        <v>856</v>
      </c>
      <c r="H180" s="73" t="s">
        <v>2047</v>
      </c>
      <c r="I180" s="74">
        <f t="shared" si="51"/>
        <v>9360</v>
      </c>
      <c r="J180" s="89" t="s">
        <v>22</v>
      </c>
      <c r="K180" s="72"/>
      <c r="L180" s="72">
        <v>260929010</v>
      </c>
      <c r="M180" s="72">
        <v>41</v>
      </c>
      <c r="N180" s="72">
        <f>M180-D180</f>
        <v>37</v>
      </c>
      <c r="O180" s="19">
        <v>46279</v>
      </c>
      <c r="P180" s="20">
        <f t="shared" si="46"/>
        <v>348</v>
      </c>
      <c r="Q180" s="21">
        <f t="shared" si="39"/>
        <v>46643</v>
      </c>
      <c r="R180" s="7">
        <f t="shared" si="47"/>
        <v>17</v>
      </c>
    </row>
    <row r="181" spans="1:18" ht="20.149999999999999" customHeight="1" x14ac:dyDescent="0.2">
      <c r="A181" s="26">
        <v>46297</v>
      </c>
      <c r="B181" s="26">
        <v>46300</v>
      </c>
      <c r="C181" s="27" t="s">
        <v>2276</v>
      </c>
      <c r="D181" s="27">
        <v>17</v>
      </c>
      <c r="E181" s="27">
        <f t="shared" si="43"/>
        <v>3315</v>
      </c>
      <c r="F181" s="36" t="s">
        <v>549</v>
      </c>
      <c r="G181" s="27">
        <f t="shared" si="44"/>
        <v>3638</v>
      </c>
      <c r="H181" s="36" t="s">
        <v>2273</v>
      </c>
      <c r="I181" s="28">
        <f>I180-E181</f>
        <v>6045</v>
      </c>
      <c r="J181" s="28"/>
      <c r="K181" s="27"/>
      <c r="L181" s="27">
        <v>261001001</v>
      </c>
      <c r="M181" s="27"/>
      <c r="N181" s="28">
        <f>N179-D181</f>
        <v>0</v>
      </c>
      <c r="O181" s="19">
        <f>IF($C181="","",DATE(2000+LEFT($C181,2), HEX2DEC(MID($C181,3,1)), MID($C181,4,2)))</f>
        <v>46233</v>
      </c>
      <c r="P181" s="20">
        <f t="shared" si="46"/>
        <v>298</v>
      </c>
      <c r="Q181" s="21">
        <f t="shared" si="39"/>
        <v>46597</v>
      </c>
      <c r="R181" s="7">
        <f t="shared" si="47"/>
        <v>67</v>
      </c>
    </row>
    <row r="182" spans="1:18" ht="20.149999999999999" customHeight="1" x14ac:dyDescent="0.2">
      <c r="A182" s="26">
        <v>46297</v>
      </c>
      <c r="B182" s="26">
        <v>46300</v>
      </c>
      <c r="C182" s="27" t="s">
        <v>1919</v>
      </c>
      <c r="D182" s="27">
        <v>3</v>
      </c>
      <c r="E182" s="27">
        <f t="shared" si="43"/>
        <v>585</v>
      </c>
      <c r="F182" s="36" t="s">
        <v>549</v>
      </c>
      <c r="G182" s="27">
        <f t="shared" si="44"/>
        <v>642</v>
      </c>
      <c r="H182" s="36" t="s">
        <v>2273</v>
      </c>
      <c r="I182" s="28">
        <f>I181-E182</f>
        <v>5460</v>
      </c>
      <c r="J182" s="28"/>
      <c r="K182" s="27"/>
      <c r="L182" s="27">
        <v>261001001</v>
      </c>
      <c r="M182" s="27"/>
      <c r="N182" s="27">
        <f>N160-D182</f>
        <v>35</v>
      </c>
      <c r="O182" s="19">
        <f>IF($C182="","",DATE(2000+LEFT($C182,2), HEX2DEC(MID($C182,3,1)), MID($C182,4,2)))</f>
        <v>46247</v>
      </c>
      <c r="P182" s="20">
        <f t="shared" si="46"/>
        <v>312</v>
      </c>
      <c r="Q182" s="21">
        <f>DATE(YEAR(O182)+1,MONTH(O182),DAY(O182))-1</f>
        <v>46611</v>
      </c>
      <c r="R182" s="7">
        <f t="shared" si="47"/>
        <v>53</v>
      </c>
    </row>
  </sheetData>
  <autoFilter ref="A2:T182">
    <filterColumn colId="0">
      <filters>
        <dateGroupItem year="2026" month="9" dateTimeGrouping="month"/>
        <dateGroupItem year="2026" month="10" dateTimeGrouping="month"/>
      </filters>
    </filterColumn>
  </autoFilter>
  <mergeCells count="2">
    <mergeCell ref="B1:C1"/>
    <mergeCell ref="P1:P2"/>
  </mergeCells>
  <phoneticPr fontId="3" type="noConversion"/>
  <pageMargins left="0.25" right="0.25" top="0.75" bottom="0.75" header="0.3" footer="0.3"/>
  <pageSetup paperSize="9" scale="9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pageSetUpPr fitToPage="1"/>
  </sheetPr>
  <dimension ref="A1:LZ1046"/>
  <sheetViews>
    <sheetView zoomScaleNormal="100" workbookViewId="0">
      <pane ySplit="2" topLeftCell="A3" activePane="bottomLeft" state="frozen"/>
      <selection pane="bottomLeft" activeCell="C1046" sqref="C1046"/>
    </sheetView>
  </sheetViews>
  <sheetFormatPr defaultColWidth="9" defaultRowHeight="20.149999999999999" customHeight="1" x14ac:dyDescent="0.2"/>
  <cols>
    <col min="1" max="2" width="7.125" style="44" customWidth="1"/>
    <col min="3" max="3" width="14.125" style="45" customWidth="1"/>
    <col min="4" max="4" width="6.5" style="45" customWidth="1"/>
    <col min="5" max="5" width="9.25" style="45" customWidth="1"/>
    <col min="6" max="6" width="9.625" style="45" customWidth="1"/>
    <col min="7" max="7" width="17" style="45" customWidth="1"/>
    <col min="8" max="9" width="8.625" style="46" customWidth="1"/>
    <col min="10" max="10" width="26.875" style="46" customWidth="1"/>
    <col min="11" max="11" width="14.125" style="45" customWidth="1"/>
    <col min="12" max="13" width="6.5" style="45" customWidth="1"/>
    <col min="14" max="14" width="8" style="19" customWidth="1"/>
    <col min="15" max="15" width="11.125" style="21" customWidth="1"/>
    <col min="16" max="17" width="9" style="7"/>
    <col min="18" max="338" width="9" style="50"/>
    <col min="339" max="16384" width="9" style="7"/>
  </cols>
  <sheetData>
    <row r="1" spans="1:338" ht="24.05" customHeight="1" x14ac:dyDescent="0.25">
      <c r="A1" s="47"/>
      <c r="B1" s="48" t="s">
        <v>49</v>
      </c>
      <c r="C1" s="49"/>
      <c r="D1" s="49"/>
      <c r="E1" s="49"/>
      <c r="F1" s="49"/>
      <c r="G1" s="49"/>
      <c r="H1" s="49"/>
      <c r="I1" s="49"/>
      <c r="J1" s="213"/>
      <c r="K1" s="213"/>
      <c r="L1" s="49"/>
      <c r="M1" s="49"/>
      <c r="N1" s="3"/>
      <c r="O1" s="4"/>
      <c r="P1" s="6"/>
      <c r="Q1" s="6"/>
    </row>
    <row r="2" spans="1:338" s="18" customFormat="1" ht="20.149999999999999" customHeight="1" x14ac:dyDescent="0.25">
      <c r="A2" s="51" t="s">
        <v>3</v>
      </c>
      <c r="B2" s="52" t="s">
        <v>4</v>
      </c>
      <c r="C2" s="53" t="s">
        <v>5</v>
      </c>
      <c r="D2" s="54" t="s">
        <v>6</v>
      </c>
      <c r="E2" s="55" t="s">
        <v>7</v>
      </c>
      <c r="F2" s="54" t="s">
        <v>21</v>
      </c>
      <c r="G2" s="53" t="s">
        <v>10</v>
      </c>
      <c r="H2" s="56" t="s">
        <v>11</v>
      </c>
      <c r="I2" s="56" t="s">
        <v>22</v>
      </c>
      <c r="J2" s="54" t="s">
        <v>13</v>
      </c>
      <c r="K2" s="54" t="s">
        <v>14</v>
      </c>
      <c r="L2" s="53" t="s">
        <v>15</v>
      </c>
      <c r="M2" s="53" t="s">
        <v>16</v>
      </c>
      <c r="N2" s="3" t="s">
        <v>23</v>
      </c>
      <c r="O2" s="57" t="s">
        <v>18</v>
      </c>
      <c r="P2" s="58" t="s">
        <v>24</v>
      </c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59"/>
      <c r="EI2" s="59"/>
      <c r="EJ2" s="59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59"/>
      <c r="EX2" s="59"/>
      <c r="EY2" s="59"/>
      <c r="EZ2" s="59"/>
      <c r="FA2" s="59"/>
      <c r="FB2" s="59"/>
      <c r="FC2" s="59"/>
      <c r="FD2" s="59"/>
      <c r="FE2" s="59"/>
      <c r="FF2" s="59"/>
      <c r="FG2" s="59"/>
      <c r="FH2" s="59"/>
      <c r="FI2" s="59"/>
      <c r="FJ2" s="59"/>
      <c r="FK2" s="59"/>
      <c r="FL2" s="59"/>
      <c r="FM2" s="59"/>
      <c r="FN2" s="59"/>
      <c r="FO2" s="59"/>
      <c r="FP2" s="59"/>
      <c r="FQ2" s="59"/>
      <c r="FR2" s="59"/>
      <c r="FS2" s="59"/>
      <c r="FT2" s="59"/>
      <c r="FU2" s="59"/>
      <c r="FV2" s="59"/>
      <c r="FW2" s="59"/>
      <c r="FX2" s="59"/>
      <c r="FY2" s="59"/>
      <c r="FZ2" s="59"/>
      <c r="GA2" s="59"/>
      <c r="GB2" s="59"/>
      <c r="GC2" s="59"/>
      <c r="GD2" s="59"/>
      <c r="GE2" s="59"/>
      <c r="GF2" s="59"/>
      <c r="GG2" s="59"/>
      <c r="GH2" s="59"/>
      <c r="GI2" s="59"/>
      <c r="GJ2" s="59"/>
      <c r="GK2" s="59"/>
      <c r="GL2" s="59"/>
      <c r="GM2" s="59"/>
      <c r="GN2" s="59"/>
      <c r="GO2" s="59"/>
      <c r="GP2" s="59"/>
      <c r="GQ2" s="59"/>
      <c r="GR2" s="59"/>
      <c r="GS2" s="59"/>
      <c r="GT2" s="59"/>
      <c r="GU2" s="59"/>
      <c r="GV2" s="59"/>
      <c r="GW2" s="59"/>
      <c r="GX2" s="59"/>
      <c r="GY2" s="59"/>
      <c r="GZ2" s="59"/>
      <c r="HA2" s="59"/>
      <c r="HB2" s="59"/>
      <c r="HC2" s="59"/>
      <c r="HD2" s="59"/>
      <c r="HE2" s="59"/>
      <c r="HF2" s="59"/>
      <c r="HG2" s="59"/>
      <c r="HH2" s="59"/>
      <c r="HI2" s="59"/>
      <c r="HJ2" s="59"/>
      <c r="HK2" s="59"/>
      <c r="HL2" s="59"/>
      <c r="HM2" s="59"/>
      <c r="HN2" s="59"/>
      <c r="HO2" s="59"/>
      <c r="HP2" s="59"/>
      <c r="HQ2" s="59"/>
      <c r="HR2" s="59"/>
      <c r="HS2" s="59"/>
      <c r="HT2" s="59"/>
      <c r="HU2" s="59"/>
      <c r="HV2" s="59"/>
      <c r="HW2" s="59"/>
      <c r="HX2" s="59"/>
      <c r="HY2" s="59"/>
      <c r="HZ2" s="59"/>
      <c r="IA2" s="59"/>
      <c r="IB2" s="59"/>
      <c r="IC2" s="59"/>
      <c r="ID2" s="59"/>
      <c r="IE2" s="59"/>
      <c r="IF2" s="59"/>
      <c r="IG2" s="59"/>
      <c r="IH2" s="59"/>
      <c r="II2" s="59"/>
      <c r="IJ2" s="59"/>
      <c r="IK2" s="59"/>
      <c r="IL2" s="59"/>
      <c r="IM2" s="59"/>
      <c r="IN2" s="59"/>
      <c r="IO2" s="59"/>
      <c r="IP2" s="59"/>
      <c r="IQ2" s="59"/>
      <c r="IR2" s="59"/>
      <c r="IS2" s="59"/>
      <c r="IT2" s="59"/>
      <c r="IU2" s="59"/>
      <c r="IV2" s="59"/>
      <c r="IW2" s="59"/>
      <c r="IX2" s="59"/>
      <c r="IY2" s="59"/>
      <c r="IZ2" s="59"/>
      <c r="JA2" s="59"/>
      <c r="JB2" s="59"/>
      <c r="JC2" s="59"/>
      <c r="JD2" s="59"/>
      <c r="JE2" s="59"/>
      <c r="JF2" s="59"/>
      <c r="JG2" s="59"/>
      <c r="JH2" s="59"/>
      <c r="JI2" s="59"/>
      <c r="JJ2" s="59"/>
      <c r="JK2" s="59"/>
      <c r="JL2" s="59"/>
      <c r="JM2" s="59"/>
      <c r="JN2" s="59"/>
      <c r="JO2" s="59"/>
      <c r="JP2" s="59"/>
      <c r="JQ2" s="59"/>
      <c r="JR2" s="59"/>
      <c r="JS2" s="59"/>
      <c r="JT2" s="59"/>
      <c r="JU2" s="59"/>
      <c r="JV2" s="59"/>
      <c r="JW2" s="59"/>
      <c r="JX2" s="59"/>
      <c r="JY2" s="59"/>
      <c r="JZ2" s="59"/>
      <c r="KA2" s="59"/>
      <c r="KB2" s="59"/>
      <c r="KC2" s="59"/>
      <c r="KD2" s="59"/>
      <c r="KE2" s="59"/>
      <c r="KF2" s="59"/>
      <c r="KG2" s="59"/>
      <c r="KH2" s="59"/>
      <c r="KI2" s="59"/>
      <c r="KJ2" s="59"/>
      <c r="KK2" s="59"/>
      <c r="KL2" s="59"/>
      <c r="KM2" s="59"/>
      <c r="KN2" s="59"/>
      <c r="KO2" s="59"/>
      <c r="KP2" s="59"/>
      <c r="KQ2" s="59"/>
      <c r="KR2" s="59"/>
      <c r="KS2" s="59"/>
      <c r="KT2" s="59"/>
      <c r="KU2" s="59"/>
      <c r="KV2" s="59"/>
      <c r="KW2" s="59"/>
      <c r="KX2" s="59"/>
      <c r="KY2" s="59"/>
      <c r="KZ2" s="59"/>
      <c r="LA2" s="59"/>
      <c r="LB2" s="59"/>
      <c r="LC2" s="59"/>
      <c r="LD2" s="59"/>
      <c r="LE2" s="59"/>
      <c r="LF2" s="59"/>
      <c r="LG2" s="59"/>
      <c r="LH2" s="59"/>
      <c r="LI2" s="59"/>
      <c r="LJ2" s="59"/>
      <c r="LK2" s="59"/>
      <c r="LL2" s="59"/>
      <c r="LM2" s="59"/>
      <c r="LN2" s="59"/>
      <c r="LO2" s="59"/>
      <c r="LP2" s="59"/>
      <c r="LQ2" s="59"/>
      <c r="LR2" s="59"/>
      <c r="LS2" s="59"/>
      <c r="LT2" s="59"/>
      <c r="LU2" s="59"/>
      <c r="LV2" s="59"/>
      <c r="LW2" s="59"/>
      <c r="LX2" s="59"/>
      <c r="LY2" s="59"/>
      <c r="LZ2" s="59"/>
    </row>
    <row r="3" spans="1:338" ht="20.149999999999999" hidden="1" customHeight="1" x14ac:dyDescent="0.25">
      <c r="A3" s="40">
        <v>46024</v>
      </c>
      <c r="B3" s="40">
        <v>46024</v>
      </c>
      <c r="C3" s="41" t="s">
        <v>37</v>
      </c>
      <c r="D3" s="41">
        <v>2</v>
      </c>
      <c r="E3" s="41">
        <f>D3*195</f>
        <v>390</v>
      </c>
      <c r="F3" s="60" t="s">
        <v>27</v>
      </c>
      <c r="G3" s="60" t="s">
        <v>61</v>
      </c>
      <c r="H3" s="42">
        <f>14040-E3</f>
        <v>13650</v>
      </c>
      <c r="I3" s="42"/>
      <c r="J3" s="42"/>
      <c r="K3" s="41">
        <v>251231002</v>
      </c>
      <c r="L3" s="41"/>
      <c r="M3" s="41">
        <f>2-D3</f>
        <v>0</v>
      </c>
      <c r="N3" s="19">
        <v>45964</v>
      </c>
      <c r="O3" s="21">
        <f t="shared" ref="O3:O19" si="0">DATE(YEAR(N3)+1,MONTH(N3),DAY(N3))-1</f>
        <v>46328</v>
      </c>
    </row>
    <row r="4" spans="1:338" ht="20.149999999999999" hidden="1" customHeight="1" x14ac:dyDescent="0.25">
      <c r="A4" s="40">
        <v>46024</v>
      </c>
      <c r="B4" s="40">
        <v>46024</v>
      </c>
      <c r="C4" s="41" t="s">
        <v>39</v>
      </c>
      <c r="D4" s="41">
        <v>6</v>
      </c>
      <c r="E4" s="41">
        <f>D4*195</f>
        <v>1170</v>
      </c>
      <c r="F4" s="60" t="s">
        <v>57</v>
      </c>
      <c r="G4" s="60" t="s">
        <v>59</v>
      </c>
      <c r="H4" s="42">
        <f>H3-E4</f>
        <v>12480</v>
      </c>
      <c r="I4" s="42"/>
      <c r="J4" s="42"/>
      <c r="K4" s="41">
        <v>251231002</v>
      </c>
      <c r="L4" s="41"/>
      <c r="M4" s="41">
        <f>37-D4</f>
        <v>31</v>
      </c>
      <c r="N4" s="19">
        <v>45966</v>
      </c>
      <c r="O4" s="21">
        <f t="shared" si="0"/>
        <v>46330</v>
      </c>
    </row>
    <row r="5" spans="1:338" ht="20.149999999999999" hidden="1" customHeight="1" x14ac:dyDescent="0.25">
      <c r="A5" s="33">
        <v>46024</v>
      </c>
      <c r="B5" s="33">
        <v>46027</v>
      </c>
      <c r="C5" s="34" t="s">
        <v>39</v>
      </c>
      <c r="D5" s="34">
        <v>12</v>
      </c>
      <c r="E5" s="34">
        <f>D5*195</f>
        <v>2340</v>
      </c>
      <c r="F5" s="39" t="s">
        <v>28</v>
      </c>
      <c r="G5" s="39" t="s">
        <v>62</v>
      </c>
      <c r="H5" s="35">
        <f>23400-E5</f>
        <v>21060</v>
      </c>
      <c r="I5" s="35"/>
      <c r="J5" s="35"/>
      <c r="K5" s="34">
        <v>251231003</v>
      </c>
      <c r="L5" s="34"/>
      <c r="M5" s="34">
        <f>M4-D5</f>
        <v>19</v>
      </c>
      <c r="N5" s="19">
        <v>45966</v>
      </c>
      <c r="O5" s="21">
        <f t="shared" si="0"/>
        <v>46330</v>
      </c>
    </row>
    <row r="6" spans="1:338" ht="20.149999999999999" hidden="1" customHeight="1" x14ac:dyDescent="0.25">
      <c r="A6" s="29">
        <v>46027</v>
      </c>
      <c r="B6" s="29">
        <v>46028</v>
      </c>
      <c r="C6" s="30" t="s">
        <v>64</v>
      </c>
      <c r="D6" s="30">
        <v>12</v>
      </c>
      <c r="E6" s="30">
        <f>D6*195</f>
        <v>2340</v>
      </c>
      <c r="F6" s="37" t="s">
        <v>65</v>
      </c>
      <c r="G6" s="37" t="s">
        <v>48</v>
      </c>
      <c r="H6" s="32">
        <f>11700-E6</f>
        <v>9360</v>
      </c>
      <c r="I6" s="32"/>
      <c r="J6" s="32"/>
      <c r="K6" s="30">
        <v>260102001</v>
      </c>
      <c r="L6" s="30"/>
      <c r="M6" s="30">
        <f>M5-D6</f>
        <v>7</v>
      </c>
      <c r="N6" s="19">
        <v>45966</v>
      </c>
      <c r="O6" s="21">
        <f t="shared" si="0"/>
        <v>46330</v>
      </c>
    </row>
    <row r="7" spans="1:338" ht="20.149999999999999" hidden="1" customHeight="1" x14ac:dyDescent="0.25">
      <c r="A7" s="22">
        <v>46027</v>
      </c>
      <c r="B7" s="22">
        <v>46028</v>
      </c>
      <c r="C7" s="23" t="s">
        <v>66</v>
      </c>
      <c r="D7" s="23">
        <v>4</v>
      </c>
      <c r="E7" s="23">
        <f>D7*195</f>
        <v>780</v>
      </c>
      <c r="F7" s="38" t="s">
        <v>67</v>
      </c>
      <c r="G7" s="38" t="s">
        <v>55</v>
      </c>
      <c r="H7" s="25">
        <f>25740-E7</f>
        <v>24960</v>
      </c>
      <c r="I7" s="43" t="s">
        <v>25</v>
      </c>
      <c r="J7" s="25"/>
      <c r="K7" s="23">
        <v>260102002</v>
      </c>
      <c r="L7" s="23">
        <v>42</v>
      </c>
      <c r="M7" s="23">
        <f>L7-D7</f>
        <v>38</v>
      </c>
      <c r="N7" s="19">
        <v>45997</v>
      </c>
      <c r="O7" s="21">
        <f t="shared" si="0"/>
        <v>46361</v>
      </c>
    </row>
    <row r="8" spans="1:338" ht="20.149999999999999" hidden="1" customHeight="1" x14ac:dyDescent="0.25">
      <c r="A8" s="22">
        <v>46027</v>
      </c>
      <c r="B8" s="22">
        <v>46028</v>
      </c>
      <c r="C8" s="23" t="s">
        <v>68</v>
      </c>
      <c r="D8" s="23">
        <v>4</v>
      </c>
      <c r="E8" s="23">
        <f t="shared" ref="E8:E13" si="1">D8*195</f>
        <v>780</v>
      </c>
      <c r="F8" s="38" t="s">
        <v>70</v>
      </c>
      <c r="G8" s="38" t="s">
        <v>55</v>
      </c>
      <c r="H8" s="25">
        <f>H7-E8</f>
        <v>24180</v>
      </c>
      <c r="I8" s="43" t="s">
        <v>25</v>
      </c>
      <c r="J8" s="25"/>
      <c r="K8" s="23">
        <v>260102002</v>
      </c>
      <c r="L8" s="23">
        <v>41</v>
      </c>
      <c r="M8" s="23">
        <f>L8-D8</f>
        <v>37</v>
      </c>
      <c r="N8" s="19">
        <v>46001</v>
      </c>
      <c r="O8" s="21">
        <f t="shared" si="0"/>
        <v>46365</v>
      </c>
    </row>
    <row r="9" spans="1:338" ht="20.149999999999999" hidden="1" customHeight="1" x14ac:dyDescent="0.25">
      <c r="A9" s="22">
        <v>46027</v>
      </c>
      <c r="B9" s="22">
        <v>46028</v>
      </c>
      <c r="C9" s="23" t="s">
        <v>69</v>
      </c>
      <c r="D9" s="23">
        <v>4</v>
      </c>
      <c r="E9" s="23">
        <f t="shared" si="1"/>
        <v>780</v>
      </c>
      <c r="F9" s="38" t="s">
        <v>67</v>
      </c>
      <c r="G9" s="38" t="s">
        <v>55</v>
      </c>
      <c r="H9" s="25">
        <f>H8-E9</f>
        <v>23400</v>
      </c>
      <c r="I9" s="43" t="s">
        <v>25</v>
      </c>
      <c r="J9" s="25"/>
      <c r="K9" s="23">
        <v>260102002</v>
      </c>
      <c r="L9" s="23">
        <v>42</v>
      </c>
      <c r="M9" s="23">
        <f>L9-D9</f>
        <v>38</v>
      </c>
      <c r="N9" s="19">
        <v>46003</v>
      </c>
      <c r="O9" s="21">
        <f t="shared" si="0"/>
        <v>46367</v>
      </c>
    </row>
    <row r="10" spans="1:338" ht="20.149999999999999" hidden="1" customHeight="1" x14ac:dyDescent="0.25">
      <c r="A10" s="26">
        <v>46028</v>
      </c>
      <c r="B10" s="26">
        <v>46028</v>
      </c>
      <c r="C10" s="27" t="s">
        <v>39</v>
      </c>
      <c r="D10" s="27">
        <v>4</v>
      </c>
      <c r="E10" s="27">
        <f t="shared" si="1"/>
        <v>780</v>
      </c>
      <c r="F10" s="36" t="s">
        <v>29</v>
      </c>
      <c r="G10" s="36" t="s">
        <v>81</v>
      </c>
      <c r="H10" s="28">
        <f>88300-E10</f>
        <v>87520</v>
      </c>
      <c r="I10" s="28"/>
      <c r="J10" s="28"/>
      <c r="K10" s="27">
        <v>260105003</v>
      </c>
      <c r="L10" s="27"/>
      <c r="M10" s="27">
        <f>M6-D10</f>
        <v>3</v>
      </c>
      <c r="N10" s="19">
        <v>45966</v>
      </c>
      <c r="O10" s="21">
        <f t="shared" si="0"/>
        <v>46330</v>
      </c>
    </row>
    <row r="11" spans="1:338" ht="20.149999999999999" hidden="1" customHeight="1" x14ac:dyDescent="0.25">
      <c r="A11" s="29">
        <v>46028</v>
      </c>
      <c r="B11" s="29">
        <v>46045</v>
      </c>
      <c r="C11" s="30" t="s">
        <v>39</v>
      </c>
      <c r="D11" s="30">
        <v>3</v>
      </c>
      <c r="E11" s="30">
        <f t="shared" si="1"/>
        <v>585</v>
      </c>
      <c r="F11" s="37" t="s">
        <v>33</v>
      </c>
      <c r="G11" s="37" t="s">
        <v>35</v>
      </c>
      <c r="H11" s="32">
        <f>H4-E11</f>
        <v>11895</v>
      </c>
      <c r="I11" s="32"/>
      <c r="J11" s="32"/>
      <c r="K11" s="30">
        <v>260105004</v>
      </c>
      <c r="L11" s="30"/>
      <c r="M11" s="30">
        <f>M10-D11</f>
        <v>0</v>
      </c>
      <c r="N11" s="19">
        <v>45966</v>
      </c>
      <c r="O11" s="21">
        <f t="shared" si="0"/>
        <v>46330</v>
      </c>
    </row>
    <row r="12" spans="1:338" ht="20.149999999999999" hidden="1" customHeight="1" x14ac:dyDescent="0.25">
      <c r="A12" s="29">
        <v>46028</v>
      </c>
      <c r="B12" s="29">
        <v>46028</v>
      </c>
      <c r="C12" s="30" t="s">
        <v>42</v>
      </c>
      <c r="D12" s="30">
        <v>1</v>
      </c>
      <c r="E12" s="30">
        <f t="shared" si="1"/>
        <v>195</v>
      </c>
      <c r="F12" s="37" t="s">
        <v>33</v>
      </c>
      <c r="G12" s="37" t="s">
        <v>59</v>
      </c>
      <c r="H12" s="32">
        <f>H11-E12</f>
        <v>11700</v>
      </c>
      <c r="I12" s="32"/>
      <c r="J12" s="32"/>
      <c r="K12" s="30">
        <v>260105004</v>
      </c>
      <c r="L12" s="30"/>
      <c r="M12" s="30">
        <f>37-D12</f>
        <v>36</v>
      </c>
      <c r="N12" s="19">
        <v>45970</v>
      </c>
      <c r="O12" s="21">
        <f t="shared" si="0"/>
        <v>46334</v>
      </c>
    </row>
    <row r="13" spans="1:338" ht="20.149999999999999" hidden="1" customHeight="1" x14ac:dyDescent="0.2">
      <c r="A13" s="40">
        <v>46028</v>
      </c>
      <c r="B13" s="40">
        <v>46028</v>
      </c>
      <c r="C13" s="41" t="s">
        <v>79</v>
      </c>
      <c r="D13" s="60">
        <v>12</v>
      </c>
      <c r="E13" s="41">
        <f t="shared" si="1"/>
        <v>2340</v>
      </c>
      <c r="F13" s="60" t="s">
        <v>80</v>
      </c>
      <c r="G13" s="60" t="s">
        <v>34</v>
      </c>
      <c r="H13" s="42">
        <f>6240-E13</f>
        <v>3900</v>
      </c>
      <c r="I13" s="42"/>
      <c r="J13" s="42"/>
      <c r="K13" s="41">
        <v>260105005</v>
      </c>
      <c r="L13" s="41"/>
      <c r="M13" s="41">
        <f>M12-D13</f>
        <v>24</v>
      </c>
      <c r="N13" s="19">
        <v>45970</v>
      </c>
      <c r="O13" s="21">
        <f t="shared" si="0"/>
        <v>46334</v>
      </c>
    </row>
    <row r="14" spans="1:338" ht="20.149999999999999" hidden="1" customHeight="1" x14ac:dyDescent="0.25">
      <c r="A14" s="22">
        <v>46028</v>
      </c>
      <c r="B14" s="22">
        <v>46029</v>
      </c>
      <c r="C14" s="23" t="s">
        <v>42</v>
      </c>
      <c r="D14" s="23">
        <v>16</v>
      </c>
      <c r="E14" s="23">
        <f t="shared" ref="E14:E22" si="2">D14*195</f>
        <v>3120</v>
      </c>
      <c r="F14" s="38" t="s">
        <v>28</v>
      </c>
      <c r="G14" s="38" t="s">
        <v>40</v>
      </c>
      <c r="H14" s="25">
        <f>H5-E14</f>
        <v>17940</v>
      </c>
      <c r="I14" s="25"/>
      <c r="J14" s="25"/>
      <c r="K14" s="23">
        <v>260105006</v>
      </c>
      <c r="L14" s="23"/>
      <c r="M14" s="23">
        <f>M13-D14</f>
        <v>8</v>
      </c>
      <c r="N14" s="19">
        <v>45970</v>
      </c>
      <c r="O14" s="21">
        <f t="shared" si="0"/>
        <v>46334</v>
      </c>
    </row>
    <row r="15" spans="1:338" ht="20.149999999999999" hidden="1" customHeight="1" x14ac:dyDescent="0.25">
      <c r="A15" s="33">
        <v>46029</v>
      </c>
      <c r="B15" s="33">
        <v>46030</v>
      </c>
      <c r="C15" s="34" t="s">
        <v>42</v>
      </c>
      <c r="D15" s="34">
        <v>8</v>
      </c>
      <c r="E15" s="34">
        <f t="shared" si="2"/>
        <v>1560</v>
      </c>
      <c r="F15" s="39" t="s">
        <v>84</v>
      </c>
      <c r="G15" s="39" t="s">
        <v>36</v>
      </c>
      <c r="H15" s="35">
        <f>7800-E15</f>
        <v>6240</v>
      </c>
      <c r="I15" s="35"/>
      <c r="J15" s="35"/>
      <c r="K15" s="34">
        <v>260106001</v>
      </c>
      <c r="L15" s="34"/>
      <c r="M15" s="34">
        <f>M14-D15</f>
        <v>0</v>
      </c>
      <c r="N15" s="19">
        <v>45970</v>
      </c>
      <c r="O15" s="21">
        <f t="shared" si="0"/>
        <v>46334</v>
      </c>
    </row>
    <row r="16" spans="1:338" ht="20.149999999999999" hidden="1" customHeight="1" x14ac:dyDescent="0.25">
      <c r="A16" s="33">
        <v>46029</v>
      </c>
      <c r="B16" s="33">
        <v>46030</v>
      </c>
      <c r="C16" s="34" t="s">
        <v>43</v>
      </c>
      <c r="D16" s="34">
        <v>20</v>
      </c>
      <c r="E16" s="34">
        <f t="shared" si="2"/>
        <v>3900</v>
      </c>
      <c r="F16" s="39" t="s">
        <v>85</v>
      </c>
      <c r="G16" s="39" t="s">
        <v>36</v>
      </c>
      <c r="H16" s="35">
        <f>H15-E16</f>
        <v>2340</v>
      </c>
      <c r="I16" s="35"/>
      <c r="J16" s="35"/>
      <c r="K16" s="34">
        <v>260106001</v>
      </c>
      <c r="L16" s="34"/>
      <c r="M16" s="34">
        <f>37-D16</f>
        <v>17</v>
      </c>
      <c r="N16" s="19">
        <v>45972</v>
      </c>
      <c r="O16" s="21">
        <f t="shared" si="0"/>
        <v>46336</v>
      </c>
    </row>
    <row r="17" spans="1:15" ht="20.149999999999999" hidden="1" customHeight="1" x14ac:dyDescent="0.2">
      <c r="A17" s="40">
        <v>46029</v>
      </c>
      <c r="B17" s="40">
        <v>46030</v>
      </c>
      <c r="C17" s="41" t="s">
        <v>83</v>
      </c>
      <c r="D17" s="41">
        <v>17</v>
      </c>
      <c r="E17" s="41">
        <f t="shared" si="2"/>
        <v>3315</v>
      </c>
      <c r="F17" s="60" t="s">
        <v>30</v>
      </c>
      <c r="G17" s="60" t="s">
        <v>32</v>
      </c>
      <c r="H17" s="42">
        <f>8740-E17</f>
        <v>5425</v>
      </c>
      <c r="I17" s="42"/>
      <c r="J17" s="42"/>
      <c r="K17" s="41">
        <v>260106002</v>
      </c>
      <c r="L17" s="41"/>
      <c r="M17" s="41">
        <f>M16-D17</f>
        <v>0</v>
      </c>
      <c r="N17" s="19">
        <v>45972</v>
      </c>
      <c r="O17" s="21">
        <f t="shared" si="0"/>
        <v>46336</v>
      </c>
    </row>
    <row r="18" spans="1:15" ht="20.149999999999999" hidden="1" customHeight="1" x14ac:dyDescent="0.2">
      <c r="A18" s="40">
        <v>46029</v>
      </c>
      <c r="B18" s="40">
        <v>46030</v>
      </c>
      <c r="C18" s="41" t="s">
        <v>86</v>
      </c>
      <c r="D18" s="41">
        <v>3</v>
      </c>
      <c r="E18" s="41">
        <f t="shared" si="2"/>
        <v>585</v>
      </c>
      <c r="F18" s="60" t="s">
        <v>30</v>
      </c>
      <c r="G18" s="60" t="s">
        <v>32</v>
      </c>
      <c r="H18" s="42">
        <f>H17-E18</f>
        <v>4840</v>
      </c>
      <c r="I18" s="42"/>
      <c r="J18" s="42"/>
      <c r="K18" s="41">
        <v>260106002</v>
      </c>
      <c r="L18" s="41"/>
      <c r="M18" s="41">
        <f>37-D18</f>
        <v>34</v>
      </c>
      <c r="N18" s="19">
        <v>45974</v>
      </c>
      <c r="O18" s="21">
        <f t="shared" si="0"/>
        <v>46338</v>
      </c>
    </row>
    <row r="19" spans="1:15" ht="20.149999999999999" hidden="1" customHeight="1" x14ac:dyDescent="0.2">
      <c r="A19" s="29">
        <v>46029</v>
      </c>
      <c r="B19" s="29">
        <v>46030</v>
      </c>
      <c r="C19" s="30" t="s">
        <v>86</v>
      </c>
      <c r="D19" s="30">
        <v>12</v>
      </c>
      <c r="E19" s="30">
        <f t="shared" si="2"/>
        <v>2340</v>
      </c>
      <c r="F19" s="37" t="s">
        <v>31</v>
      </c>
      <c r="G19" s="37" t="s">
        <v>87</v>
      </c>
      <c r="H19" s="32">
        <f>50080-E19</f>
        <v>47740</v>
      </c>
      <c r="I19" s="32"/>
      <c r="J19" s="32"/>
      <c r="K19" s="30">
        <v>260106003</v>
      </c>
      <c r="L19" s="30"/>
      <c r="M19" s="30">
        <f>M18-D19</f>
        <v>22</v>
      </c>
      <c r="N19" s="19">
        <v>45974</v>
      </c>
      <c r="O19" s="21">
        <f t="shared" si="0"/>
        <v>46338</v>
      </c>
    </row>
    <row r="20" spans="1:15" ht="20.149999999999999" hidden="1" customHeight="1" x14ac:dyDescent="0.25">
      <c r="A20" s="26">
        <v>46030</v>
      </c>
      <c r="B20" s="26">
        <v>46031</v>
      </c>
      <c r="C20" s="27" t="s">
        <v>44</v>
      </c>
      <c r="D20" s="27">
        <v>12</v>
      </c>
      <c r="E20" s="27">
        <f t="shared" si="2"/>
        <v>2340</v>
      </c>
      <c r="F20" s="36" t="s">
        <v>65</v>
      </c>
      <c r="G20" s="36" t="s">
        <v>48</v>
      </c>
      <c r="H20" s="28">
        <f>H6-E20</f>
        <v>7020</v>
      </c>
      <c r="I20" s="28"/>
      <c r="J20" s="28"/>
      <c r="K20" s="27">
        <v>260107002</v>
      </c>
      <c r="L20" s="27"/>
      <c r="M20" s="27">
        <f>M19-D20</f>
        <v>10</v>
      </c>
      <c r="N20" s="19">
        <v>45974</v>
      </c>
      <c r="O20" s="21">
        <f t="shared" ref="O20:O25" si="3">DATE(YEAR(N20)+1,MONTH(N20),DAY(N20))-1</f>
        <v>46338</v>
      </c>
    </row>
    <row r="21" spans="1:15" ht="20.149999999999999" hidden="1" customHeight="1" x14ac:dyDescent="0.25">
      <c r="A21" s="40">
        <v>46030</v>
      </c>
      <c r="B21" s="40">
        <v>46031</v>
      </c>
      <c r="C21" s="41" t="s">
        <v>44</v>
      </c>
      <c r="D21" s="41">
        <v>10</v>
      </c>
      <c r="E21" s="41">
        <f t="shared" si="2"/>
        <v>1950</v>
      </c>
      <c r="F21" s="60" t="s">
        <v>91</v>
      </c>
      <c r="G21" s="60" t="s">
        <v>47</v>
      </c>
      <c r="H21" s="42">
        <f>H14-E21</f>
        <v>15990</v>
      </c>
      <c r="I21" s="42"/>
      <c r="J21" s="42"/>
      <c r="K21" s="41">
        <v>260107003</v>
      </c>
      <c r="L21" s="41"/>
      <c r="M21" s="41">
        <f>M20-D21</f>
        <v>0</v>
      </c>
      <c r="N21" s="19">
        <v>45974</v>
      </c>
      <c r="O21" s="21">
        <f t="shared" si="3"/>
        <v>46338</v>
      </c>
    </row>
    <row r="22" spans="1:15" ht="20.149999999999999" hidden="1" customHeight="1" x14ac:dyDescent="0.25">
      <c r="A22" s="40">
        <v>46030</v>
      </c>
      <c r="B22" s="40">
        <v>46031</v>
      </c>
      <c r="C22" s="41" t="s">
        <v>90</v>
      </c>
      <c r="D22" s="41">
        <v>6</v>
      </c>
      <c r="E22" s="41">
        <f t="shared" si="2"/>
        <v>1170</v>
      </c>
      <c r="F22" s="60" t="s">
        <v>92</v>
      </c>
      <c r="G22" s="60" t="s">
        <v>47</v>
      </c>
      <c r="H22" s="42">
        <f>H21-E22</f>
        <v>14820</v>
      </c>
      <c r="I22" s="42"/>
      <c r="J22" s="42"/>
      <c r="K22" s="41">
        <v>260107003</v>
      </c>
      <c r="L22" s="41"/>
      <c r="M22" s="41">
        <f>37-D22</f>
        <v>31</v>
      </c>
      <c r="N22" s="19">
        <v>45978</v>
      </c>
      <c r="O22" s="21">
        <f t="shared" si="3"/>
        <v>46342</v>
      </c>
    </row>
    <row r="23" spans="1:15" ht="20.149999999999999" hidden="1" customHeight="1" x14ac:dyDescent="0.25">
      <c r="A23" s="33">
        <v>46030</v>
      </c>
      <c r="B23" s="33">
        <v>46031</v>
      </c>
      <c r="C23" s="34" t="s">
        <v>94</v>
      </c>
      <c r="D23" s="34">
        <v>4</v>
      </c>
      <c r="E23" s="34">
        <f t="shared" ref="E23:E53" si="4">D23*195</f>
        <v>780</v>
      </c>
      <c r="F23" s="39" t="s">
        <v>93</v>
      </c>
      <c r="G23" s="39" t="s">
        <v>100</v>
      </c>
      <c r="H23" s="35">
        <f>H9-E23</f>
        <v>22620</v>
      </c>
      <c r="I23" s="63" t="s">
        <v>25</v>
      </c>
      <c r="J23" s="35"/>
      <c r="K23" s="34">
        <v>260107004</v>
      </c>
      <c r="L23" s="34">
        <v>6</v>
      </c>
      <c r="M23" s="34">
        <f>L23-D23</f>
        <v>2</v>
      </c>
      <c r="N23" s="19">
        <v>46009</v>
      </c>
      <c r="O23" s="21">
        <f t="shared" si="3"/>
        <v>46373</v>
      </c>
    </row>
    <row r="24" spans="1:15" ht="20.149999999999999" hidden="1" customHeight="1" x14ac:dyDescent="0.25">
      <c r="A24" s="33">
        <v>46030</v>
      </c>
      <c r="B24" s="33">
        <v>46031</v>
      </c>
      <c r="C24" s="34" t="s">
        <v>95</v>
      </c>
      <c r="D24" s="34">
        <v>4</v>
      </c>
      <c r="E24" s="34">
        <f t="shared" si="4"/>
        <v>780</v>
      </c>
      <c r="F24" s="39" t="s">
        <v>93</v>
      </c>
      <c r="G24" s="39" t="s">
        <v>55</v>
      </c>
      <c r="H24" s="35">
        <f>H23-E24</f>
        <v>21840</v>
      </c>
      <c r="I24" s="63" t="s">
        <v>25</v>
      </c>
      <c r="J24" s="35"/>
      <c r="K24" s="34">
        <v>260107004</v>
      </c>
      <c r="L24" s="34">
        <v>5</v>
      </c>
      <c r="M24" s="34">
        <f>L24-D24</f>
        <v>1</v>
      </c>
      <c r="N24" s="19">
        <v>46010</v>
      </c>
      <c r="O24" s="21">
        <f t="shared" si="3"/>
        <v>46374</v>
      </c>
    </row>
    <row r="25" spans="1:15" ht="20.149999999999999" hidden="1" customHeight="1" x14ac:dyDescent="0.25">
      <c r="A25" s="33">
        <v>46030</v>
      </c>
      <c r="B25" s="33">
        <v>46031</v>
      </c>
      <c r="C25" s="34" t="s">
        <v>96</v>
      </c>
      <c r="D25" s="34">
        <v>4</v>
      </c>
      <c r="E25" s="34">
        <f t="shared" si="4"/>
        <v>780</v>
      </c>
      <c r="F25" s="39" t="s">
        <v>93</v>
      </c>
      <c r="G25" s="39" t="s">
        <v>55</v>
      </c>
      <c r="H25" s="35">
        <f>H24-E25</f>
        <v>21060</v>
      </c>
      <c r="I25" s="63" t="s">
        <v>25</v>
      </c>
      <c r="J25" s="35"/>
      <c r="K25" s="34">
        <v>260107004</v>
      </c>
      <c r="L25" s="34">
        <v>5</v>
      </c>
      <c r="M25" s="34">
        <f>L25-D25</f>
        <v>1</v>
      </c>
      <c r="N25" s="19">
        <v>46011</v>
      </c>
      <c r="O25" s="21">
        <f t="shared" si="3"/>
        <v>46375</v>
      </c>
    </row>
    <row r="26" spans="1:15" ht="20.149999999999999" hidden="1" customHeight="1" x14ac:dyDescent="0.25">
      <c r="A26" s="22">
        <v>46031</v>
      </c>
      <c r="B26" s="22">
        <v>46031</v>
      </c>
      <c r="C26" s="23" t="s">
        <v>103</v>
      </c>
      <c r="D26" s="23">
        <v>4</v>
      </c>
      <c r="E26" s="23">
        <f t="shared" si="4"/>
        <v>780</v>
      </c>
      <c r="F26" s="38" t="s">
        <v>104</v>
      </c>
      <c r="G26" s="38" t="s">
        <v>81</v>
      </c>
      <c r="H26" s="25">
        <f>H10-E26</f>
        <v>86740</v>
      </c>
      <c r="I26" s="25"/>
      <c r="J26" s="25"/>
      <c r="K26" s="23">
        <v>260108002</v>
      </c>
      <c r="L26" s="23"/>
      <c r="M26" s="23">
        <f>M22-D26</f>
        <v>27</v>
      </c>
      <c r="N26" s="19">
        <v>45978</v>
      </c>
      <c r="O26" s="21">
        <f>DATE(YEAR(N26)+1,MONTH(N26),DAY(N26))-1</f>
        <v>46342</v>
      </c>
    </row>
    <row r="27" spans="1:15" ht="20.149999999999999" hidden="1" customHeight="1" x14ac:dyDescent="0.25">
      <c r="A27" s="26">
        <v>46031</v>
      </c>
      <c r="B27" s="26">
        <v>46031</v>
      </c>
      <c r="C27" s="27" t="s">
        <v>103</v>
      </c>
      <c r="D27" s="27">
        <v>8</v>
      </c>
      <c r="E27" s="27">
        <f t="shared" si="4"/>
        <v>1560</v>
      </c>
      <c r="F27" s="36" t="s">
        <v>27</v>
      </c>
      <c r="G27" s="36" t="s">
        <v>35</v>
      </c>
      <c r="H27" s="28">
        <f>H12-E27</f>
        <v>10140</v>
      </c>
      <c r="I27" s="28"/>
      <c r="J27" s="28"/>
      <c r="K27" s="27">
        <v>260108003</v>
      </c>
      <c r="L27" s="27"/>
      <c r="M27" s="27">
        <f>M26-D27</f>
        <v>19</v>
      </c>
      <c r="N27" s="19">
        <v>45978</v>
      </c>
      <c r="O27" s="21">
        <f>DATE(YEAR(N27)+1,MONTH(N27),DAY(N27))-1</f>
        <v>46342</v>
      </c>
    </row>
    <row r="28" spans="1:15" ht="20.149999999999999" hidden="1" customHeight="1" x14ac:dyDescent="0.2">
      <c r="A28" s="29">
        <v>46031</v>
      </c>
      <c r="B28" s="29">
        <v>46031</v>
      </c>
      <c r="C28" s="30" t="s">
        <v>103</v>
      </c>
      <c r="D28" s="30">
        <v>12</v>
      </c>
      <c r="E28" s="30">
        <f t="shared" si="4"/>
        <v>2340</v>
      </c>
      <c r="F28" s="37" t="s">
        <v>26</v>
      </c>
      <c r="G28" s="37" t="s">
        <v>34</v>
      </c>
      <c r="H28" s="32">
        <f>H13-E28</f>
        <v>1560</v>
      </c>
      <c r="I28" s="32"/>
      <c r="J28" s="32"/>
      <c r="K28" s="30">
        <v>260108004</v>
      </c>
      <c r="L28" s="30"/>
      <c r="M28" s="30">
        <f>M27-D28</f>
        <v>7</v>
      </c>
      <c r="N28" s="19">
        <v>45978</v>
      </c>
      <c r="O28" s="21">
        <f>DATE(YEAR(N28)+1,MONTH(N28),DAY(N28))-1</f>
        <v>46342</v>
      </c>
    </row>
    <row r="29" spans="1:15" ht="20.149999999999999" hidden="1" customHeight="1" x14ac:dyDescent="0.25">
      <c r="A29" s="40">
        <v>46034</v>
      </c>
      <c r="B29" s="40">
        <v>46035</v>
      </c>
      <c r="C29" s="79" t="s">
        <v>106</v>
      </c>
      <c r="D29" s="79">
        <v>12</v>
      </c>
      <c r="E29" s="79">
        <f t="shared" si="4"/>
        <v>2340</v>
      </c>
      <c r="F29" s="80" t="s">
        <v>124</v>
      </c>
      <c r="G29" s="60"/>
      <c r="H29" s="42"/>
      <c r="I29" s="42"/>
      <c r="J29" s="42"/>
      <c r="K29" s="41">
        <v>260109001</v>
      </c>
      <c r="L29" s="41"/>
      <c r="M29" s="41"/>
    </row>
    <row r="30" spans="1:15" ht="20.149999999999999" hidden="1" customHeight="1" x14ac:dyDescent="0.25">
      <c r="A30" s="22">
        <v>46034</v>
      </c>
      <c r="B30" s="22">
        <v>46035</v>
      </c>
      <c r="C30" s="77" t="s">
        <v>106</v>
      </c>
      <c r="D30" s="77">
        <v>12</v>
      </c>
      <c r="E30" s="77">
        <f t="shared" si="4"/>
        <v>2340</v>
      </c>
      <c r="F30" s="78" t="s">
        <v>20</v>
      </c>
      <c r="G30" s="38"/>
      <c r="H30" s="25"/>
      <c r="I30" s="25"/>
      <c r="J30" s="25"/>
      <c r="K30" s="23">
        <v>260109002</v>
      </c>
      <c r="L30" s="23"/>
      <c r="M30" s="23"/>
    </row>
    <row r="31" spans="1:15" ht="20.149999999999999" hidden="1" customHeight="1" x14ac:dyDescent="0.25">
      <c r="A31" s="26">
        <v>46034</v>
      </c>
      <c r="B31" s="26">
        <v>46035</v>
      </c>
      <c r="C31" s="27" t="s">
        <v>107</v>
      </c>
      <c r="D31" s="27">
        <v>4</v>
      </c>
      <c r="E31" s="27">
        <f t="shared" si="4"/>
        <v>780</v>
      </c>
      <c r="F31" s="36" t="s">
        <v>93</v>
      </c>
      <c r="G31" s="36" t="s">
        <v>55</v>
      </c>
      <c r="H31" s="28">
        <f>H25-E31</f>
        <v>20280</v>
      </c>
      <c r="I31" s="61" t="s">
        <v>25</v>
      </c>
      <c r="J31" s="28"/>
      <c r="K31" s="27">
        <v>260109006</v>
      </c>
      <c r="L31" s="27">
        <v>41</v>
      </c>
      <c r="M31" s="27">
        <f>L31-D31</f>
        <v>37</v>
      </c>
      <c r="N31" s="19">
        <v>46013</v>
      </c>
      <c r="O31" s="21">
        <f>DATE(YEAR(N31)+1,MONTH(N31),DAY(N31))-1</f>
        <v>46377</v>
      </c>
    </row>
    <row r="32" spans="1:15" ht="20.149999999999999" hidden="1" customHeight="1" x14ac:dyDescent="0.25">
      <c r="A32" s="26">
        <v>46034</v>
      </c>
      <c r="B32" s="26">
        <v>46035</v>
      </c>
      <c r="C32" s="27" t="s">
        <v>108</v>
      </c>
      <c r="D32" s="27">
        <v>4</v>
      </c>
      <c r="E32" s="27">
        <f t="shared" si="4"/>
        <v>780</v>
      </c>
      <c r="F32" s="36" t="s">
        <v>93</v>
      </c>
      <c r="G32" s="36" t="s">
        <v>55</v>
      </c>
      <c r="H32" s="28">
        <f>H31-E32</f>
        <v>19500</v>
      </c>
      <c r="I32" s="61" t="s">
        <v>25</v>
      </c>
      <c r="J32" s="28"/>
      <c r="K32" s="27">
        <v>260109006</v>
      </c>
      <c r="L32" s="27">
        <v>41</v>
      </c>
      <c r="M32" s="27">
        <f>L32-D32</f>
        <v>37</v>
      </c>
      <c r="N32" s="19">
        <v>46015</v>
      </c>
      <c r="O32" s="21">
        <f>DATE(YEAR(N32)+1,MONTH(N32),DAY(N32))-1</f>
        <v>46379</v>
      </c>
    </row>
    <row r="33" spans="1:15" ht="20.149999999999999" hidden="1" customHeight="1" x14ac:dyDescent="0.25">
      <c r="A33" s="26">
        <v>46034</v>
      </c>
      <c r="B33" s="26">
        <v>46035</v>
      </c>
      <c r="C33" s="27" t="s">
        <v>109</v>
      </c>
      <c r="D33" s="27">
        <v>4</v>
      </c>
      <c r="E33" s="27">
        <f t="shared" si="4"/>
        <v>780</v>
      </c>
      <c r="F33" s="36" t="s">
        <v>93</v>
      </c>
      <c r="G33" s="36" t="s">
        <v>55</v>
      </c>
      <c r="H33" s="28">
        <f>H32-E33</f>
        <v>18720</v>
      </c>
      <c r="I33" s="61" t="s">
        <v>25</v>
      </c>
      <c r="J33" s="28"/>
      <c r="K33" s="27">
        <v>260109006</v>
      </c>
      <c r="L33" s="27">
        <v>42</v>
      </c>
      <c r="M33" s="27">
        <f>L33-D33</f>
        <v>38</v>
      </c>
      <c r="N33" s="19">
        <v>46016</v>
      </c>
      <c r="O33" s="21">
        <f>DATE(YEAR(N33)+1,MONTH(N33),DAY(N33))-1</f>
        <v>46380</v>
      </c>
    </row>
    <row r="34" spans="1:15" ht="20.149999999999999" hidden="1" customHeight="1" x14ac:dyDescent="0.2">
      <c r="A34" s="29">
        <v>46034</v>
      </c>
      <c r="B34" s="29">
        <v>46035</v>
      </c>
      <c r="C34" s="30" t="s">
        <v>90</v>
      </c>
      <c r="D34" s="30">
        <v>7</v>
      </c>
      <c r="E34" s="30">
        <f t="shared" si="4"/>
        <v>1365</v>
      </c>
      <c r="F34" s="37" t="s">
        <v>30</v>
      </c>
      <c r="G34" s="37" t="s">
        <v>487</v>
      </c>
      <c r="H34" s="32">
        <f>H18-E34</f>
        <v>3475</v>
      </c>
      <c r="I34" s="70"/>
      <c r="J34" s="32"/>
      <c r="K34" s="30">
        <v>260109007</v>
      </c>
      <c r="L34" s="30"/>
      <c r="M34" s="30">
        <f>M28-D34</f>
        <v>0</v>
      </c>
      <c r="N34" s="19">
        <v>45978</v>
      </c>
      <c r="O34" s="21">
        <f>DATE(YEAR(N34)+1,MONTH(N34),DAY(N34))-1</f>
        <v>46342</v>
      </c>
    </row>
    <row r="35" spans="1:15" ht="20.149999999999999" hidden="1" customHeight="1" x14ac:dyDescent="0.2">
      <c r="A35" s="29">
        <v>46034</v>
      </c>
      <c r="B35" s="29">
        <v>46035</v>
      </c>
      <c r="C35" s="30" t="s">
        <v>106</v>
      </c>
      <c r="D35" s="30">
        <v>1</v>
      </c>
      <c r="E35" s="30">
        <f t="shared" si="4"/>
        <v>195</v>
      </c>
      <c r="F35" s="37" t="s">
        <v>30</v>
      </c>
      <c r="G35" s="37" t="s">
        <v>32</v>
      </c>
      <c r="H35" s="32">
        <f>H34-E35</f>
        <v>3280</v>
      </c>
      <c r="I35" s="32"/>
      <c r="J35" s="32"/>
      <c r="K35" s="30">
        <v>260109007</v>
      </c>
      <c r="L35" s="30"/>
      <c r="M35" s="30">
        <f>37-D35</f>
        <v>36</v>
      </c>
      <c r="N35" s="19">
        <v>45980</v>
      </c>
      <c r="O35" s="21">
        <f>DATE(YEAR(N35)+1,MONTH(N35),DAY(N35))-1</f>
        <v>46344</v>
      </c>
    </row>
    <row r="36" spans="1:15" ht="20.149999999999999" hidden="1" customHeight="1" x14ac:dyDescent="0.2">
      <c r="A36" s="33">
        <v>46034</v>
      </c>
      <c r="B36" s="33">
        <v>46035</v>
      </c>
      <c r="C36" s="82" t="s">
        <v>106</v>
      </c>
      <c r="D36" s="82">
        <v>8</v>
      </c>
      <c r="E36" s="82">
        <f t="shared" si="4"/>
        <v>1560</v>
      </c>
      <c r="F36" s="83" t="s">
        <v>31</v>
      </c>
      <c r="G36" s="39"/>
      <c r="H36" s="35"/>
      <c r="I36" s="35"/>
      <c r="J36" s="35"/>
      <c r="K36" s="34">
        <v>260108008</v>
      </c>
      <c r="L36" s="34"/>
      <c r="M36" s="34"/>
    </row>
    <row r="37" spans="1:15" ht="20.149999999999999" hidden="1" customHeight="1" x14ac:dyDescent="0.25">
      <c r="A37" s="71">
        <v>46034</v>
      </c>
      <c r="B37" s="71">
        <v>46035</v>
      </c>
      <c r="C37" s="72" t="s">
        <v>112</v>
      </c>
      <c r="D37" s="72">
        <v>8</v>
      </c>
      <c r="E37" s="72">
        <f>D37*195</f>
        <v>1560</v>
      </c>
      <c r="F37" s="73" t="s">
        <v>113</v>
      </c>
      <c r="G37" s="72" t="s">
        <v>115</v>
      </c>
      <c r="H37" s="74">
        <f>23400-E37</f>
        <v>21840</v>
      </c>
      <c r="I37" s="74"/>
      <c r="J37" s="74"/>
      <c r="K37" s="72">
        <v>260109009</v>
      </c>
      <c r="L37" s="72"/>
      <c r="M37" s="72">
        <f>M40-D37</f>
        <v>21</v>
      </c>
      <c r="N37" s="19">
        <v>45984</v>
      </c>
      <c r="O37" s="21">
        <f t="shared" ref="O37:O46" si="5">DATE(YEAR(N37)+1,MONTH(N37),DAY(N37))-1</f>
        <v>46348</v>
      </c>
    </row>
    <row r="38" spans="1:15" ht="20.149999999999999" hidden="1" customHeight="1" x14ac:dyDescent="0.25">
      <c r="A38" s="40">
        <v>46035</v>
      </c>
      <c r="B38" s="40">
        <v>46035</v>
      </c>
      <c r="C38" s="41" t="s">
        <v>121</v>
      </c>
      <c r="D38" s="41">
        <v>12</v>
      </c>
      <c r="E38" s="41">
        <f>D38*195</f>
        <v>2340</v>
      </c>
      <c r="F38" s="60" t="s">
        <v>122</v>
      </c>
      <c r="G38" s="60" t="s">
        <v>48</v>
      </c>
      <c r="H38" s="42">
        <f>H20-E38</f>
        <v>4680</v>
      </c>
      <c r="I38" s="42"/>
      <c r="J38" s="42"/>
      <c r="K38" s="41">
        <v>260112013</v>
      </c>
      <c r="L38" s="41"/>
      <c r="M38" s="41">
        <f>37-D38</f>
        <v>25</v>
      </c>
      <c r="N38" s="19">
        <v>45988</v>
      </c>
      <c r="O38" s="21">
        <f t="shared" si="5"/>
        <v>46352</v>
      </c>
    </row>
    <row r="39" spans="1:15" ht="20.149999999999999" hidden="1" customHeight="1" x14ac:dyDescent="0.25">
      <c r="A39" s="22">
        <v>46035</v>
      </c>
      <c r="B39" s="22">
        <v>46035</v>
      </c>
      <c r="C39" s="23" t="s">
        <v>123</v>
      </c>
      <c r="D39" s="23">
        <v>12</v>
      </c>
      <c r="E39" s="23">
        <f>D39*195</f>
        <v>2340</v>
      </c>
      <c r="F39" s="38" t="s">
        <v>110</v>
      </c>
      <c r="G39" s="38" t="s">
        <v>111</v>
      </c>
      <c r="H39" s="25">
        <f>20280-E39</f>
        <v>17940</v>
      </c>
      <c r="I39" s="25"/>
      <c r="J39" s="25"/>
      <c r="K39" s="23">
        <v>260112014</v>
      </c>
      <c r="L39" s="23"/>
      <c r="M39" s="23">
        <f>M38-D39</f>
        <v>13</v>
      </c>
      <c r="N39" s="19">
        <v>45988</v>
      </c>
      <c r="O39" s="21">
        <f t="shared" si="5"/>
        <v>46352</v>
      </c>
    </row>
    <row r="40" spans="1:15" ht="20.149999999999999" hidden="1" customHeight="1" x14ac:dyDescent="0.2">
      <c r="A40" s="33">
        <v>46035</v>
      </c>
      <c r="B40" s="33">
        <v>46035</v>
      </c>
      <c r="C40" s="34" t="s">
        <v>112</v>
      </c>
      <c r="D40" s="34">
        <v>8</v>
      </c>
      <c r="E40" s="34">
        <f>D40*195</f>
        <v>1560</v>
      </c>
      <c r="F40" s="39" t="s">
        <v>31</v>
      </c>
      <c r="G40" s="39" t="s">
        <v>87</v>
      </c>
      <c r="H40" s="35">
        <f>H19-E40</f>
        <v>46180</v>
      </c>
      <c r="I40" s="35"/>
      <c r="J40" s="35"/>
      <c r="K40" s="34">
        <v>260112015</v>
      </c>
      <c r="L40" s="34"/>
      <c r="M40" s="34">
        <f>37-D40</f>
        <v>29</v>
      </c>
      <c r="N40" s="19">
        <v>45984</v>
      </c>
      <c r="O40" s="21">
        <f t="shared" si="5"/>
        <v>46348</v>
      </c>
    </row>
    <row r="41" spans="1:15" ht="20.149999999999999" hidden="1" customHeight="1" x14ac:dyDescent="0.25">
      <c r="A41" s="26">
        <v>46035</v>
      </c>
      <c r="B41" s="26">
        <v>46035</v>
      </c>
      <c r="C41" s="27" t="s">
        <v>112</v>
      </c>
      <c r="D41" s="27">
        <v>8</v>
      </c>
      <c r="E41" s="27">
        <f t="shared" si="4"/>
        <v>1560</v>
      </c>
      <c r="F41" s="36" t="s">
        <v>29</v>
      </c>
      <c r="G41" s="36" t="s">
        <v>81</v>
      </c>
      <c r="H41" s="28">
        <f>H26-E41</f>
        <v>85180</v>
      </c>
      <c r="I41" s="28"/>
      <c r="J41" s="28"/>
      <c r="K41" s="27">
        <v>260112002</v>
      </c>
      <c r="L41" s="27"/>
      <c r="M41" s="27">
        <f>M37-D41</f>
        <v>13</v>
      </c>
      <c r="N41" s="19">
        <v>45984</v>
      </c>
      <c r="O41" s="21">
        <f t="shared" si="5"/>
        <v>46348</v>
      </c>
    </row>
    <row r="42" spans="1:15" ht="20.149999999999999" hidden="1" customHeight="1" x14ac:dyDescent="0.25">
      <c r="A42" s="40">
        <v>46035</v>
      </c>
      <c r="B42" s="40">
        <v>46035</v>
      </c>
      <c r="C42" s="41" t="s">
        <v>112</v>
      </c>
      <c r="D42" s="41">
        <v>5</v>
      </c>
      <c r="E42" s="41">
        <f t="shared" si="4"/>
        <v>975</v>
      </c>
      <c r="F42" s="60" t="s">
        <v>27</v>
      </c>
      <c r="G42" s="60" t="s">
        <v>35</v>
      </c>
      <c r="H42" s="42">
        <f>H27-E42</f>
        <v>9165</v>
      </c>
      <c r="I42" s="42"/>
      <c r="J42" s="42"/>
      <c r="K42" s="41">
        <v>260112003</v>
      </c>
      <c r="L42" s="41"/>
      <c r="M42" s="41">
        <f>M41-D42</f>
        <v>8</v>
      </c>
      <c r="N42" s="19">
        <v>45984</v>
      </c>
      <c r="O42" s="21">
        <f t="shared" si="5"/>
        <v>46348</v>
      </c>
    </row>
    <row r="43" spans="1:15" ht="20.149999999999999" hidden="1" customHeight="1" x14ac:dyDescent="0.25">
      <c r="A43" s="40">
        <v>46035</v>
      </c>
      <c r="B43" s="40">
        <v>46035</v>
      </c>
      <c r="C43" s="41" t="s">
        <v>116</v>
      </c>
      <c r="D43" s="41">
        <v>7</v>
      </c>
      <c r="E43" s="41">
        <f t="shared" si="4"/>
        <v>1365</v>
      </c>
      <c r="F43" s="60" t="s">
        <v>27</v>
      </c>
      <c r="G43" s="60" t="s">
        <v>35</v>
      </c>
      <c r="H43" s="42">
        <f>H42-E43</f>
        <v>7800</v>
      </c>
      <c r="I43" s="42"/>
      <c r="J43" s="42"/>
      <c r="K43" s="41">
        <v>260112003</v>
      </c>
      <c r="L43" s="41"/>
      <c r="M43" s="41">
        <f>M39-D43</f>
        <v>6</v>
      </c>
      <c r="N43" s="19">
        <v>45988</v>
      </c>
      <c r="O43" s="21">
        <f t="shared" si="5"/>
        <v>46352</v>
      </c>
    </row>
    <row r="44" spans="1:15" ht="20.149999999999999" hidden="1" customHeight="1" x14ac:dyDescent="0.2">
      <c r="A44" s="22">
        <v>46035</v>
      </c>
      <c r="B44" s="22">
        <v>46035</v>
      </c>
      <c r="C44" s="23" t="s">
        <v>112</v>
      </c>
      <c r="D44" s="81">
        <v>8</v>
      </c>
      <c r="E44" s="23">
        <f t="shared" si="4"/>
        <v>1560</v>
      </c>
      <c r="F44" s="38" t="s">
        <v>26</v>
      </c>
      <c r="G44" s="38" t="s">
        <v>128</v>
      </c>
      <c r="H44" s="25">
        <f>H28-E44</f>
        <v>0</v>
      </c>
      <c r="I44" s="25"/>
      <c r="J44" s="25"/>
      <c r="K44" s="23">
        <v>260112004</v>
      </c>
      <c r="L44" s="23"/>
      <c r="M44" s="23">
        <f>M42-D44</f>
        <v>0</v>
      </c>
      <c r="N44" s="19">
        <v>45984</v>
      </c>
      <c r="O44" s="21">
        <f t="shared" si="5"/>
        <v>46348</v>
      </c>
    </row>
    <row r="45" spans="1:15" ht="20.149999999999999" hidden="1" customHeight="1" x14ac:dyDescent="0.2">
      <c r="A45" s="22">
        <v>46035</v>
      </c>
      <c r="B45" s="22">
        <v>46035</v>
      </c>
      <c r="C45" s="23" t="s">
        <v>118</v>
      </c>
      <c r="D45" s="23">
        <v>4</v>
      </c>
      <c r="E45" s="23">
        <f t="shared" si="4"/>
        <v>780</v>
      </c>
      <c r="F45" s="38" t="s">
        <v>26</v>
      </c>
      <c r="G45" s="75" t="s">
        <v>117</v>
      </c>
      <c r="H45" s="25">
        <f>31200-E45</f>
        <v>30420</v>
      </c>
      <c r="I45" s="25"/>
      <c r="J45" s="25"/>
      <c r="K45" s="23">
        <v>260112004</v>
      </c>
      <c r="L45" s="23"/>
      <c r="M45" s="23">
        <f>37-D45</f>
        <v>33</v>
      </c>
      <c r="N45" s="19">
        <v>45990</v>
      </c>
      <c r="O45" s="21">
        <f t="shared" si="5"/>
        <v>46354</v>
      </c>
    </row>
    <row r="46" spans="1:15" ht="20.149999999999999" hidden="1" customHeight="1" x14ac:dyDescent="0.25">
      <c r="A46" s="71">
        <v>46035</v>
      </c>
      <c r="B46" s="85">
        <v>46035</v>
      </c>
      <c r="C46" s="72" t="s">
        <v>120</v>
      </c>
      <c r="D46" s="81">
        <v>6</v>
      </c>
      <c r="E46" s="72">
        <f>D46*195</f>
        <v>1170</v>
      </c>
      <c r="F46" s="73" t="s">
        <v>28</v>
      </c>
      <c r="G46" s="73" t="s">
        <v>126</v>
      </c>
      <c r="H46" s="74">
        <f>H22-E46</f>
        <v>13650</v>
      </c>
      <c r="I46" s="74"/>
      <c r="J46" s="74"/>
      <c r="K46" s="72">
        <v>260112007</v>
      </c>
      <c r="L46" s="72"/>
      <c r="M46" s="72">
        <f>M43-D46</f>
        <v>0</v>
      </c>
      <c r="N46" s="19">
        <v>45988</v>
      </c>
      <c r="O46" s="21">
        <f t="shared" si="5"/>
        <v>46352</v>
      </c>
    </row>
    <row r="47" spans="1:15" ht="20.149999999999999" hidden="1" customHeight="1" x14ac:dyDescent="0.25">
      <c r="A47" s="71">
        <v>46035</v>
      </c>
      <c r="B47" s="85">
        <v>46035</v>
      </c>
      <c r="C47" s="81" t="s">
        <v>118</v>
      </c>
      <c r="D47" s="81">
        <v>6</v>
      </c>
      <c r="E47" s="72">
        <f>D47*195</f>
        <v>1170</v>
      </c>
      <c r="F47" s="73" t="s">
        <v>28</v>
      </c>
      <c r="G47" s="73" t="s">
        <v>126</v>
      </c>
      <c r="H47" s="74">
        <f>H46-E47</f>
        <v>12480</v>
      </c>
      <c r="I47" s="74"/>
      <c r="J47" s="74"/>
      <c r="K47" s="72">
        <v>260112007</v>
      </c>
      <c r="L47" s="72"/>
      <c r="M47" s="72">
        <f>M45-D47</f>
        <v>27</v>
      </c>
      <c r="N47" s="19">
        <v>45990</v>
      </c>
      <c r="O47" s="21">
        <f t="shared" ref="O47:O53" si="6">DATE(YEAR(N47)+1,MONTH(N47),DAY(N47))-1</f>
        <v>46354</v>
      </c>
    </row>
    <row r="48" spans="1:15" ht="20.149999999999999" hidden="1" customHeight="1" x14ac:dyDescent="0.25">
      <c r="A48" s="33">
        <v>46035</v>
      </c>
      <c r="B48" s="33">
        <v>46036</v>
      </c>
      <c r="C48" s="81" t="s">
        <v>118</v>
      </c>
      <c r="D48" s="81">
        <v>15</v>
      </c>
      <c r="E48" s="34">
        <f>D48*195</f>
        <v>2925</v>
      </c>
      <c r="F48" s="39" t="s">
        <v>113</v>
      </c>
      <c r="G48" s="34" t="s">
        <v>127</v>
      </c>
      <c r="H48" s="35">
        <f>H37-E48</f>
        <v>18915</v>
      </c>
      <c r="I48" s="35"/>
      <c r="J48" s="35"/>
      <c r="K48" s="34">
        <v>260112005</v>
      </c>
      <c r="L48" s="34"/>
      <c r="M48" s="34">
        <f>M47-D48</f>
        <v>12</v>
      </c>
      <c r="N48" s="19">
        <v>45990</v>
      </c>
      <c r="O48" s="21">
        <f t="shared" si="6"/>
        <v>46354</v>
      </c>
    </row>
    <row r="49" spans="1:15" ht="20.149999999999999" hidden="1" customHeight="1" x14ac:dyDescent="0.25">
      <c r="A49" s="33">
        <v>46035</v>
      </c>
      <c r="B49" s="33">
        <v>46036</v>
      </c>
      <c r="C49" s="81" t="s">
        <v>125</v>
      </c>
      <c r="D49" s="81">
        <v>1</v>
      </c>
      <c r="E49" s="34">
        <f>D49*195</f>
        <v>195</v>
      </c>
      <c r="F49" s="39" t="s">
        <v>113</v>
      </c>
      <c r="G49" s="34" t="s">
        <v>114</v>
      </c>
      <c r="H49" s="35">
        <f>H48-E49</f>
        <v>18720</v>
      </c>
      <c r="I49" s="35"/>
      <c r="J49" s="35"/>
      <c r="K49" s="34">
        <v>260112005</v>
      </c>
      <c r="L49" s="34"/>
      <c r="M49" s="34">
        <f>38-D49</f>
        <v>37</v>
      </c>
      <c r="N49" s="19">
        <v>45992</v>
      </c>
      <c r="O49" s="21">
        <f t="shared" si="6"/>
        <v>46356</v>
      </c>
    </row>
    <row r="50" spans="1:15" ht="20.149999999999999" hidden="1" customHeight="1" x14ac:dyDescent="0.2">
      <c r="A50" s="29">
        <v>46035</v>
      </c>
      <c r="B50" s="29">
        <v>46036</v>
      </c>
      <c r="C50" s="81" t="s">
        <v>118</v>
      </c>
      <c r="D50" s="81">
        <v>12</v>
      </c>
      <c r="E50" s="30">
        <f t="shared" si="4"/>
        <v>2340</v>
      </c>
      <c r="F50" s="37" t="s">
        <v>31</v>
      </c>
      <c r="G50" s="37" t="s">
        <v>87</v>
      </c>
      <c r="H50" s="32">
        <f>H40-E50</f>
        <v>43840</v>
      </c>
      <c r="I50" s="32"/>
      <c r="J50" s="32"/>
      <c r="K50" s="30">
        <v>260112006</v>
      </c>
      <c r="L50" s="30"/>
      <c r="M50" s="30">
        <f>M48-D50</f>
        <v>0</v>
      </c>
      <c r="N50" s="19">
        <v>45990</v>
      </c>
      <c r="O50" s="21">
        <f t="shared" si="6"/>
        <v>46354</v>
      </c>
    </row>
    <row r="51" spans="1:15" ht="20.149999999999999" hidden="1" customHeight="1" x14ac:dyDescent="0.25">
      <c r="A51" s="26">
        <v>46036</v>
      </c>
      <c r="B51" s="26">
        <v>46037</v>
      </c>
      <c r="C51" s="27" t="s">
        <v>69</v>
      </c>
      <c r="D51" s="27">
        <v>12</v>
      </c>
      <c r="E51" s="27">
        <f t="shared" si="4"/>
        <v>2340</v>
      </c>
      <c r="F51" s="36" t="s">
        <v>129</v>
      </c>
      <c r="G51" s="36" t="s">
        <v>36</v>
      </c>
      <c r="H51" s="28">
        <f>H16-E51</f>
        <v>0</v>
      </c>
      <c r="I51" s="28"/>
      <c r="J51" s="28"/>
      <c r="K51" s="27">
        <v>260113007</v>
      </c>
      <c r="L51" s="27"/>
      <c r="M51" s="27">
        <f>M9-D51</f>
        <v>26</v>
      </c>
      <c r="N51" s="19">
        <v>46003</v>
      </c>
      <c r="O51" s="21">
        <f t="shared" si="6"/>
        <v>46367</v>
      </c>
    </row>
    <row r="52" spans="1:15" ht="20.149999999999999" hidden="1" customHeight="1" x14ac:dyDescent="0.25">
      <c r="A52" s="26">
        <v>46036</v>
      </c>
      <c r="B52" s="26">
        <v>46037</v>
      </c>
      <c r="C52" s="27" t="s">
        <v>69</v>
      </c>
      <c r="D52" s="27">
        <v>10</v>
      </c>
      <c r="E52" s="27">
        <f t="shared" si="4"/>
        <v>1950</v>
      </c>
      <c r="F52" s="36" t="s">
        <v>129</v>
      </c>
      <c r="G52" s="84" t="s">
        <v>142</v>
      </c>
      <c r="H52" s="28">
        <f>31980-E52</f>
        <v>30030</v>
      </c>
      <c r="I52" s="28"/>
      <c r="J52" s="28"/>
      <c r="K52" s="27">
        <v>260113007</v>
      </c>
      <c r="L52" s="27"/>
      <c r="M52" s="27">
        <f>M51-D52</f>
        <v>16</v>
      </c>
      <c r="N52" s="19">
        <v>46003</v>
      </c>
      <c r="O52" s="21">
        <f t="shared" si="6"/>
        <v>46367</v>
      </c>
    </row>
    <row r="53" spans="1:15" ht="20.149999999999999" hidden="1" customHeight="1" x14ac:dyDescent="0.25">
      <c r="A53" s="26">
        <v>46036</v>
      </c>
      <c r="B53" s="26">
        <v>46037</v>
      </c>
      <c r="C53" s="27" t="s">
        <v>136</v>
      </c>
      <c r="D53" s="27">
        <v>2</v>
      </c>
      <c r="E53" s="27">
        <f t="shared" si="4"/>
        <v>390</v>
      </c>
      <c r="F53" s="36" t="s">
        <v>84</v>
      </c>
      <c r="G53" s="36" t="s">
        <v>130</v>
      </c>
      <c r="H53" s="28">
        <f>H52-E53</f>
        <v>29640</v>
      </c>
      <c r="I53" s="28"/>
      <c r="J53" s="28"/>
      <c r="K53" s="27">
        <v>260113007</v>
      </c>
      <c r="L53" s="27"/>
      <c r="M53" s="27">
        <f>M23-D53</f>
        <v>0</v>
      </c>
      <c r="N53" s="19">
        <v>46009</v>
      </c>
      <c r="O53" s="21">
        <f t="shared" si="6"/>
        <v>46373</v>
      </c>
    </row>
    <row r="54" spans="1:15" ht="20.149999999999999" hidden="1" customHeight="1" x14ac:dyDescent="0.25">
      <c r="A54" s="22">
        <v>46036</v>
      </c>
      <c r="B54" s="22">
        <v>46037</v>
      </c>
      <c r="C54" s="23" t="s">
        <v>69</v>
      </c>
      <c r="D54" s="23">
        <v>7</v>
      </c>
      <c r="E54" s="23">
        <f t="shared" ref="E54:E87" si="7">D54*195</f>
        <v>1365</v>
      </c>
      <c r="F54" s="38" t="s">
        <v>134</v>
      </c>
      <c r="G54" s="38" t="s">
        <v>40</v>
      </c>
      <c r="H54" s="25">
        <f>H47-E54</f>
        <v>11115</v>
      </c>
      <c r="I54" s="25"/>
      <c r="J54" s="25"/>
      <c r="K54" s="23">
        <v>260113010</v>
      </c>
      <c r="L54" s="23"/>
      <c r="M54" s="23">
        <f>M52-D54</f>
        <v>9</v>
      </c>
      <c r="N54" s="19">
        <v>46003</v>
      </c>
      <c r="O54" s="21">
        <f t="shared" ref="O54:O61" si="8">DATE(YEAR(N54)+1,MONTH(N54),DAY(N54))-1</f>
        <v>46367</v>
      </c>
    </row>
    <row r="55" spans="1:15" ht="20.149999999999999" hidden="1" customHeight="1" x14ac:dyDescent="0.25">
      <c r="A55" s="22">
        <v>46036</v>
      </c>
      <c r="B55" s="22">
        <v>46037</v>
      </c>
      <c r="C55" s="23" t="s">
        <v>137</v>
      </c>
      <c r="D55" s="23">
        <v>1</v>
      </c>
      <c r="E55" s="23">
        <f t="shared" si="7"/>
        <v>195</v>
      </c>
      <c r="F55" s="38" t="s">
        <v>134</v>
      </c>
      <c r="G55" s="38" t="s">
        <v>126</v>
      </c>
      <c r="H55" s="25">
        <f>H54-E55</f>
        <v>10920</v>
      </c>
      <c r="I55" s="25"/>
      <c r="J55" s="25"/>
      <c r="K55" s="23">
        <v>260113010</v>
      </c>
      <c r="L55" s="23"/>
      <c r="M55" s="23">
        <f>M24-D55</f>
        <v>0</v>
      </c>
      <c r="N55" s="19">
        <v>46010</v>
      </c>
      <c r="O55" s="21">
        <f t="shared" si="8"/>
        <v>46374</v>
      </c>
    </row>
    <row r="56" spans="1:15" ht="20.149999999999999" hidden="1" customHeight="1" x14ac:dyDescent="0.25">
      <c r="A56" s="29">
        <v>46036</v>
      </c>
      <c r="B56" s="87">
        <v>46036</v>
      </c>
      <c r="C56" s="30" t="s">
        <v>69</v>
      </c>
      <c r="D56" s="30">
        <v>3</v>
      </c>
      <c r="E56" s="30">
        <f t="shared" si="7"/>
        <v>585</v>
      </c>
      <c r="F56" s="37" t="s">
        <v>140</v>
      </c>
      <c r="G56" s="37" t="s">
        <v>141</v>
      </c>
      <c r="H56" s="32">
        <f>H39-E56</f>
        <v>17355</v>
      </c>
      <c r="I56" s="32"/>
      <c r="J56" s="32"/>
      <c r="K56" s="30">
        <v>260114001</v>
      </c>
      <c r="L56" s="30"/>
      <c r="M56" s="30">
        <f>M54-D56</f>
        <v>6</v>
      </c>
      <c r="N56" s="19">
        <v>46003</v>
      </c>
      <c r="O56" s="21">
        <f t="shared" si="8"/>
        <v>46367</v>
      </c>
    </row>
    <row r="57" spans="1:15" ht="20.149999999999999" hidden="1" customHeight="1" x14ac:dyDescent="0.25">
      <c r="A57" s="29">
        <v>46036</v>
      </c>
      <c r="B57" s="87">
        <v>46036</v>
      </c>
      <c r="C57" s="30" t="s">
        <v>138</v>
      </c>
      <c r="D57" s="30">
        <v>1</v>
      </c>
      <c r="E57" s="30">
        <f t="shared" si="7"/>
        <v>195</v>
      </c>
      <c r="F57" s="37" t="s">
        <v>140</v>
      </c>
      <c r="G57" s="37" t="s">
        <v>111</v>
      </c>
      <c r="H57" s="32">
        <f>H56-E57</f>
        <v>17160</v>
      </c>
      <c r="I57" s="32"/>
      <c r="J57" s="32"/>
      <c r="K57" s="30">
        <v>260114001</v>
      </c>
      <c r="L57" s="30"/>
      <c r="M57" s="30">
        <f>M25-D57</f>
        <v>0</v>
      </c>
      <c r="N57" s="19">
        <v>46011</v>
      </c>
      <c r="O57" s="21">
        <f t="shared" si="8"/>
        <v>46375</v>
      </c>
    </row>
    <row r="58" spans="1:15" ht="20.149999999999999" hidden="1" customHeight="1" x14ac:dyDescent="0.25">
      <c r="A58" s="29">
        <v>46036</v>
      </c>
      <c r="B58" s="87">
        <v>46036</v>
      </c>
      <c r="C58" s="30" t="s">
        <v>139</v>
      </c>
      <c r="D58" s="30">
        <v>12</v>
      </c>
      <c r="E58" s="30">
        <f t="shared" si="7"/>
        <v>2340</v>
      </c>
      <c r="F58" s="37" t="s">
        <v>140</v>
      </c>
      <c r="G58" s="37" t="s">
        <v>111</v>
      </c>
      <c r="H58" s="32">
        <f>H57-E58</f>
        <v>14820</v>
      </c>
      <c r="I58" s="32"/>
      <c r="J58" s="32"/>
      <c r="K58" s="30">
        <v>260114001</v>
      </c>
      <c r="L58" s="30"/>
      <c r="M58" s="30">
        <f>M31-D58</f>
        <v>25</v>
      </c>
      <c r="N58" s="19">
        <v>46013</v>
      </c>
      <c r="O58" s="21">
        <f t="shared" si="8"/>
        <v>46377</v>
      </c>
    </row>
    <row r="59" spans="1:15" ht="20.149999999999999" hidden="1" customHeight="1" x14ac:dyDescent="0.2">
      <c r="A59" s="40">
        <v>46036</v>
      </c>
      <c r="B59" s="86">
        <v>46037</v>
      </c>
      <c r="C59" s="41" t="s">
        <v>69</v>
      </c>
      <c r="D59" s="41">
        <v>2</v>
      </c>
      <c r="E59" s="41">
        <f t="shared" si="7"/>
        <v>390</v>
      </c>
      <c r="F59" s="60" t="s">
        <v>30</v>
      </c>
      <c r="G59" s="60" t="s">
        <v>32</v>
      </c>
      <c r="H59" s="42">
        <f>H35-E59</f>
        <v>2890</v>
      </c>
      <c r="I59" s="42"/>
      <c r="J59" s="42"/>
      <c r="K59" s="41">
        <v>260114002</v>
      </c>
      <c r="L59" s="41"/>
      <c r="M59" s="41">
        <f>M56-D59</f>
        <v>4</v>
      </c>
      <c r="N59" s="19">
        <v>46003</v>
      </c>
      <c r="O59" s="21">
        <f t="shared" si="8"/>
        <v>46367</v>
      </c>
    </row>
    <row r="60" spans="1:15" ht="20.149999999999999" hidden="1" customHeight="1" x14ac:dyDescent="0.2">
      <c r="A60" s="40">
        <v>46036</v>
      </c>
      <c r="B60" s="86">
        <v>46037</v>
      </c>
      <c r="C60" s="41" t="s">
        <v>139</v>
      </c>
      <c r="D60" s="41">
        <v>14</v>
      </c>
      <c r="E60" s="41">
        <f t="shared" si="7"/>
        <v>2730</v>
      </c>
      <c r="F60" s="60" t="s">
        <v>30</v>
      </c>
      <c r="G60" s="60" t="s">
        <v>32</v>
      </c>
      <c r="H60" s="42">
        <f>H59-E60</f>
        <v>160</v>
      </c>
      <c r="I60" s="42"/>
      <c r="J60" s="42"/>
      <c r="K60" s="41">
        <v>260114002</v>
      </c>
      <c r="L60" s="41"/>
      <c r="M60" s="41">
        <f>M58-D60</f>
        <v>11</v>
      </c>
      <c r="N60" s="19">
        <v>46013</v>
      </c>
      <c r="O60" s="21">
        <f t="shared" si="8"/>
        <v>46377</v>
      </c>
    </row>
    <row r="61" spans="1:15" ht="20.149999999999999" hidden="1" customHeight="1" x14ac:dyDescent="0.2">
      <c r="A61" s="40">
        <v>46036</v>
      </c>
      <c r="B61" s="86">
        <v>46037</v>
      </c>
      <c r="C61" s="41" t="s">
        <v>139</v>
      </c>
      <c r="D61" s="41">
        <v>4</v>
      </c>
      <c r="E61" s="41">
        <f t="shared" si="7"/>
        <v>780</v>
      </c>
      <c r="F61" s="60" t="s">
        <v>30</v>
      </c>
      <c r="G61" s="62" t="s">
        <v>199</v>
      </c>
      <c r="H61" s="42">
        <f>22620-E61</f>
        <v>21840</v>
      </c>
      <c r="I61" s="42"/>
      <c r="J61" s="42"/>
      <c r="K61" s="41">
        <v>260114002</v>
      </c>
      <c r="L61" s="41"/>
      <c r="M61" s="41">
        <f>M60-D61</f>
        <v>7</v>
      </c>
      <c r="N61" s="19">
        <v>46013</v>
      </c>
      <c r="O61" s="21">
        <f t="shared" si="8"/>
        <v>46377</v>
      </c>
    </row>
    <row r="62" spans="1:15" ht="20.149999999999999" hidden="1" customHeight="1" x14ac:dyDescent="0.25">
      <c r="A62" s="33">
        <v>46036</v>
      </c>
      <c r="B62" s="33">
        <v>46037</v>
      </c>
      <c r="C62" s="34" t="s">
        <v>131</v>
      </c>
      <c r="D62" s="34">
        <v>4</v>
      </c>
      <c r="E62" s="34">
        <f t="shared" si="7"/>
        <v>780</v>
      </c>
      <c r="F62" s="39" t="s">
        <v>135</v>
      </c>
      <c r="G62" s="39" t="s">
        <v>100</v>
      </c>
      <c r="H62" s="35">
        <f>H33-E62</f>
        <v>17940</v>
      </c>
      <c r="I62" s="63" t="s">
        <v>25</v>
      </c>
      <c r="J62" s="35"/>
      <c r="K62" s="34">
        <v>260113011</v>
      </c>
      <c r="L62" s="34">
        <v>41</v>
      </c>
      <c r="M62" s="34">
        <f>L62-D62</f>
        <v>37</v>
      </c>
      <c r="N62" s="19">
        <v>46017</v>
      </c>
      <c r="O62" s="21">
        <f t="shared" ref="O62:O74" si="9">DATE(YEAR(N62)+1,MONTH(N62),DAY(N62))-1</f>
        <v>46381</v>
      </c>
    </row>
    <row r="63" spans="1:15" ht="20.149999999999999" hidden="1" customHeight="1" x14ac:dyDescent="0.25">
      <c r="A63" s="33">
        <v>46036</v>
      </c>
      <c r="B63" s="33">
        <v>46037</v>
      </c>
      <c r="C63" s="34" t="s">
        <v>132</v>
      </c>
      <c r="D63" s="34">
        <v>4</v>
      </c>
      <c r="E63" s="34">
        <f t="shared" si="7"/>
        <v>780</v>
      </c>
      <c r="F63" s="39" t="s">
        <v>135</v>
      </c>
      <c r="G63" s="39" t="s">
        <v>55</v>
      </c>
      <c r="H63" s="35">
        <f>H62-E63</f>
        <v>17160</v>
      </c>
      <c r="I63" s="63" t="s">
        <v>25</v>
      </c>
      <c r="J63" s="35"/>
      <c r="K63" s="34">
        <v>260113011</v>
      </c>
      <c r="L63" s="34">
        <v>41</v>
      </c>
      <c r="M63" s="34">
        <f>L63-D63</f>
        <v>37</v>
      </c>
      <c r="N63" s="19">
        <v>46018</v>
      </c>
      <c r="O63" s="21">
        <f t="shared" si="9"/>
        <v>46382</v>
      </c>
    </row>
    <row r="64" spans="1:15" ht="20.149999999999999" hidden="1" customHeight="1" x14ac:dyDescent="0.25">
      <c r="A64" s="33">
        <v>46036</v>
      </c>
      <c r="B64" s="33">
        <v>46037</v>
      </c>
      <c r="C64" s="34" t="s">
        <v>133</v>
      </c>
      <c r="D64" s="34">
        <v>4</v>
      </c>
      <c r="E64" s="34">
        <f t="shared" si="7"/>
        <v>780</v>
      </c>
      <c r="F64" s="39" t="s">
        <v>135</v>
      </c>
      <c r="G64" s="39" t="s">
        <v>55</v>
      </c>
      <c r="H64" s="35">
        <f>H63-E64</f>
        <v>16380</v>
      </c>
      <c r="I64" s="63" t="s">
        <v>25</v>
      </c>
      <c r="J64" s="35"/>
      <c r="K64" s="34">
        <v>260113011</v>
      </c>
      <c r="L64" s="34">
        <v>42</v>
      </c>
      <c r="M64" s="34">
        <f>L64-D64</f>
        <v>38</v>
      </c>
      <c r="N64" s="19">
        <v>46020</v>
      </c>
      <c r="O64" s="21">
        <f t="shared" si="9"/>
        <v>46384</v>
      </c>
    </row>
    <row r="65" spans="1:15" ht="20.149999999999999" hidden="1" customHeight="1" x14ac:dyDescent="0.25">
      <c r="A65" s="26">
        <v>46037</v>
      </c>
      <c r="B65" s="26">
        <v>46038</v>
      </c>
      <c r="C65" s="27" t="s">
        <v>144</v>
      </c>
      <c r="D65" s="27">
        <v>3</v>
      </c>
      <c r="E65" s="27">
        <f t="shared" si="7"/>
        <v>585</v>
      </c>
      <c r="F65" s="36" t="s">
        <v>145</v>
      </c>
      <c r="G65" s="36" t="s">
        <v>48</v>
      </c>
      <c r="H65" s="28">
        <f>H38-E65</f>
        <v>4095</v>
      </c>
      <c r="I65" s="28"/>
      <c r="J65" s="28"/>
      <c r="K65" s="27">
        <v>260114005</v>
      </c>
      <c r="L65" s="27"/>
      <c r="M65" s="27">
        <f>M61-D65</f>
        <v>4</v>
      </c>
      <c r="N65" s="19">
        <v>46013</v>
      </c>
      <c r="O65" s="21">
        <f t="shared" si="9"/>
        <v>46377</v>
      </c>
    </row>
    <row r="66" spans="1:15" ht="20.149999999999999" hidden="1" customHeight="1" x14ac:dyDescent="0.25">
      <c r="A66" s="26">
        <v>46037</v>
      </c>
      <c r="B66" s="26">
        <v>46038</v>
      </c>
      <c r="C66" s="27" t="s">
        <v>108</v>
      </c>
      <c r="D66" s="27">
        <v>17</v>
      </c>
      <c r="E66" s="27">
        <f t="shared" si="7"/>
        <v>3315</v>
      </c>
      <c r="F66" s="36" t="s">
        <v>145</v>
      </c>
      <c r="G66" s="36" t="s">
        <v>48</v>
      </c>
      <c r="H66" s="28">
        <f>H65-E66</f>
        <v>780</v>
      </c>
      <c r="I66" s="28"/>
      <c r="J66" s="28"/>
      <c r="K66" s="27">
        <v>260114005</v>
      </c>
      <c r="L66" s="27"/>
      <c r="M66" s="27">
        <f>M32-D66</f>
        <v>20</v>
      </c>
      <c r="N66" s="19">
        <v>46015</v>
      </c>
      <c r="O66" s="21">
        <f t="shared" si="9"/>
        <v>46379</v>
      </c>
    </row>
    <row r="67" spans="1:15" ht="20.149999999999999" hidden="1" customHeight="1" x14ac:dyDescent="0.25">
      <c r="A67" s="33">
        <v>46037</v>
      </c>
      <c r="B67" s="33">
        <v>46038</v>
      </c>
      <c r="C67" s="34" t="s">
        <v>109</v>
      </c>
      <c r="D67" s="34">
        <v>4</v>
      </c>
      <c r="E67" s="34">
        <f t="shared" si="7"/>
        <v>780</v>
      </c>
      <c r="F67" s="39" t="s">
        <v>152</v>
      </c>
      <c r="G67" s="39" t="s">
        <v>111</v>
      </c>
      <c r="H67" s="35">
        <f>H58-E67</f>
        <v>14040</v>
      </c>
      <c r="I67" s="35"/>
      <c r="J67" s="35"/>
      <c r="K67" s="34">
        <v>260115001</v>
      </c>
      <c r="L67" s="34"/>
      <c r="M67" s="34">
        <f>M33-D67</f>
        <v>34</v>
      </c>
      <c r="N67" s="19">
        <v>46016</v>
      </c>
      <c r="O67" s="21">
        <f t="shared" si="9"/>
        <v>46380</v>
      </c>
    </row>
    <row r="68" spans="1:15" ht="20.149999999999999" hidden="1" customHeight="1" x14ac:dyDescent="0.25">
      <c r="A68" s="40">
        <v>46037</v>
      </c>
      <c r="B68" s="40">
        <v>46038</v>
      </c>
      <c r="C68" s="41" t="s">
        <v>108</v>
      </c>
      <c r="D68" s="41">
        <v>16</v>
      </c>
      <c r="E68" s="41">
        <f t="shared" si="7"/>
        <v>3120</v>
      </c>
      <c r="F68" s="60" t="s">
        <v>146</v>
      </c>
      <c r="G68" s="60" t="s">
        <v>40</v>
      </c>
      <c r="H68" s="42">
        <f>H55-E68</f>
        <v>7800</v>
      </c>
      <c r="I68" s="42"/>
      <c r="J68" s="42"/>
      <c r="K68" s="41">
        <v>260114006</v>
      </c>
      <c r="L68" s="41"/>
      <c r="M68" s="41">
        <f>M66-D68</f>
        <v>4</v>
      </c>
      <c r="N68" s="19">
        <v>46015</v>
      </c>
      <c r="O68" s="21">
        <f t="shared" si="9"/>
        <v>46379</v>
      </c>
    </row>
    <row r="69" spans="1:15" ht="20.149999999999999" hidden="1" customHeight="1" x14ac:dyDescent="0.3">
      <c r="A69" s="22">
        <v>46037</v>
      </c>
      <c r="B69" s="22">
        <v>46038</v>
      </c>
      <c r="C69" s="23" t="s">
        <v>108</v>
      </c>
      <c r="D69" s="23">
        <v>4</v>
      </c>
      <c r="E69" s="23">
        <f t="shared" si="7"/>
        <v>780</v>
      </c>
      <c r="F69" s="38" t="s">
        <v>147</v>
      </c>
      <c r="G69" s="23" t="s">
        <v>114</v>
      </c>
      <c r="H69" s="25">
        <f>H49-E69</f>
        <v>17940</v>
      </c>
      <c r="I69" s="25"/>
      <c r="J69" s="25"/>
      <c r="K69" s="23">
        <v>260114007</v>
      </c>
      <c r="L69" s="23"/>
      <c r="M69" s="23">
        <f>M68-D69</f>
        <v>0</v>
      </c>
      <c r="N69" s="19">
        <v>46015</v>
      </c>
      <c r="O69" s="21">
        <f t="shared" si="9"/>
        <v>46379</v>
      </c>
    </row>
    <row r="70" spans="1:15" ht="20.149999999999999" hidden="1" customHeight="1" x14ac:dyDescent="0.3">
      <c r="A70" s="22">
        <v>46037</v>
      </c>
      <c r="B70" s="22">
        <v>46038</v>
      </c>
      <c r="C70" s="23" t="s">
        <v>109</v>
      </c>
      <c r="D70" s="23">
        <v>4</v>
      </c>
      <c r="E70" s="23">
        <f t="shared" si="7"/>
        <v>780</v>
      </c>
      <c r="F70" s="38" t="s">
        <v>147</v>
      </c>
      <c r="G70" s="23" t="s">
        <v>114</v>
      </c>
      <c r="H70" s="25">
        <f>H69-E70</f>
        <v>17160</v>
      </c>
      <c r="I70" s="25"/>
      <c r="J70" s="25"/>
      <c r="K70" s="23">
        <v>260114007</v>
      </c>
      <c r="L70" s="23"/>
      <c r="M70" s="23">
        <f>M67-D70</f>
        <v>30</v>
      </c>
      <c r="N70" s="19">
        <v>46016</v>
      </c>
      <c r="O70" s="21">
        <f t="shared" si="9"/>
        <v>46380</v>
      </c>
    </row>
    <row r="71" spans="1:15" ht="20.149999999999999" hidden="1" customHeight="1" x14ac:dyDescent="0.3">
      <c r="A71" s="29">
        <v>46037</v>
      </c>
      <c r="B71" s="29">
        <v>46038</v>
      </c>
      <c r="C71" s="30" t="s">
        <v>149</v>
      </c>
      <c r="D71" s="30">
        <v>4</v>
      </c>
      <c r="E71" s="30">
        <f t="shared" si="7"/>
        <v>780</v>
      </c>
      <c r="F71" s="37" t="s">
        <v>148</v>
      </c>
      <c r="G71" s="37" t="s">
        <v>55</v>
      </c>
      <c r="H71" s="32">
        <f>H64-E71</f>
        <v>15600</v>
      </c>
      <c r="I71" s="70" t="s">
        <v>12</v>
      </c>
      <c r="J71" s="32"/>
      <c r="K71" s="30">
        <v>260114008</v>
      </c>
      <c r="L71" s="30">
        <v>41</v>
      </c>
      <c r="M71" s="30">
        <f>L71-D71</f>
        <v>37</v>
      </c>
      <c r="N71" s="19">
        <v>46022</v>
      </c>
      <c r="O71" s="21">
        <f t="shared" si="9"/>
        <v>46386</v>
      </c>
    </row>
    <row r="72" spans="1:15" ht="20.149999999999999" hidden="1" customHeight="1" x14ac:dyDescent="0.3">
      <c r="A72" s="29">
        <v>46037</v>
      </c>
      <c r="B72" s="29">
        <v>46038</v>
      </c>
      <c r="C72" s="30" t="s">
        <v>150</v>
      </c>
      <c r="D72" s="30">
        <v>4</v>
      </c>
      <c r="E72" s="30">
        <f t="shared" si="7"/>
        <v>780</v>
      </c>
      <c r="F72" s="37" t="s">
        <v>148</v>
      </c>
      <c r="G72" s="37" t="s">
        <v>55</v>
      </c>
      <c r="H72" s="32">
        <f>H71-E72</f>
        <v>14820</v>
      </c>
      <c r="I72" s="70" t="s">
        <v>12</v>
      </c>
      <c r="J72" s="32"/>
      <c r="K72" s="30">
        <v>260114008</v>
      </c>
      <c r="L72" s="30">
        <v>41</v>
      </c>
      <c r="M72" s="30">
        <f>L72-D72</f>
        <v>37</v>
      </c>
      <c r="N72" s="19">
        <v>46023</v>
      </c>
      <c r="O72" s="21">
        <f t="shared" si="9"/>
        <v>46387</v>
      </c>
    </row>
    <row r="73" spans="1:15" ht="20.149999999999999" hidden="1" customHeight="1" x14ac:dyDescent="0.25">
      <c r="A73" s="90">
        <v>46038</v>
      </c>
      <c r="B73" s="90">
        <v>46038</v>
      </c>
      <c r="C73" s="91" t="s">
        <v>109</v>
      </c>
      <c r="D73" s="91">
        <v>8</v>
      </c>
      <c r="E73" s="91">
        <f>D73*195</f>
        <v>1560</v>
      </c>
      <c r="F73" s="92" t="s">
        <v>91</v>
      </c>
      <c r="G73" s="92" t="s">
        <v>126</v>
      </c>
      <c r="H73" s="93">
        <f>H68-E73</f>
        <v>6240</v>
      </c>
      <c r="I73" s="93"/>
      <c r="J73" s="93"/>
      <c r="K73" s="91">
        <v>260115009</v>
      </c>
      <c r="L73" s="91"/>
      <c r="M73" s="91">
        <f>M70-D73</f>
        <v>22</v>
      </c>
      <c r="N73" s="19">
        <v>46016</v>
      </c>
      <c r="O73" s="21">
        <f t="shared" si="9"/>
        <v>46380</v>
      </c>
    </row>
    <row r="74" spans="1:15" ht="20.149999999999999" hidden="1" customHeight="1" x14ac:dyDescent="0.3">
      <c r="A74" s="94">
        <v>46038</v>
      </c>
      <c r="B74" s="94">
        <v>46038</v>
      </c>
      <c r="C74" s="95" t="s">
        <v>125</v>
      </c>
      <c r="D74" s="95">
        <v>12</v>
      </c>
      <c r="E74" s="95">
        <f t="shared" si="7"/>
        <v>2340</v>
      </c>
      <c r="F74" s="96" t="s">
        <v>147</v>
      </c>
      <c r="G74" s="95" t="s">
        <v>114</v>
      </c>
      <c r="H74" s="97">
        <f>H70-E74</f>
        <v>14820</v>
      </c>
      <c r="I74" s="98"/>
      <c r="J74" s="97"/>
      <c r="K74" s="95">
        <v>260115010</v>
      </c>
      <c r="L74" s="95"/>
      <c r="M74" s="95">
        <f>M49-D74</f>
        <v>25</v>
      </c>
      <c r="N74" s="19">
        <v>45992</v>
      </c>
      <c r="O74" s="21">
        <f t="shared" si="9"/>
        <v>46356</v>
      </c>
    </row>
    <row r="75" spans="1:15" ht="20.149999999999999" hidden="1" customHeight="1" x14ac:dyDescent="0.25">
      <c r="A75" s="33">
        <v>46038</v>
      </c>
      <c r="B75" s="33">
        <v>46038</v>
      </c>
      <c r="C75" s="34" t="s">
        <v>109</v>
      </c>
      <c r="D75" s="34">
        <v>4</v>
      </c>
      <c r="E75" s="34">
        <f t="shared" si="7"/>
        <v>780</v>
      </c>
      <c r="F75" s="39" t="s">
        <v>29</v>
      </c>
      <c r="G75" s="39" t="s">
        <v>158</v>
      </c>
      <c r="H75" s="35">
        <f>H41-E75</f>
        <v>84400</v>
      </c>
      <c r="I75" s="35"/>
      <c r="J75" s="35"/>
      <c r="K75" s="34">
        <v>260115003</v>
      </c>
      <c r="L75" s="34"/>
      <c r="M75" s="34">
        <f>M73-D75</f>
        <v>18</v>
      </c>
      <c r="N75" s="19">
        <v>46016</v>
      </c>
      <c r="O75" s="21">
        <f t="shared" ref="O75:O82" si="10">DATE(YEAR(N75)+1,MONTH(N75),DAY(N75))-1</f>
        <v>46380</v>
      </c>
    </row>
    <row r="76" spans="1:15" ht="20.149999999999999" hidden="1" customHeight="1" x14ac:dyDescent="0.25">
      <c r="A76" s="26">
        <v>46038</v>
      </c>
      <c r="B76" s="26">
        <v>46038</v>
      </c>
      <c r="C76" s="27" t="s">
        <v>109</v>
      </c>
      <c r="D76" s="27">
        <v>8</v>
      </c>
      <c r="E76" s="27">
        <f t="shared" si="7"/>
        <v>1560</v>
      </c>
      <c r="F76" s="36" t="s">
        <v>27</v>
      </c>
      <c r="G76" s="36" t="s">
        <v>160</v>
      </c>
      <c r="H76" s="28">
        <f>H43-E76</f>
        <v>6240</v>
      </c>
      <c r="I76" s="28"/>
      <c r="J76" s="28"/>
      <c r="K76" s="27">
        <v>260115004</v>
      </c>
      <c r="L76" s="27"/>
      <c r="M76" s="27">
        <f>M75-D76</f>
        <v>10</v>
      </c>
      <c r="N76" s="19">
        <v>46016</v>
      </c>
      <c r="O76" s="21">
        <f t="shared" si="10"/>
        <v>46380</v>
      </c>
    </row>
    <row r="77" spans="1:15" ht="20.149999999999999" hidden="1" customHeight="1" x14ac:dyDescent="0.25">
      <c r="A77" s="26">
        <v>46038</v>
      </c>
      <c r="B77" s="26">
        <v>46038</v>
      </c>
      <c r="C77" s="27" t="s">
        <v>131</v>
      </c>
      <c r="D77" s="27">
        <v>8</v>
      </c>
      <c r="E77" s="27">
        <f t="shared" si="7"/>
        <v>1560</v>
      </c>
      <c r="F77" s="36" t="s">
        <v>27</v>
      </c>
      <c r="G77" s="36" t="s">
        <v>35</v>
      </c>
      <c r="H77" s="28">
        <f>H76-E77</f>
        <v>4680</v>
      </c>
      <c r="I77" s="28"/>
      <c r="J77" s="28"/>
      <c r="K77" s="27">
        <v>260115004</v>
      </c>
      <c r="L77" s="27"/>
      <c r="M77" s="27">
        <f>M62-D77</f>
        <v>29</v>
      </c>
      <c r="N77" s="19">
        <v>46017</v>
      </c>
      <c r="O77" s="21">
        <f t="shared" si="10"/>
        <v>46381</v>
      </c>
    </row>
    <row r="78" spans="1:15" ht="20.149999999999999" hidden="1" customHeight="1" x14ac:dyDescent="0.2">
      <c r="A78" s="40">
        <v>46038</v>
      </c>
      <c r="B78" s="40">
        <v>46038</v>
      </c>
      <c r="C78" s="41" t="s">
        <v>154</v>
      </c>
      <c r="D78" s="41">
        <v>4</v>
      </c>
      <c r="E78" s="41">
        <f t="shared" si="7"/>
        <v>780</v>
      </c>
      <c r="F78" s="60" t="s">
        <v>26</v>
      </c>
      <c r="G78" s="60" t="s">
        <v>161</v>
      </c>
      <c r="H78" s="42">
        <f>H45-E78</f>
        <v>29640</v>
      </c>
      <c r="I78" s="42"/>
      <c r="J78" s="42"/>
      <c r="K78" s="41">
        <v>260115005</v>
      </c>
      <c r="L78" s="41"/>
      <c r="M78" s="41">
        <f>M59-D78</f>
        <v>0</v>
      </c>
      <c r="N78" s="19">
        <v>46003</v>
      </c>
      <c r="O78" s="21">
        <f t="shared" si="10"/>
        <v>46367</v>
      </c>
    </row>
    <row r="79" spans="1:15" ht="20.149999999999999" hidden="1" customHeight="1" x14ac:dyDescent="0.2">
      <c r="A79" s="40">
        <v>46038</v>
      </c>
      <c r="B79" s="40">
        <v>46038</v>
      </c>
      <c r="C79" s="41" t="s">
        <v>107</v>
      </c>
      <c r="D79" s="41">
        <v>4</v>
      </c>
      <c r="E79" s="41">
        <f t="shared" si="7"/>
        <v>780</v>
      </c>
      <c r="F79" s="60" t="s">
        <v>26</v>
      </c>
      <c r="G79" s="60" t="s">
        <v>117</v>
      </c>
      <c r="H79" s="42">
        <f>H78-E79</f>
        <v>28860</v>
      </c>
      <c r="I79" s="42"/>
      <c r="J79" s="42"/>
      <c r="K79" s="41">
        <v>260115005</v>
      </c>
      <c r="L79" s="41"/>
      <c r="M79" s="41">
        <f>M65-D79</f>
        <v>0</v>
      </c>
      <c r="N79" s="19">
        <v>46013</v>
      </c>
      <c r="O79" s="21">
        <f t="shared" si="10"/>
        <v>46377</v>
      </c>
    </row>
    <row r="80" spans="1:15" ht="20.149999999999999" hidden="1" customHeight="1" x14ac:dyDescent="0.2">
      <c r="A80" s="40">
        <v>46038</v>
      </c>
      <c r="B80" s="40">
        <v>46038</v>
      </c>
      <c r="C80" s="41" t="s">
        <v>157</v>
      </c>
      <c r="D80" s="41">
        <v>4</v>
      </c>
      <c r="E80" s="41">
        <f t="shared" si="7"/>
        <v>780</v>
      </c>
      <c r="F80" s="60" t="s">
        <v>26</v>
      </c>
      <c r="G80" s="60" t="s">
        <v>117</v>
      </c>
      <c r="H80" s="42">
        <f>H79-E80</f>
        <v>28080</v>
      </c>
      <c r="I80" s="42"/>
      <c r="J80" s="42"/>
      <c r="K80" s="41">
        <v>260115005</v>
      </c>
      <c r="L80" s="41"/>
      <c r="M80" s="41">
        <f>M63-D80</f>
        <v>33</v>
      </c>
      <c r="N80" s="19">
        <v>46018</v>
      </c>
      <c r="O80" s="21">
        <f t="shared" si="10"/>
        <v>46382</v>
      </c>
    </row>
    <row r="81" spans="1:15" ht="20.149999999999999" hidden="1" customHeight="1" x14ac:dyDescent="0.2">
      <c r="A81" s="99">
        <v>46038</v>
      </c>
      <c r="B81" s="99">
        <v>46039</v>
      </c>
      <c r="C81" s="100" t="s">
        <v>125</v>
      </c>
      <c r="D81" s="100">
        <v>8</v>
      </c>
      <c r="E81" s="100">
        <f t="shared" si="7"/>
        <v>1560</v>
      </c>
      <c r="F81" s="101" t="s">
        <v>30</v>
      </c>
      <c r="G81" s="101" t="s">
        <v>143</v>
      </c>
      <c r="H81" s="102">
        <f>H61-E81</f>
        <v>20280</v>
      </c>
      <c r="I81" s="102"/>
      <c r="J81" s="102"/>
      <c r="K81" s="100">
        <v>260116001</v>
      </c>
      <c r="L81" s="100"/>
      <c r="M81" s="100">
        <f>M74-D81</f>
        <v>17</v>
      </c>
      <c r="N81" s="19">
        <v>45992</v>
      </c>
      <c r="O81" s="21">
        <f t="shared" si="10"/>
        <v>46356</v>
      </c>
    </row>
    <row r="82" spans="1:15" ht="20.149999999999999" hidden="1" customHeight="1" x14ac:dyDescent="0.2">
      <c r="A82" s="103">
        <v>46038</v>
      </c>
      <c r="B82" s="103">
        <v>46039</v>
      </c>
      <c r="C82" s="104" t="s">
        <v>164</v>
      </c>
      <c r="D82" s="104">
        <v>12</v>
      </c>
      <c r="E82" s="104">
        <f t="shared" si="7"/>
        <v>2340</v>
      </c>
      <c r="F82" s="105" t="s">
        <v>31</v>
      </c>
      <c r="G82" s="105" t="s">
        <v>165</v>
      </c>
      <c r="H82" s="106">
        <f>H50-E82</f>
        <v>41500</v>
      </c>
      <c r="I82" s="106"/>
      <c r="J82" s="106"/>
      <c r="K82" s="104">
        <v>260116002</v>
      </c>
      <c r="L82" s="104"/>
      <c r="M82" s="104">
        <f>M7-D82</f>
        <v>26</v>
      </c>
      <c r="N82" s="19">
        <v>45997</v>
      </c>
      <c r="O82" s="21">
        <f t="shared" si="10"/>
        <v>46361</v>
      </c>
    </row>
    <row r="83" spans="1:15" ht="20.149999999999999" hidden="1" customHeight="1" x14ac:dyDescent="0.25">
      <c r="A83" s="29">
        <v>46038</v>
      </c>
      <c r="B83" s="29">
        <v>46041</v>
      </c>
      <c r="C83" s="30" t="s">
        <v>109</v>
      </c>
      <c r="D83" s="30">
        <v>8</v>
      </c>
      <c r="E83" s="30">
        <f t="shared" si="7"/>
        <v>1560</v>
      </c>
      <c r="F83" s="37" t="s">
        <v>152</v>
      </c>
      <c r="G83" s="37" t="s">
        <v>162</v>
      </c>
      <c r="H83" s="32">
        <f>H67-E83</f>
        <v>12480</v>
      </c>
      <c r="I83" s="32"/>
      <c r="J83" s="32"/>
      <c r="K83" s="30">
        <v>260115006</v>
      </c>
      <c r="L83" s="30"/>
      <c r="M83" s="30">
        <f>M76-D83</f>
        <v>2</v>
      </c>
      <c r="N83" s="19">
        <v>46016</v>
      </c>
      <c r="O83" s="21">
        <f t="shared" ref="O83:O91" si="11">DATE(YEAR(N83)+1,MONTH(N83),DAY(N83))-1</f>
        <v>46380</v>
      </c>
    </row>
    <row r="84" spans="1:15" ht="20.149999999999999" hidden="1" customHeight="1" x14ac:dyDescent="0.25">
      <c r="A84" s="22">
        <v>46038</v>
      </c>
      <c r="B84" s="22">
        <v>46041</v>
      </c>
      <c r="C84" s="23" t="s">
        <v>109</v>
      </c>
      <c r="D84" s="23">
        <v>2</v>
      </c>
      <c r="E84" s="23">
        <f t="shared" si="7"/>
        <v>390</v>
      </c>
      <c r="F84" s="38" t="s">
        <v>91</v>
      </c>
      <c r="G84" s="38" t="s">
        <v>163</v>
      </c>
      <c r="H84" s="25">
        <f>H73-E84</f>
        <v>5850</v>
      </c>
      <c r="I84" s="25"/>
      <c r="J84" s="25"/>
      <c r="K84" s="23">
        <v>260115007</v>
      </c>
      <c r="L84" s="23"/>
      <c r="M84" s="23">
        <f>M83-D84</f>
        <v>0</v>
      </c>
      <c r="N84" s="19">
        <v>46016</v>
      </c>
      <c r="O84" s="21">
        <f>DATE(YEAR(N84)+1,MONTH(N84),DAY(N84))-1</f>
        <v>46380</v>
      </c>
    </row>
    <row r="85" spans="1:15" ht="20.149999999999999" hidden="1" customHeight="1" x14ac:dyDescent="0.25">
      <c r="A85" s="22">
        <v>46038</v>
      </c>
      <c r="B85" s="22">
        <v>46041</v>
      </c>
      <c r="C85" s="23" t="s">
        <v>131</v>
      </c>
      <c r="D85" s="23">
        <v>10</v>
      </c>
      <c r="E85" s="23">
        <f t="shared" si="7"/>
        <v>1950</v>
      </c>
      <c r="F85" s="38" t="s">
        <v>91</v>
      </c>
      <c r="G85" s="38" t="s">
        <v>40</v>
      </c>
      <c r="H85" s="25">
        <f>H84-E85</f>
        <v>3900</v>
      </c>
      <c r="I85" s="25"/>
      <c r="J85" s="25"/>
      <c r="K85" s="23">
        <v>260115007</v>
      </c>
      <c r="L85" s="23"/>
      <c r="M85" s="23">
        <f>M77-D85</f>
        <v>19</v>
      </c>
      <c r="N85" s="19">
        <v>46017</v>
      </c>
      <c r="O85" s="21">
        <f t="shared" si="11"/>
        <v>46381</v>
      </c>
    </row>
    <row r="86" spans="1:15" ht="20.149999999999999" hidden="1" customHeight="1" x14ac:dyDescent="0.3">
      <c r="A86" s="71">
        <v>46038</v>
      </c>
      <c r="B86" s="71">
        <v>46041</v>
      </c>
      <c r="C86" s="72" t="s">
        <v>155</v>
      </c>
      <c r="D86" s="72">
        <v>4</v>
      </c>
      <c r="E86" s="72">
        <f t="shared" si="7"/>
        <v>780</v>
      </c>
      <c r="F86" s="73" t="s">
        <v>148</v>
      </c>
      <c r="G86" s="73" t="s">
        <v>100</v>
      </c>
      <c r="H86" s="74">
        <f>H72-E86</f>
        <v>14040</v>
      </c>
      <c r="I86" s="89" t="s">
        <v>12</v>
      </c>
      <c r="J86" s="74"/>
      <c r="K86" s="72">
        <v>260115008</v>
      </c>
      <c r="L86" s="72">
        <v>41</v>
      </c>
      <c r="M86" s="72">
        <f>L86-D86</f>
        <v>37</v>
      </c>
      <c r="N86" s="19">
        <v>46024</v>
      </c>
      <c r="O86" s="21">
        <f t="shared" si="11"/>
        <v>46388</v>
      </c>
    </row>
    <row r="87" spans="1:15" ht="20.149999999999999" hidden="1" customHeight="1" x14ac:dyDescent="0.3">
      <c r="A87" s="71">
        <v>46038</v>
      </c>
      <c r="B87" s="71">
        <v>46041</v>
      </c>
      <c r="C87" s="72" t="s">
        <v>156</v>
      </c>
      <c r="D87" s="72">
        <v>4</v>
      </c>
      <c r="E87" s="72">
        <f t="shared" si="7"/>
        <v>780</v>
      </c>
      <c r="F87" s="73" t="s">
        <v>148</v>
      </c>
      <c r="G87" s="73" t="s">
        <v>55</v>
      </c>
      <c r="H87" s="74">
        <f>H86-E87</f>
        <v>13260</v>
      </c>
      <c r="I87" s="89" t="s">
        <v>12</v>
      </c>
      <c r="J87" s="74"/>
      <c r="K87" s="72">
        <v>260115008</v>
      </c>
      <c r="L87" s="72">
        <v>42</v>
      </c>
      <c r="M87" s="72">
        <f>L87-D87</f>
        <v>38</v>
      </c>
      <c r="N87" s="19">
        <v>46025</v>
      </c>
      <c r="O87" s="21">
        <f t="shared" si="11"/>
        <v>46389</v>
      </c>
    </row>
    <row r="88" spans="1:15" ht="20.149999999999999" hidden="1" customHeight="1" x14ac:dyDescent="0.25">
      <c r="A88" s="40">
        <v>46041</v>
      </c>
      <c r="B88" s="40">
        <v>46042</v>
      </c>
      <c r="C88" s="41" t="s">
        <v>166</v>
      </c>
      <c r="D88" s="41">
        <v>4</v>
      </c>
      <c r="E88" s="41">
        <f t="shared" ref="E88:E134" si="12">D88*195</f>
        <v>780</v>
      </c>
      <c r="F88" s="60" t="s">
        <v>167</v>
      </c>
      <c r="G88" s="60" t="s">
        <v>48</v>
      </c>
      <c r="H88" s="42">
        <f>H66-E88</f>
        <v>0</v>
      </c>
      <c r="I88" s="42"/>
      <c r="J88" s="42"/>
      <c r="K88" s="41">
        <v>260116004</v>
      </c>
      <c r="L88" s="41"/>
      <c r="M88" s="41">
        <f>M81-D88</f>
        <v>13</v>
      </c>
      <c r="N88" s="19">
        <v>45992</v>
      </c>
      <c r="O88" s="21">
        <f t="shared" si="11"/>
        <v>46356</v>
      </c>
    </row>
    <row r="89" spans="1:15" ht="20.149999999999999" hidden="1" customHeight="1" x14ac:dyDescent="0.25">
      <c r="A89" s="40">
        <v>46041</v>
      </c>
      <c r="B89" s="40">
        <v>46042</v>
      </c>
      <c r="C89" s="41" t="s">
        <v>125</v>
      </c>
      <c r="D89" s="41">
        <v>4</v>
      </c>
      <c r="E89" s="41">
        <f t="shared" si="12"/>
        <v>780</v>
      </c>
      <c r="F89" s="60" t="s">
        <v>167</v>
      </c>
      <c r="G89" s="62" t="s">
        <v>169</v>
      </c>
      <c r="H89" s="42">
        <f>31200-E89</f>
        <v>30420</v>
      </c>
      <c r="I89" s="42"/>
      <c r="J89" s="42"/>
      <c r="K89" s="41">
        <v>260116004</v>
      </c>
      <c r="L89" s="41"/>
      <c r="M89" s="41">
        <f>M88-D89</f>
        <v>9</v>
      </c>
      <c r="N89" s="19">
        <v>45992</v>
      </c>
      <c r="O89" s="21">
        <f t="shared" si="11"/>
        <v>46356</v>
      </c>
    </row>
    <row r="90" spans="1:15" ht="20.149999999999999" hidden="1" customHeight="1" x14ac:dyDescent="0.25">
      <c r="A90" s="33">
        <v>46041</v>
      </c>
      <c r="B90" s="33">
        <v>46042</v>
      </c>
      <c r="C90" s="34" t="s">
        <v>125</v>
      </c>
      <c r="D90" s="34">
        <v>8</v>
      </c>
      <c r="E90" s="34">
        <f t="shared" si="12"/>
        <v>1560</v>
      </c>
      <c r="F90" s="39" t="s">
        <v>168</v>
      </c>
      <c r="G90" s="34" t="s">
        <v>114</v>
      </c>
      <c r="H90" s="35">
        <f>H74-E90</f>
        <v>13260</v>
      </c>
      <c r="I90" s="35"/>
      <c r="J90" s="35"/>
      <c r="K90" s="34">
        <v>260116005</v>
      </c>
      <c r="L90" s="34"/>
      <c r="M90" s="34">
        <f>M89-D90</f>
        <v>1</v>
      </c>
      <c r="N90" s="19">
        <v>45992</v>
      </c>
      <c r="O90" s="21">
        <f t="shared" si="11"/>
        <v>46356</v>
      </c>
    </row>
    <row r="91" spans="1:15" ht="20.149999999999999" hidden="1" customHeight="1" x14ac:dyDescent="0.25">
      <c r="A91" s="29">
        <v>46041</v>
      </c>
      <c r="B91" s="29">
        <v>46041</v>
      </c>
      <c r="C91" s="30" t="s">
        <v>66</v>
      </c>
      <c r="D91" s="30">
        <v>4</v>
      </c>
      <c r="E91" s="30">
        <f t="shared" si="12"/>
        <v>780</v>
      </c>
      <c r="F91" s="37" t="s">
        <v>29</v>
      </c>
      <c r="G91" s="37" t="s">
        <v>81</v>
      </c>
      <c r="H91" s="32">
        <f>H75-E91</f>
        <v>83620</v>
      </c>
      <c r="I91" s="32"/>
      <c r="J91" s="32"/>
      <c r="K91" s="30">
        <v>260119001</v>
      </c>
      <c r="L91" s="30"/>
      <c r="M91" s="30">
        <f>M82-D91</f>
        <v>22</v>
      </c>
      <c r="N91" s="19">
        <v>45997</v>
      </c>
      <c r="O91" s="21">
        <f t="shared" si="11"/>
        <v>46361</v>
      </c>
    </row>
    <row r="92" spans="1:15" ht="20.149999999999999" hidden="1" customHeight="1" x14ac:dyDescent="0.2">
      <c r="A92" s="26">
        <v>46041</v>
      </c>
      <c r="B92" s="26">
        <v>46041</v>
      </c>
      <c r="C92" s="27" t="s">
        <v>125</v>
      </c>
      <c r="D92" s="27">
        <v>1</v>
      </c>
      <c r="E92" s="27">
        <f t="shared" si="12"/>
        <v>195</v>
      </c>
      <c r="F92" s="36" t="s">
        <v>26</v>
      </c>
      <c r="G92" s="36" t="s">
        <v>117</v>
      </c>
      <c r="H92" s="28">
        <f>H80-E92</f>
        <v>27885</v>
      </c>
      <c r="I92" s="28"/>
      <c r="J92" s="28"/>
      <c r="K92" s="27">
        <v>260119002</v>
      </c>
      <c r="L92" s="27"/>
      <c r="M92" s="27">
        <f>M90-D92</f>
        <v>0</v>
      </c>
      <c r="N92" s="19">
        <v>45992</v>
      </c>
      <c r="O92" s="21">
        <f>DATE(YEAR(N92)+1,MONTH(N92),DAY(N92))-1</f>
        <v>46356</v>
      </c>
    </row>
    <row r="93" spans="1:15" ht="20.149999999999999" hidden="1" customHeight="1" x14ac:dyDescent="0.2">
      <c r="A93" s="26">
        <v>46041</v>
      </c>
      <c r="B93" s="26">
        <v>46041</v>
      </c>
      <c r="C93" s="27" t="s">
        <v>66</v>
      </c>
      <c r="D93" s="27">
        <v>11</v>
      </c>
      <c r="E93" s="27">
        <f t="shared" si="12"/>
        <v>2145</v>
      </c>
      <c r="F93" s="36" t="s">
        <v>26</v>
      </c>
      <c r="G93" s="36" t="s">
        <v>117</v>
      </c>
      <c r="H93" s="28">
        <f>H92-E93</f>
        <v>25740</v>
      </c>
      <c r="I93" s="28"/>
      <c r="J93" s="28"/>
      <c r="K93" s="27">
        <v>260119002</v>
      </c>
      <c r="L93" s="27"/>
      <c r="M93" s="27">
        <f>M91-D93</f>
        <v>11</v>
      </c>
      <c r="N93" s="19">
        <v>45997</v>
      </c>
      <c r="O93" s="21">
        <f>DATE(YEAR(N93)+1,MONTH(N93),DAY(N93))-1</f>
        <v>46361</v>
      </c>
    </row>
    <row r="94" spans="1:15" ht="20.149999999999999" hidden="1" customHeight="1" x14ac:dyDescent="0.25">
      <c r="A94" s="22">
        <v>46041</v>
      </c>
      <c r="B94" s="22">
        <v>46042</v>
      </c>
      <c r="C94" s="23" t="s">
        <v>66</v>
      </c>
      <c r="D94" s="23">
        <v>11</v>
      </c>
      <c r="E94" s="23">
        <f t="shared" si="12"/>
        <v>2145</v>
      </c>
      <c r="F94" s="38" t="s">
        <v>84</v>
      </c>
      <c r="G94" s="38" t="s">
        <v>130</v>
      </c>
      <c r="H94" s="25">
        <f>H53-E94</f>
        <v>27495</v>
      </c>
      <c r="I94" s="25"/>
      <c r="J94" s="25"/>
      <c r="K94" s="23">
        <v>260119003</v>
      </c>
      <c r="L94" s="23"/>
      <c r="M94" s="23">
        <f>M93-D94</f>
        <v>0</v>
      </c>
      <c r="N94" s="19">
        <v>45997</v>
      </c>
      <c r="O94" s="21">
        <f>DATE(YEAR(N94)+1,MONTH(N94),DAY(N94))-1</f>
        <v>46361</v>
      </c>
    </row>
    <row r="95" spans="1:15" ht="20.149999999999999" hidden="1" customHeight="1" x14ac:dyDescent="0.25">
      <c r="A95" s="22">
        <v>46041</v>
      </c>
      <c r="B95" s="22">
        <v>46042</v>
      </c>
      <c r="C95" s="23" t="s">
        <v>68</v>
      </c>
      <c r="D95" s="23">
        <v>1</v>
      </c>
      <c r="E95" s="23">
        <f t="shared" si="12"/>
        <v>195</v>
      </c>
      <c r="F95" s="38" t="s">
        <v>84</v>
      </c>
      <c r="G95" s="38" t="s">
        <v>130</v>
      </c>
      <c r="H95" s="25">
        <f>H94-E95</f>
        <v>27300</v>
      </c>
      <c r="I95" s="25"/>
      <c r="J95" s="25"/>
      <c r="K95" s="23">
        <v>260119003</v>
      </c>
      <c r="L95" s="23"/>
      <c r="M95" s="23">
        <f>M8-D95</f>
        <v>36</v>
      </c>
      <c r="N95" s="19">
        <v>46001</v>
      </c>
      <c r="O95" s="21">
        <f>DATE(YEAR(N95)+1,MONTH(N95),DAY(N95))-1</f>
        <v>46365</v>
      </c>
    </row>
    <row r="96" spans="1:15" ht="20.149999999999999" hidden="1" customHeight="1" x14ac:dyDescent="0.25">
      <c r="A96" s="33">
        <v>46042</v>
      </c>
      <c r="B96" s="33">
        <v>46042</v>
      </c>
      <c r="C96" s="34" t="s">
        <v>171</v>
      </c>
      <c r="D96" s="34">
        <v>20</v>
      </c>
      <c r="E96" s="34">
        <f t="shared" si="12"/>
        <v>3900</v>
      </c>
      <c r="F96" s="39" t="s">
        <v>27</v>
      </c>
      <c r="G96" s="39" t="s">
        <v>35</v>
      </c>
      <c r="H96" s="35">
        <f>H77-E96</f>
        <v>780</v>
      </c>
      <c r="I96" s="35"/>
      <c r="J96" s="35"/>
      <c r="K96" s="34">
        <v>260119005</v>
      </c>
      <c r="L96" s="34"/>
      <c r="M96" s="34">
        <f>M95-D96</f>
        <v>16</v>
      </c>
      <c r="N96" s="19">
        <v>46001</v>
      </c>
      <c r="O96" s="21">
        <f t="shared" ref="O96:O101" si="13">DATE(YEAR(N96)+1,MONTH(N96),DAY(N96))-1</f>
        <v>46365</v>
      </c>
    </row>
    <row r="97" spans="1:15" ht="20.149999999999999" hidden="1" customHeight="1" x14ac:dyDescent="0.25">
      <c r="A97" s="86">
        <v>46042</v>
      </c>
      <c r="B97" s="86">
        <v>46043</v>
      </c>
      <c r="C97" s="60" t="s">
        <v>68</v>
      </c>
      <c r="D97" s="60">
        <v>8</v>
      </c>
      <c r="E97" s="60">
        <f t="shared" si="12"/>
        <v>1560</v>
      </c>
      <c r="F97" s="60" t="s">
        <v>110</v>
      </c>
      <c r="G97" s="60" t="s">
        <v>111</v>
      </c>
      <c r="H97" s="107">
        <f>H83-E97</f>
        <v>10920</v>
      </c>
      <c r="I97" s="107"/>
      <c r="J97" s="107"/>
      <c r="K97" s="60">
        <v>260119006</v>
      </c>
      <c r="L97" s="60"/>
      <c r="M97" s="60">
        <f>M96-D97</f>
        <v>8</v>
      </c>
      <c r="N97" s="19">
        <v>46001</v>
      </c>
      <c r="O97" s="21">
        <f t="shared" si="13"/>
        <v>46365</v>
      </c>
    </row>
    <row r="98" spans="1:15" ht="20.149999999999999" hidden="1" customHeight="1" x14ac:dyDescent="0.25">
      <c r="A98" s="26">
        <v>46042</v>
      </c>
      <c r="B98" s="26">
        <v>46043</v>
      </c>
      <c r="C98" s="27" t="s">
        <v>131</v>
      </c>
      <c r="D98" s="27">
        <v>11</v>
      </c>
      <c r="E98" s="27">
        <f t="shared" si="12"/>
        <v>2145</v>
      </c>
      <c r="F98" s="36" t="s">
        <v>28</v>
      </c>
      <c r="G98" s="36" t="s">
        <v>40</v>
      </c>
      <c r="H98" s="28">
        <f>H85-E98</f>
        <v>1755</v>
      </c>
      <c r="I98" s="28"/>
      <c r="J98" s="28"/>
      <c r="K98" s="27">
        <v>260119007</v>
      </c>
      <c r="L98" s="27"/>
      <c r="M98" s="27">
        <f>M85-D98</f>
        <v>8</v>
      </c>
      <c r="N98" s="19">
        <v>46017</v>
      </c>
      <c r="O98" s="21">
        <f t="shared" si="13"/>
        <v>46381</v>
      </c>
    </row>
    <row r="99" spans="1:15" ht="20.149999999999999" hidden="1" customHeight="1" x14ac:dyDescent="0.25">
      <c r="A99" s="26">
        <v>46042</v>
      </c>
      <c r="B99" s="26">
        <v>46043</v>
      </c>
      <c r="C99" s="27" t="s">
        <v>172</v>
      </c>
      <c r="D99" s="27">
        <v>9</v>
      </c>
      <c r="E99" s="27">
        <f t="shared" si="12"/>
        <v>1755</v>
      </c>
      <c r="F99" s="36" t="s">
        <v>28</v>
      </c>
      <c r="G99" s="36" t="s">
        <v>40</v>
      </c>
      <c r="H99" s="28">
        <f>H98-E99</f>
        <v>0</v>
      </c>
      <c r="I99" s="28"/>
      <c r="J99" s="28"/>
      <c r="K99" s="27">
        <v>260119007</v>
      </c>
      <c r="L99" s="27"/>
      <c r="M99" s="27">
        <f>M80-D99</f>
        <v>24</v>
      </c>
      <c r="N99" s="19">
        <v>46018</v>
      </c>
      <c r="O99" s="21">
        <f t="shared" si="13"/>
        <v>46382</v>
      </c>
    </row>
    <row r="100" spans="1:15" ht="20.149999999999999" hidden="1" customHeight="1" x14ac:dyDescent="0.3">
      <c r="A100" s="29">
        <v>46042</v>
      </c>
      <c r="B100" s="29">
        <v>46043</v>
      </c>
      <c r="C100" s="30" t="s">
        <v>173</v>
      </c>
      <c r="D100" s="30">
        <v>4</v>
      </c>
      <c r="E100" s="30">
        <f t="shared" si="12"/>
        <v>780</v>
      </c>
      <c r="F100" s="37" t="s">
        <v>148</v>
      </c>
      <c r="G100" s="37" t="s">
        <v>55</v>
      </c>
      <c r="H100" s="32">
        <f>H87-E100</f>
        <v>12480</v>
      </c>
      <c r="I100" s="70" t="s">
        <v>12</v>
      </c>
      <c r="J100" s="32"/>
      <c r="K100" s="30">
        <v>260119008</v>
      </c>
      <c r="L100" s="30">
        <v>25</v>
      </c>
      <c r="M100" s="30">
        <f>L100-D100</f>
        <v>21</v>
      </c>
      <c r="N100" s="19">
        <v>46027</v>
      </c>
      <c r="O100" s="21">
        <f t="shared" si="13"/>
        <v>46391</v>
      </c>
    </row>
    <row r="101" spans="1:15" ht="20.149999999999999" hidden="1" customHeight="1" x14ac:dyDescent="0.3">
      <c r="A101" s="29">
        <v>46042</v>
      </c>
      <c r="B101" s="29">
        <v>46043</v>
      </c>
      <c r="C101" s="30" t="s">
        <v>174</v>
      </c>
      <c r="D101" s="30">
        <v>4</v>
      </c>
      <c r="E101" s="30">
        <f t="shared" si="12"/>
        <v>780</v>
      </c>
      <c r="F101" s="37" t="s">
        <v>148</v>
      </c>
      <c r="G101" s="37" t="s">
        <v>55</v>
      </c>
      <c r="H101" s="32">
        <f>H100-E101</f>
        <v>11700</v>
      </c>
      <c r="I101" s="70" t="s">
        <v>12</v>
      </c>
      <c r="J101" s="32"/>
      <c r="K101" s="30">
        <v>260119008</v>
      </c>
      <c r="L101" s="30">
        <v>21</v>
      </c>
      <c r="M101" s="30">
        <f>L101-D101</f>
        <v>17</v>
      </c>
      <c r="N101" s="19">
        <v>46029</v>
      </c>
      <c r="O101" s="21">
        <f t="shared" si="13"/>
        <v>46393</v>
      </c>
    </row>
    <row r="102" spans="1:15" ht="20.149999999999999" hidden="1" customHeight="1" x14ac:dyDescent="0.25">
      <c r="A102" s="33">
        <v>46043</v>
      </c>
      <c r="B102" s="33">
        <v>46044</v>
      </c>
      <c r="C102" s="34" t="s">
        <v>68</v>
      </c>
      <c r="D102" s="34">
        <v>8</v>
      </c>
      <c r="E102" s="34">
        <f t="shared" si="12"/>
        <v>1560</v>
      </c>
      <c r="F102" s="39" t="s">
        <v>84</v>
      </c>
      <c r="G102" s="39" t="s">
        <v>130</v>
      </c>
      <c r="H102" s="35">
        <f>H95-E102</f>
        <v>25740</v>
      </c>
      <c r="I102" s="35"/>
      <c r="J102" s="35"/>
      <c r="K102" s="34">
        <v>260120001</v>
      </c>
      <c r="L102" s="34"/>
      <c r="M102" s="34">
        <f>M97-D102</f>
        <v>0</v>
      </c>
      <c r="N102" s="19">
        <v>46001</v>
      </c>
      <c r="O102" s="21">
        <f t="shared" ref="O102:O120" si="14">DATE(YEAR(N102)+1,MONTH(N102),DAY(N102))-1</f>
        <v>46365</v>
      </c>
    </row>
    <row r="103" spans="1:15" ht="20.149999999999999" hidden="1" customHeight="1" x14ac:dyDescent="0.25">
      <c r="A103" s="33">
        <v>46043</v>
      </c>
      <c r="B103" s="33">
        <v>46044</v>
      </c>
      <c r="C103" s="34" t="s">
        <v>131</v>
      </c>
      <c r="D103" s="34">
        <v>8</v>
      </c>
      <c r="E103" s="34">
        <f t="shared" si="12"/>
        <v>1560</v>
      </c>
      <c r="F103" s="39" t="s">
        <v>84</v>
      </c>
      <c r="G103" s="39" t="s">
        <v>130</v>
      </c>
      <c r="H103" s="35">
        <f>H102-E103</f>
        <v>24180</v>
      </c>
      <c r="I103" s="35"/>
      <c r="J103" s="35"/>
      <c r="K103" s="34">
        <v>260120001</v>
      </c>
      <c r="L103" s="34"/>
      <c r="M103" s="34">
        <f>M98-D103</f>
        <v>0</v>
      </c>
      <c r="N103" s="19">
        <v>46017</v>
      </c>
      <c r="O103" s="21">
        <f t="shared" si="14"/>
        <v>46381</v>
      </c>
    </row>
    <row r="104" spans="1:15" ht="20.149999999999999" hidden="1" customHeight="1" x14ac:dyDescent="0.25">
      <c r="A104" s="40">
        <v>46044</v>
      </c>
      <c r="B104" s="40">
        <v>46044</v>
      </c>
      <c r="C104" s="41" t="s">
        <v>132</v>
      </c>
      <c r="D104" s="41">
        <v>4</v>
      </c>
      <c r="E104" s="41">
        <f t="shared" si="12"/>
        <v>780</v>
      </c>
      <c r="F104" s="60" t="s">
        <v>29</v>
      </c>
      <c r="G104" s="60" t="s">
        <v>81</v>
      </c>
      <c r="H104" s="42">
        <f>H91-E104</f>
        <v>82840</v>
      </c>
      <c r="I104" s="42"/>
      <c r="J104" s="42"/>
      <c r="K104" s="41">
        <v>260121003</v>
      </c>
      <c r="L104" s="41"/>
      <c r="M104" s="41">
        <f>M99-D104</f>
        <v>20</v>
      </c>
      <c r="N104" s="19">
        <v>46018</v>
      </c>
      <c r="O104" s="21">
        <f t="shared" si="14"/>
        <v>46382</v>
      </c>
    </row>
    <row r="105" spans="1:15" ht="20.149999999999999" hidden="1" customHeight="1" x14ac:dyDescent="0.2">
      <c r="A105" s="29">
        <v>46044</v>
      </c>
      <c r="B105" s="29">
        <v>46044</v>
      </c>
      <c r="C105" s="30" t="s">
        <v>132</v>
      </c>
      <c r="D105" s="30">
        <v>8</v>
      </c>
      <c r="E105" s="30">
        <f t="shared" si="12"/>
        <v>1560</v>
      </c>
      <c r="F105" s="37" t="s">
        <v>26</v>
      </c>
      <c r="G105" s="37" t="s">
        <v>186</v>
      </c>
      <c r="H105" s="32">
        <f>H93-E105</f>
        <v>24180</v>
      </c>
      <c r="I105" s="32"/>
      <c r="J105" s="32"/>
      <c r="K105" s="30">
        <v>260121004</v>
      </c>
      <c r="L105" s="30"/>
      <c r="M105" s="30">
        <f>M104-D105</f>
        <v>12</v>
      </c>
      <c r="N105" s="19">
        <v>46018</v>
      </c>
      <c r="O105" s="21">
        <f t="shared" si="14"/>
        <v>46382</v>
      </c>
    </row>
    <row r="106" spans="1:15" ht="20.149999999999999" hidden="1" customHeight="1" x14ac:dyDescent="0.2">
      <c r="A106" s="29">
        <v>46044</v>
      </c>
      <c r="B106" s="29">
        <v>46044</v>
      </c>
      <c r="C106" s="30" t="s">
        <v>133</v>
      </c>
      <c r="D106" s="30">
        <v>4</v>
      </c>
      <c r="E106" s="30">
        <f t="shared" si="12"/>
        <v>780</v>
      </c>
      <c r="F106" s="37" t="s">
        <v>26</v>
      </c>
      <c r="G106" s="37" t="s">
        <v>117</v>
      </c>
      <c r="H106" s="32">
        <f>H105-E106</f>
        <v>23400</v>
      </c>
      <c r="I106" s="32"/>
      <c r="J106" s="32"/>
      <c r="K106" s="30">
        <v>260121004</v>
      </c>
      <c r="L106" s="30"/>
      <c r="M106" s="30">
        <f>M64-D106</f>
        <v>34</v>
      </c>
      <c r="N106" s="19">
        <v>46020</v>
      </c>
      <c r="O106" s="21">
        <f t="shared" si="14"/>
        <v>46384</v>
      </c>
    </row>
    <row r="107" spans="1:15" ht="20.149999999999999" hidden="1" customHeight="1" x14ac:dyDescent="0.25">
      <c r="A107" s="26">
        <v>46044</v>
      </c>
      <c r="B107" s="26">
        <v>46045</v>
      </c>
      <c r="C107" s="27" t="s">
        <v>132</v>
      </c>
      <c r="D107" s="27">
        <v>4</v>
      </c>
      <c r="E107" s="27">
        <f t="shared" si="12"/>
        <v>780</v>
      </c>
      <c r="F107" s="36" t="s">
        <v>178</v>
      </c>
      <c r="G107" s="36" t="s">
        <v>169</v>
      </c>
      <c r="H107" s="28">
        <f>H89-E107</f>
        <v>29640</v>
      </c>
      <c r="I107" s="28"/>
      <c r="J107" s="28"/>
      <c r="K107" s="27">
        <v>260121005</v>
      </c>
      <c r="L107" s="27"/>
      <c r="M107" s="27">
        <f>M105-D107</f>
        <v>8</v>
      </c>
      <c r="N107" s="19">
        <v>46018</v>
      </c>
      <c r="O107" s="21">
        <f t="shared" si="14"/>
        <v>46382</v>
      </c>
    </row>
    <row r="108" spans="1:15" ht="20.149999999999999" hidden="1" customHeight="1" x14ac:dyDescent="0.25">
      <c r="A108" s="26">
        <v>46044</v>
      </c>
      <c r="B108" s="26">
        <v>46045</v>
      </c>
      <c r="C108" s="27" t="s">
        <v>133</v>
      </c>
      <c r="D108" s="27">
        <v>12</v>
      </c>
      <c r="E108" s="27">
        <f t="shared" si="12"/>
        <v>2340</v>
      </c>
      <c r="F108" s="36" t="s">
        <v>178</v>
      </c>
      <c r="G108" s="36" t="s">
        <v>169</v>
      </c>
      <c r="H108" s="28">
        <f>H107-E108</f>
        <v>27300</v>
      </c>
      <c r="I108" s="28"/>
      <c r="J108" s="28"/>
      <c r="K108" s="27">
        <v>260121005</v>
      </c>
      <c r="L108" s="27"/>
      <c r="M108" s="27">
        <f>M106-D108</f>
        <v>22</v>
      </c>
      <c r="N108" s="19">
        <v>46020</v>
      </c>
      <c r="O108" s="21">
        <f t="shared" si="14"/>
        <v>46384</v>
      </c>
    </row>
    <row r="109" spans="1:15" ht="20.149999999999999" hidden="1" customHeight="1" x14ac:dyDescent="0.25">
      <c r="A109" s="33">
        <v>46044</v>
      </c>
      <c r="B109" s="33">
        <v>46045</v>
      </c>
      <c r="C109" s="34" t="s">
        <v>149</v>
      </c>
      <c r="D109" s="34">
        <v>12</v>
      </c>
      <c r="E109" s="34">
        <f t="shared" si="12"/>
        <v>2340</v>
      </c>
      <c r="F109" s="39" t="s">
        <v>179</v>
      </c>
      <c r="G109" s="39" t="s">
        <v>187</v>
      </c>
      <c r="H109" s="35">
        <f>H97-E109</f>
        <v>8580</v>
      </c>
      <c r="I109" s="35"/>
      <c r="J109" s="35"/>
      <c r="K109" s="34">
        <v>260121006</v>
      </c>
      <c r="L109" s="34"/>
      <c r="M109" s="34">
        <f>M71-D109</f>
        <v>25</v>
      </c>
      <c r="N109" s="19">
        <v>46022</v>
      </c>
      <c r="O109" s="21">
        <f t="shared" si="14"/>
        <v>46386</v>
      </c>
    </row>
    <row r="110" spans="1:15" ht="20.149999999999999" hidden="1" customHeight="1" x14ac:dyDescent="0.3">
      <c r="A110" s="71">
        <v>46044</v>
      </c>
      <c r="B110" s="71">
        <v>46045</v>
      </c>
      <c r="C110" s="72" t="s">
        <v>180</v>
      </c>
      <c r="D110" s="72">
        <v>14</v>
      </c>
      <c r="E110" s="72">
        <f>D110*195</f>
        <v>2730</v>
      </c>
      <c r="F110" s="73" t="s">
        <v>181</v>
      </c>
      <c r="G110" s="117" t="s">
        <v>185</v>
      </c>
      <c r="H110" s="74">
        <f>57720-E110</f>
        <v>54990</v>
      </c>
      <c r="I110" s="74"/>
      <c r="J110" s="74"/>
      <c r="K110" s="72">
        <v>260121007</v>
      </c>
      <c r="L110" s="72"/>
      <c r="M110" s="72">
        <f>M108-D110</f>
        <v>8</v>
      </c>
      <c r="N110" s="19">
        <v>46020</v>
      </c>
      <c r="O110" s="21">
        <f t="shared" si="14"/>
        <v>46384</v>
      </c>
    </row>
    <row r="111" spans="1:15" ht="20.149999999999999" hidden="1" customHeight="1" x14ac:dyDescent="0.3">
      <c r="A111" s="71">
        <v>46044</v>
      </c>
      <c r="B111" s="71">
        <v>46045</v>
      </c>
      <c r="C111" s="72" t="s">
        <v>149</v>
      </c>
      <c r="D111" s="72">
        <v>2</v>
      </c>
      <c r="E111" s="72">
        <f t="shared" si="12"/>
        <v>390</v>
      </c>
      <c r="F111" s="73" t="s">
        <v>181</v>
      </c>
      <c r="G111" s="72" t="s">
        <v>185</v>
      </c>
      <c r="H111" s="74">
        <f>H110-E111</f>
        <v>54600</v>
      </c>
      <c r="I111" s="74"/>
      <c r="J111" s="74"/>
      <c r="K111" s="72">
        <v>260121007</v>
      </c>
      <c r="L111" s="72"/>
      <c r="M111" s="72">
        <f>M109-D111</f>
        <v>23</v>
      </c>
      <c r="N111" s="19">
        <v>46022</v>
      </c>
      <c r="O111" s="21">
        <f t="shared" si="14"/>
        <v>46386</v>
      </c>
    </row>
    <row r="112" spans="1:15" ht="20.149999999999999" hidden="1" customHeight="1" x14ac:dyDescent="0.3">
      <c r="A112" s="22">
        <v>46044</v>
      </c>
      <c r="B112" s="22">
        <v>46045</v>
      </c>
      <c r="C112" s="23" t="s">
        <v>149</v>
      </c>
      <c r="D112" s="23">
        <v>12</v>
      </c>
      <c r="E112" s="23">
        <f t="shared" si="12"/>
        <v>2340</v>
      </c>
      <c r="F112" s="38" t="s">
        <v>147</v>
      </c>
      <c r="G112" s="23" t="s">
        <v>114</v>
      </c>
      <c r="H112" s="25">
        <f>H90-E112</f>
        <v>10920</v>
      </c>
      <c r="I112" s="25"/>
      <c r="J112" s="25"/>
      <c r="K112" s="23">
        <v>260121008</v>
      </c>
      <c r="L112" s="23"/>
      <c r="M112" s="23">
        <f>M111-D112</f>
        <v>11</v>
      </c>
      <c r="N112" s="19">
        <v>46022</v>
      </c>
      <c r="O112" s="21">
        <f t="shared" si="14"/>
        <v>46386</v>
      </c>
    </row>
    <row r="113" spans="1:15" ht="20.149999999999999" hidden="1" customHeight="1" x14ac:dyDescent="0.3">
      <c r="A113" s="103">
        <v>46044</v>
      </c>
      <c r="B113" s="103">
        <v>46045</v>
      </c>
      <c r="C113" s="104" t="s">
        <v>182</v>
      </c>
      <c r="D113" s="104">
        <v>4</v>
      </c>
      <c r="E113" s="104">
        <f t="shared" si="12"/>
        <v>780</v>
      </c>
      <c r="F113" s="105" t="s">
        <v>148</v>
      </c>
      <c r="G113" s="105" t="s">
        <v>55</v>
      </c>
      <c r="H113" s="106">
        <f>H101-E113</f>
        <v>10920</v>
      </c>
      <c r="I113" s="118" t="s">
        <v>12</v>
      </c>
      <c r="J113" s="106"/>
      <c r="K113" s="104">
        <v>260121009</v>
      </c>
      <c r="L113" s="104">
        <v>26</v>
      </c>
      <c r="M113" s="104">
        <f>L113-D113</f>
        <v>22</v>
      </c>
      <c r="N113" s="19">
        <v>46030</v>
      </c>
      <c r="O113" s="21">
        <f t="shared" si="14"/>
        <v>46394</v>
      </c>
    </row>
    <row r="114" spans="1:15" ht="20.149999999999999" hidden="1" customHeight="1" x14ac:dyDescent="0.3">
      <c r="A114" s="103">
        <v>46044</v>
      </c>
      <c r="B114" s="103">
        <v>46045</v>
      </c>
      <c r="C114" s="104" t="s">
        <v>183</v>
      </c>
      <c r="D114" s="104">
        <v>4</v>
      </c>
      <c r="E114" s="104">
        <f t="shared" si="12"/>
        <v>780</v>
      </c>
      <c r="F114" s="105" t="s">
        <v>148</v>
      </c>
      <c r="G114" s="105" t="s">
        <v>55</v>
      </c>
      <c r="H114" s="106">
        <f>H113-E114</f>
        <v>10140</v>
      </c>
      <c r="I114" s="118" t="s">
        <v>12</v>
      </c>
      <c r="J114" s="106"/>
      <c r="K114" s="104">
        <v>260121009</v>
      </c>
      <c r="L114" s="104">
        <v>21</v>
      </c>
      <c r="M114" s="104">
        <f>L114-D114</f>
        <v>17</v>
      </c>
      <c r="N114" s="19">
        <v>46031</v>
      </c>
      <c r="O114" s="21">
        <f t="shared" si="14"/>
        <v>46395</v>
      </c>
    </row>
    <row r="115" spans="1:15" ht="20.149999999999999" hidden="1" customHeight="1" x14ac:dyDescent="0.2">
      <c r="A115" s="108">
        <v>46044</v>
      </c>
      <c r="B115" s="108">
        <v>46045</v>
      </c>
      <c r="C115" s="109" t="s">
        <v>132</v>
      </c>
      <c r="D115" s="109">
        <v>8</v>
      </c>
      <c r="E115" s="109">
        <f t="shared" si="12"/>
        <v>1560</v>
      </c>
      <c r="F115" s="110" t="s">
        <v>30</v>
      </c>
      <c r="G115" s="110" t="s">
        <v>143</v>
      </c>
      <c r="H115" s="111">
        <f>H81-E115</f>
        <v>18720</v>
      </c>
      <c r="I115" s="111"/>
      <c r="J115" s="111"/>
      <c r="K115" s="109">
        <v>260121010</v>
      </c>
      <c r="L115" s="109"/>
      <c r="M115" s="109">
        <f>M107-D115</f>
        <v>0</v>
      </c>
      <c r="N115" s="19">
        <v>46018</v>
      </c>
      <c r="O115" s="21">
        <f t="shared" si="14"/>
        <v>46382</v>
      </c>
    </row>
    <row r="116" spans="1:15" ht="20.149999999999999" hidden="1" customHeight="1" x14ac:dyDescent="0.2">
      <c r="A116" s="113">
        <v>46044</v>
      </c>
      <c r="B116" s="113">
        <v>46045</v>
      </c>
      <c r="C116" s="114" t="s">
        <v>184</v>
      </c>
      <c r="D116" s="114">
        <v>8</v>
      </c>
      <c r="E116" s="114">
        <f t="shared" si="12"/>
        <v>1560</v>
      </c>
      <c r="F116" s="115" t="s">
        <v>31</v>
      </c>
      <c r="G116" s="115" t="s">
        <v>188</v>
      </c>
      <c r="H116" s="116">
        <f>H82-E116</f>
        <v>39940</v>
      </c>
      <c r="I116" s="116"/>
      <c r="J116" s="116"/>
      <c r="K116" s="114">
        <v>260121011</v>
      </c>
      <c r="L116" s="114"/>
      <c r="M116" s="114">
        <f>M110-D116</f>
        <v>0</v>
      </c>
      <c r="N116" s="19">
        <v>46020</v>
      </c>
      <c r="O116" s="21">
        <f t="shared" si="14"/>
        <v>46384</v>
      </c>
    </row>
    <row r="117" spans="1:15" ht="20.149999999999999" hidden="1" customHeight="1" x14ac:dyDescent="0.25">
      <c r="A117" s="33">
        <v>46045</v>
      </c>
      <c r="B117" s="33">
        <v>46045</v>
      </c>
      <c r="C117" s="34" t="s">
        <v>149</v>
      </c>
      <c r="D117" s="34">
        <v>4</v>
      </c>
      <c r="E117" s="34">
        <f t="shared" si="12"/>
        <v>780</v>
      </c>
      <c r="F117" s="39" t="s">
        <v>27</v>
      </c>
      <c r="G117" s="39" t="s">
        <v>35</v>
      </c>
      <c r="H117" s="35">
        <f>H96-E117</f>
        <v>0</v>
      </c>
      <c r="I117" s="35"/>
      <c r="J117" s="35"/>
      <c r="K117" s="34">
        <v>260122002</v>
      </c>
      <c r="L117" s="34"/>
      <c r="M117" s="34">
        <f>M112-D117</f>
        <v>7</v>
      </c>
      <c r="N117" s="19">
        <v>46022</v>
      </c>
      <c r="O117" s="21">
        <f t="shared" si="14"/>
        <v>46386</v>
      </c>
    </row>
    <row r="118" spans="1:15" ht="20.149999999999999" hidden="1" customHeight="1" x14ac:dyDescent="0.25">
      <c r="A118" s="33">
        <v>46045</v>
      </c>
      <c r="B118" s="33">
        <v>46045</v>
      </c>
      <c r="C118" s="34" t="s">
        <v>189</v>
      </c>
      <c r="D118" s="34">
        <v>4</v>
      </c>
      <c r="E118" s="34">
        <f t="shared" si="12"/>
        <v>780</v>
      </c>
      <c r="F118" s="39" t="s">
        <v>27</v>
      </c>
      <c r="G118" s="119" t="s">
        <v>190</v>
      </c>
      <c r="H118" s="35">
        <f>25740-E118</f>
        <v>24960</v>
      </c>
      <c r="I118" s="35"/>
      <c r="J118" s="35"/>
      <c r="K118" s="34">
        <v>260122002</v>
      </c>
      <c r="L118" s="34"/>
      <c r="M118" s="34">
        <f>M72-D118</f>
        <v>33</v>
      </c>
      <c r="N118" s="19">
        <v>46023</v>
      </c>
      <c r="O118" s="21">
        <f t="shared" si="14"/>
        <v>46387</v>
      </c>
    </row>
    <row r="119" spans="1:15" ht="20.149999999999999" hidden="1" customHeight="1" x14ac:dyDescent="0.3">
      <c r="A119" s="40">
        <v>46045</v>
      </c>
      <c r="B119" s="40">
        <v>46048</v>
      </c>
      <c r="C119" s="41" t="s">
        <v>149</v>
      </c>
      <c r="D119" s="41">
        <v>7</v>
      </c>
      <c r="E119" s="41">
        <f t="shared" si="12"/>
        <v>1365</v>
      </c>
      <c r="F119" s="60" t="s">
        <v>181</v>
      </c>
      <c r="G119" s="41" t="s">
        <v>191</v>
      </c>
      <c r="H119" s="42">
        <f>H111-E119</f>
        <v>53235</v>
      </c>
      <c r="I119" s="42"/>
      <c r="J119" s="42"/>
      <c r="K119" s="41">
        <v>260122003</v>
      </c>
      <c r="L119" s="41"/>
      <c r="M119" s="41">
        <f>M117-D119</f>
        <v>0</v>
      </c>
      <c r="N119" s="19">
        <v>46022</v>
      </c>
      <c r="O119" s="21">
        <f t="shared" si="14"/>
        <v>46386</v>
      </c>
    </row>
    <row r="120" spans="1:15" ht="20.149999999999999" hidden="1" customHeight="1" x14ac:dyDescent="0.3">
      <c r="A120" s="40">
        <v>46045</v>
      </c>
      <c r="B120" s="40">
        <v>46048</v>
      </c>
      <c r="C120" s="41" t="s">
        <v>150</v>
      </c>
      <c r="D120" s="41">
        <v>1</v>
      </c>
      <c r="E120" s="41">
        <f t="shared" si="12"/>
        <v>195</v>
      </c>
      <c r="F120" s="60" t="s">
        <v>181</v>
      </c>
      <c r="G120" s="41" t="s">
        <v>192</v>
      </c>
      <c r="H120" s="42">
        <f>H119-E120</f>
        <v>53040</v>
      </c>
      <c r="I120" s="42"/>
      <c r="J120" s="42"/>
      <c r="K120" s="41">
        <v>260122003</v>
      </c>
      <c r="L120" s="41"/>
      <c r="M120" s="41">
        <f>M118-D120</f>
        <v>32</v>
      </c>
      <c r="N120" s="19">
        <v>46023</v>
      </c>
      <c r="O120" s="21">
        <f t="shared" si="14"/>
        <v>46387</v>
      </c>
    </row>
    <row r="121" spans="1:15" ht="20.149999999999999" hidden="1" customHeight="1" x14ac:dyDescent="0.2">
      <c r="A121" s="26">
        <v>46045</v>
      </c>
      <c r="B121" s="26">
        <v>46046</v>
      </c>
      <c r="C121" s="27" t="s">
        <v>150</v>
      </c>
      <c r="D121" s="27">
        <v>8</v>
      </c>
      <c r="E121" s="27">
        <f t="shared" si="12"/>
        <v>1560</v>
      </c>
      <c r="F121" s="36" t="s">
        <v>26</v>
      </c>
      <c r="G121" s="36" t="s">
        <v>117</v>
      </c>
      <c r="H121" s="28">
        <f>H106-E121</f>
        <v>21840</v>
      </c>
      <c r="I121" s="28"/>
      <c r="J121" s="28"/>
      <c r="K121" s="27">
        <v>260123002</v>
      </c>
      <c r="L121" s="27"/>
      <c r="M121" s="27">
        <f>M120-D121</f>
        <v>24</v>
      </c>
      <c r="N121" s="19">
        <v>46023</v>
      </c>
      <c r="O121" s="21">
        <f t="shared" ref="O121:O127" si="15">DATE(YEAR(N121)+1,MONTH(N121),DAY(N121))-1</f>
        <v>46387</v>
      </c>
    </row>
    <row r="122" spans="1:15" ht="20.149999999999999" hidden="1" customHeight="1" x14ac:dyDescent="0.2">
      <c r="A122" s="26">
        <v>46045</v>
      </c>
      <c r="B122" s="26">
        <v>46046</v>
      </c>
      <c r="C122" s="27" t="s">
        <v>155</v>
      </c>
      <c r="D122" s="27">
        <v>4</v>
      </c>
      <c r="E122" s="27">
        <f t="shared" si="12"/>
        <v>780</v>
      </c>
      <c r="F122" s="36" t="s">
        <v>26</v>
      </c>
      <c r="G122" s="36" t="s">
        <v>117</v>
      </c>
      <c r="H122" s="28">
        <f>H121-E122</f>
        <v>21060</v>
      </c>
      <c r="I122" s="28"/>
      <c r="J122" s="28"/>
      <c r="K122" s="27">
        <v>260123002</v>
      </c>
      <c r="L122" s="27"/>
      <c r="M122" s="27">
        <f>M86-D122</f>
        <v>33</v>
      </c>
      <c r="N122" s="19">
        <v>46024</v>
      </c>
      <c r="O122" s="21">
        <f t="shared" si="15"/>
        <v>46388</v>
      </c>
    </row>
    <row r="123" spans="1:15" ht="20.149999999999999" hidden="1" customHeight="1" x14ac:dyDescent="0.25">
      <c r="A123" s="22">
        <v>46048</v>
      </c>
      <c r="B123" s="22">
        <v>46049</v>
      </c>
      <c r="C123" s="23" t="s">
        <v>150</v>
      </c>
      <c r="D123" s="23">
        <v>8</v>
      </c>
      <c r="E123" s="23">
        <f t="shared" si="12"/>
        <v>1560</v>
      </c>
      <c r="F123" s="38" t="s">
        <v>178</v>
      </c>
      <c r="G123" s="38" t="s">
        <v>198</v>
      </c>
      <c r="H123" s="25">
        <f>H108-E123</f>
        <v>25740</v>
      </c>
      <c r="I123" s="25"/>
      <c r="J123" s="25"/>
      <c r="K123" s="23">
        <v>260123003</v>
      </c>
      <c r="L123" s="23"/>
      <c r="M123" s="23">
        <f>M121-D123</f>
        <v>16</v>
      </c>
      <c r="N123" s="19">
        <v>46023</v>
      </c>
      <c r="O123" s="21">
        <f t="shared" si="15"/>
        <v>46387</v>
      </c>
    </row>
    <row r="124" spans="1:15" ht="20.149999999999999" hidden="1" customHeight="1" x14ac:dyDescent="0.25">
      <c r="A124" s="71">
        <v>46048</v>
      </c>
      <c r="B124" s="71">
        <v>46049</v>
      </c>
      <c r="C124" s="72" t="s">
        <v>150</v>
      </c>
      <c r="D124" s="72">
        <v>8</v>
      </c>
      <c r="E124" s="72">
        <f t="shared" si="12"/>
        <v>1560</v>
      </c>
      <c r="F124" s="73" t="s">
        <v>195</v>
      </c>
      <c r="G124" s="73" t="s">
        <v>111</v>
      </c>
      <c r="H124" s="74">
        <f>H109-E124</f>
        <v>7020</v>
      </c>
      <c r="I124" s="74"/>
      <c r="J124" s="74"/>
      <c r="K124" s="72">
        <v>260123004</v>
      </c>
      <c r="L124" s="72"/>
      <c r="M124" s="72">
        <f>M123-D124</f>
        <v>8</v>
      </c>
      <c r="N124" s="19">
        <v>46023</v>
      </c>
      <c r="O124" s="21">
        <f t="shared" si="15"/>
        <v>46387</v>
      </c>
    </row>
    <row r="125" spans="1:15" ht="20.149999999999999" hidden="1" customHeight="1" x14ac:dyDescent="0.25">
      <c r="A125" s="33">
        <v>46048</v>
      </c>
      <c r="B125" s="33">
        <v>46049</v>
      </c>
      <c r="C125" s="34" t="s">
        <v>155</v>
      </c>
      <c r="D125" s="34">
        <v>12</v>
      </c>
      <c r="E125" s="34">
        <f t="shared" si="12"/>
        <v>2340</v>
      </c>
      <c r="F125" s="39" t="s">
        <v>196</v>
      </c>
      <c r="G125" s="34" t="s">
        <v>127</v>
      </c>
      <c r="H125" s="35">
        <f>H112-E125</f>
        <v>8580</v>
      </c>
      <c r="I125" s="35"/>
      <c r="J125" s="35"/>
      <c r="K125" s="34">
        <v>260123005</v>
      </c>
      <c r="L125" s="34"/>
      <c r="M125" s="34">
        <f>M122-D125</f>
        <v>21</v>
      </c>
      <c r="N125" s="19">
        <v>46024</v>
      </c>
      <c r="O125" s="21">
        <f t="shared" si="15"/>
        <v>46388</v>
      </c>
    </row>
    <row r="126" spans="1:15" ht="20.149999999999999" hidden="1" customHeight="1" x14ac:dyDescent="0.25">
      <c r="A126" s="29">
        <v>46048</v>
      </c>
      <c r="B126" s="29">
        <v>46049</v>
      </c>
      <c r="C126" s="30" t="s">
        <v>193</v>
      </c>
      <c r="D126" s="30">
        <v>4</v>
      </c>
      <c r="E126" s="30">
        <f t="shared" si="12"/>
        <v>780</v>
      </c>
      <c r="F126" s="37" t="s">
        <v>197</v>
      </c>
      <c r="G126" s="37" t="s">
        <v>55</v>
      </c>
      <c r="H126" s="32">
        <f>H114-E126</f>
        <v>9360</v>
      </c>
      <c r="I126" s="70" t="s">
        <v>12</v>
      </c>
      <c r="J126" s="32"/>
      <c r="K126" s="30">
        <v>260123006</v>
      </c>
      <c r="L126" s="30">
        <v>25</v>
      </c>
      <c r="M126" s="30">
        <f>L126-D126</f>
        <v>21</v>
      </c>
      <c r="N126" s="19">
        <v>46032</v>
      </c>
      <c r="O126" s="21">
        <f t="shared" si="15"/>
        <v>46396</v>
      </c>
    </row>
    <row r="127" spans="1:15" ht="20.149999999999999" hidden="1" customHeight="1" x14ac:dyDescent="0.25">
      <c r="A127" s="29">
        <v>46048</v>
      </c>
      <c r="B127" s="29">
        <v>46049</v>
      </c>
      <c r="C127" s="30" t="s">
        <v>194</v>
      </c>
      <c r="D127" s="30">
        <v>4</v>
      </c>
      <c r="E127" s="30">
        <f t="shared" si="12"/>
        <v>780</v>
      </c>
      <c r="F127" s="37" t="s">
        <v>197</v>
      </c>
      <c r="G127" s="37" t="s">
        <v>55</v>
      </c>
      <c r="H127" s="32">
        <f>H126-E127</f>
        <v>8580</v>
      </c>
      <c r="I127" s="70" t="s">
        <v>12</v>
      </c>
      <c r="J127" s="32"/>
      <c r="K127" s="30">
        <v>260123006</v>
      </c>
      <c r="L127" s="30">
        <v>21</v>
      </c>
      <c r="M127" s="30">
        <f>L127-D127</f>
        <v>17</v>
      </c>
      <c r="N127" s="19">
        <v>46034</v>
      </c>
      <c r="O127" s="21">
        <f t="shared" si="15"/>
        <v>46398</v>
      </c>
    </row>
    <row r="128" spans="1:15" ht="20.149999999999999" hidden="1" customHeight="1" x14ac:dyDescent="0.25">
      <c r="A128" s="103">
        <v>46048</v>
      </c>
      <c r="B128" s="103">
        <v>46049</v>
      </c>
      <c r="C128" s="104" t="s">
        <v>150</v>
      </c>
      <c r="D128" s="104">
        <v>8</v>
      </c>
      <c r="E128" s="104">
        <f t="shared" si="12"/>
        <v>1560</v>
      </c>
      <c r="F128" s="105" t="s">
        <v>30</v>
      </c>
      <c r="G128" s="105" t="s">
        <v>143</v>
      </c>
      <c r="H128" s="106">
        <f>H115-E128</f>
        <v>17160</v>
      </c>
      <c r="I128" s="106"/>
      <c r="J128" s="120"/>
      <c r="K128" s="104">
        <v>260123007</v>
      </c>
      <c r="L128" s="104"/>
      <c r="M128" s="104">
        <f>M124-D128</f>
        <v>0</v>
      </c>
      <c r="N128" s="19">
        <v>46023</v>
      </c>
      <c r="O128" s="21">
        <f>DATE(YEAR(N128)+1,MONTH(N128),DAY(N128))-1</f>
        <v>46387</v>
      </c>
    </row>
    <row r="129" spans="1:15" ht="20.149999999999999" hidden="1" customHeight="1" x14ac:dyDescent="0.2">
      <c r="A129" s="108">
        <v>46048</v>
      </c>
      <c r="B129" s="108">
        <v>46049</v>
      </c>
      <c r="C129" s="109" t="s">
        <v>200</v>
      </c>
      <c r="D129" s="109">
        <v>8</v>
      </c>
      <c r="E129" s="109">
        <f t="shared" si="12"/>
        <v>1560</v>
      </c>
      <c r="F129" s="110" t="s">
        <v>31</v>
      </c>
      <c r="G129" s="110" t="s">
        <v>87</v>
      </c>
      <c r="H129" s="111">
        <f>H116-E129</f>
        <v>38380</v>
      </c>
      <c r="I129" s="111"/>
      <c r="J129" s="111"/>
      <c r="K129" s="109">
        <v>260123008</v>
      </c>
      <c r="L129" s="109"/>
      <c r="M129" s="109">
        <f>M125-D129</f>
        <v>13</v>
      </c>
      <c r="N129" s="19">
        <v>46024</v>
      </c>
      <c r="O129" s="21">
        <f>DATE(YEAR(N129)+1,MONTH(N129),DAY(N129))-1</f>
        <v>46388</v>
      </c>
    </row>
    <row r="130" spans="1:15" ht="20.149999999999999" hidden="1" customHeight="1" x14ac:dyDescent="0.25">
      <c r="A130" s="26">
        <v>46049</v>
      </c>
      <c r="B130" s="26">
        <v>46049</v>
      </c>
      <c r="C130" s="27" t="s">
        <v>203</v>
      </c>
      <c r="D130" s="27">
        <v>4</v>
      </c>
      <c r="E130" s="27">
        <f t="shared" si="12"/>
        <v>780</v>
      </c>
      <c r="F130" s="36" t="s">
        <v>29</v>
      </c>
      <c r="G130" s="36" t="s">
        <v>81</v>
      </c>
      <c r="H130" s="28">
        <f>H104-E130</f>
        <v>82060</v>
      </c>
      <c r="I130" s="28"/>
      <c r="J130" s="28"/>
      <c r="K130" s="27">
        <v>260126002</v>
      </c>
      <c r="L130" s="27"/>
      <c r="M130" s="27">
        <f>M129-D130</f>
        <v>9</v>
      </c>
      <c r="N130" s="19">
        <v>46024</v>
      </c>
      <c r="O130" s="21">
        <f t="shared" ref="O130:O138" si="16">DATE(YEAR(N130)+1,MONTH(N130),DAY(N130))-1</f>
        <v>46388</v>
      </c>
    </row>
    <row r="131" spans="1:15" ht="20.149999999999999" hidden="1" customHeight="1" x14ac:dyDescent="0.25">
      <c r="A131" s="22">
        <v>46049</v>
      </c>
      <c r="B131" s="22">
        <v>46049</v>
      </c>
      <c r="C131" s="23" t="s">
        <v>155</v>
      </c>
      <c r="D131" s="23">
        <v>8</v>
      </c>
      <c r="E131" s="23">
        <f t="shared" si="12"/>
        <v>1560</v>
      </c>
      <c r="F131" s="38" t="s">
        <v>27</v>
      </c>
      <c r="G131" s="38" t="s">
        <v>190</v>
      </c>
      <c r="H131" s="25">
        <f>H118-E131</f>
        <v>23400</v>
      </c>
      <c r="I131" s="25"/>
      <c r="J131" s="25"/>
      <c r="K131" s="23">
        <v>260126003</v>
      </c>
      <c r="L131" s="23"/>
      <c r="M131" s="23">
        <f>M130-D131</f>
        <v>1</v>
      </c>
      <c r="N131" s="19">
        <v>46024</v>
      </c>
      <c r="O131" s="21">
        <f t="shared" si="16"/>
        <v>46388</v>
      </c>
    </row>
    <row r="132" spans="1:15" ht="20.149999999999999" hidden="1" customHeight="1" x14ac:dyDescent="0.2">
      <c r="A132" s="33">
        <v>46049</v>
      </c>
      <c r="B132" s="33">
        <v>46049</v>
      </c>
      <c r="C132" s="34" t="s">
        <v>155</v>
      </c>
      <c r="D132" s="34">
        <v>1</v>
      </c>
      <c r="E132" s="34">
        <f t="shared" si="12"/>
        <v>195</v>
      </c>
      <c r="F132" s="39" t="s">
        <v>26</v>
      </c>
      <c r="G132" s="39" t="s">
        <v>205</v>
      </c>
      <c r="H132" s="35">
        <f>H122-E132</f>
        <v>20865</v>
      </c>
      <c r="I132" s="35"/>
      <c r="J132" s="35"/>
      <c r="K132" s="34">
        <v>260126004</v>
      </c>
      <c r="L132" s="34"/>
      <c r="M132" s="34">
        <f>M131-D132</f>
        <v>0</v>
      </c>
      <c r="N132" s="19">
        <v>46024</v>
      </c>
      <c r="O132" s="21">
        <f t="shared" si="16"/>
        <v>46388</v>
      </c>
    </row>
    <row r="133" spans="1:15" ht="20.149999999999999" hidden="1" customHeight="1" x14ac:dyDescent="0.2">
      <c r="A133" s="33">
        <v>46049</v>
      </c>
      <c r="B133" s="33">
        <v>46049</v>
      </c>
      <c r="C133" s="34" t="s">
        <v>156</v>
      </c>
      <c r="D133" s="34">
        <v>7</v>
      </c>
      <c r="E133" s="34">
        <f t="shared" si="12"/>
        <v>1365</v>
      </c>
      <c r="F133" s="39" t="s">
        <v>26</v>
      </c>
      <c r="G133" s="39" t="s">
        <v>117</v>
      </c>
      <c r="H133" s="35">
        <f>H132-E133</f>
        <v>19500</v>
      </c>
      <c r="I133" s="35"/>
      <c r="J133" s="35"/>
      <c r="K133" s="34">
        <v>260126004</v>
      </c>
      <c r="L133" s="34"/>
      <c r="M133" s="34">
        <f>M87-D133</f>
        <v>31</v>
      </c>
      <c r="N133" s="19">
        <v>46025</v>
      </c>
      <c r="O133" s="21">
        <f t="shared" si="16"/>
        <v>46389</v>
      </c>
    </row>
    <row r="134" spans="1:15" ht="20.149999999999999" hidden="1" customHeight="1" x14ac:dyDescent="0.3">
      <c r="A134" s="29">
        <v>46049</v>
      </c>
      <c r="B134" s="29">
        <v>46050</v>
      </c>
      <c r="C134" s="30" t="s">
        <v>156</v>
      </c>
      <c r="D134" s="30">
        <v>12</v>
      </c>
      <c r="E134" s="30">
        <f t="shared" si="12"/>
        <v>2340</v>
      </c>
      <c r="F134" s="37" t="s">
        <v>181</v>
      </c>
      <c r="G134" s="30" t="s">
        <v>206</v>
      </c>
      <c r="H134" s="32">
        <f>H120-E134</f>
        <v>50700</v>
      </c>
      <c r="I134" s="32"/>
      <c r="J134" s="32"/>
      <c r="K134" s="30">
        <v>260126005</v>
      </c>
      <c r="L134" s="30"/>
      <c r="M134" s="30">
        <f>M133-D134</f>
        <v>19</v>
      </c>
      <c r="N134" s="19">
        <v>46025</v>
      </c>
      <c r="O134" s="21">
        <f t="shared" si="16"/>
        <v>46389</v>
      </c>
    </row>
    <row r="135" spans="1:15" ht="20.149999999999999" hidden="1" customHeight="1" x14ac:dyDescent="0.25">
      <c r="A135" s="26">
        <v>46050</v>
      </c>
      <c r="B135" s="26">
        <v>46051</v>
      </c>
      <c r="C135" s="27" t="s">
        <v>156</v>
      </c>
      <c r="D135" s="27">
        <v>19</v>
      </c>
      <c r="E135" s="27">
        <f>D135*195</f>
        <v>3705</v>
      </c>
      <c r="F135" s="36" t="s">
        <v>207</v>
      </c>
      <c r="G135" s="36" t="s">
        <v>208</v>
      </c>
      <c r="H135" s="28">
        <f>H103-E135</f>
        <v>20475</v>
      </c>
      <c r="I135" s="28"/>
      <c r="J135" s="28"/>
      <c r="K135" s="27">
        <v>260127002</v>
      </c>
      <c r="L135" s="27"/>
      <c r="M135" s="27">
        <f>M134-D135</f>
        <v>0</v>
      </c>
      <c r="N135" s="19">
        <v>46025</v>
      </c>
      <c r="O135" s="21">
        <f t="shared" si="16"/>
        <v>46389</v>
      </c>
    </row>
    <row r="136" spans="1:15" ht="20.149999999999999" hidden="1" customHeight="1" x14ac:dyDescent="0.25">
      <c r="A136" s="26">
        <v>46050</v>
      </c>
      <c r="B136" s="26">
        <v>46051</v>
      </c>
      <c r="C136" s="27" t="s">
        <v>173</v>
      </c>
      <c r="D136" s="27">
        <v>9</v>
      </c>
      <c r="E136" s="27">
        <f>D136*195</f>
        <v>1755</v>
      </c>
      <c r="F136" s="36" t="s">
        <v>207</v>
      </c>
      <c r="G136" s="36" t="s">
        <v>130</v>
      </c>
      <c r="H136" s="28">
        <f>H135-E136</f>
        <v>18720</v>
      </c>
      <c r="I136" s="28"/>
      <c r="J136" s="28"/>
      <c r="K136" s="27">
        <v>260127002</v>
      </c>
      <c r="L136" s="27"/>
      <c r="M136" s="27">
        <f>M100-D136</f>
        <v>12</v>
      </c>
      <c r="N136" s="19">
        <v>46027</v>
      </c>
      <c r="O136" s="21">
        <f t="shared" si="16"/>
        <v>46391</v>
      </c>
    </row>
    <row r="137" spans="1:15" ht="20.149999999999999" hidden="1" customHeight="1" x14ac:dyDescent="0.25">
      <c r="A137" s="40">
        <v>46051</v>
      </c>
      <c r="B137" s="40">
        <v>46052</v>
      </c>
      <c r="C137" s="41" t="s">
        <v>174</v>
      </c>
      <c r="D137" s="41">
        <v>8</v>
      </c>
      <c r="E137" s="41">
        <f>D137*195</f>
        <v>1560</v>
      </c>
      <c r="F137" s="60" t="s">
        <v>210</v>
      </c>
      <c r="G137" s="60" t="s">
        <v>169</v>
      </c>
      <c r="H137" s="42">
        <f>H123-E137</f>
        <v>24180</v>
      </c>
      <c r="I137" s="42"/>
      <c r="J137" s="42"/>
      <c r="K137" s="41">
        <v>260128004</v>
      </c>
      <c r="L137" s="41"/>
      <c r="M137" s="41">
        <f>M101-D137</f>
        <v>9</v>
      </c>
      <c r="N137" s="19">
        <v>46029</v>
      </c>
      <c r="O137" s="21">
        <f t="shared" si="16"/>
        <v>46393</v>
      </c>
    </row>
    <row r="138" spans="1:15" ht="20.149999999999999" hidden="1" customHeight="1" x14ac:dyDescent="0.25">
      <c r="A138" s="40">
        <v>46051</v>
      </c>
      <c r="B138" s="40">
        <v>46052</v>
      </c>
      <c r="C138" s="41" t="s">
        <v>212</v>
      </c>
      <c r="D138" s="41">
        <v>4</v>
      </c>
      <c r="E138" s="41">
        <f>D138*195</f>
        <v>780</v>
      </c>
      <c r="F138" s="60" t="s">
        <v>210</v>
      </c>
      <c r="G138" s="60" t="s">
        <v>169</v>
      </c>
      <c r="H138" s="42">
        <f>H137-E138</f>
        <v>23400</v>
      </c>
      <c r="I138" s="121" t="s">
        <v>12</v>
      </c>
      <c r="J138" s="42"/>
      <c r="K138" s="41">
        <v>260128004</v>
      </c>
      <c r="L138" s="41">
        <v>26</v>
      </c>
      <c r="M138" s="41">
        <f>L138-D138</f>
        <v>22</v>
      </c>
      <c r="N138" s="19">
        <v>46036</v>
      </c>
      <c r="O138" s="21">
        <f t="shared" si="16"/>
        <v>46400</v>
      </c>
    </row>
    <row r="139" spans="1:15" ht="20.149999999999999" hidden="1" customHeight="1" x14ac:dyDescent="0.25">
      <c r="A139" s="22">
        <v>46051</v>
      </c>
      <c r="B139" s="22">
        <v>46052</v>
      </c>
      <c r="C139" s="23" t="s">
        <v>173</v>
      </c>
      <c r="D139" s="23">
        <v>12</v>
      </c>
      <c r="E139" s="23">
        <f>D139*195</f>
        <v>2340</v>
      </c>
      <c r="F139" s="38" t="s">
        <v>211</v>
      </c>
      <c r="G139" s="38" t="s">
        <v>111</v>
      </c>
      <c r="H139" s="25">
        <f>H124-E139</f>
        <v>4680</v>
      </c>
      <c r="I139" s="25"/>
      <c r="J139" s="25"/>
      <c r="K139" s="23">
        <v>260128005</v>
      </c>
      <c r="L139" s="23"/>
      <c r="M139" s="23">
        <f>M136-D139</f>
        <v>0</v>
      </c>
      <c r="N139" s="19">
        <v>46027</v>
      </c>
      <c r="O139" s="21">
        <f t="shared" ref="O139:O146" si="17">DATE(YEAR(N139)+1,MONTH(N139),DAY(N139))-1</f>
        <v>46391</v>
      </c>
    </row>
    <row r="140" spans="1:15" ht="20.149999999999999" hidden="1" customHeight="1" x14ac:dyDescent="0.3">
      <c r="A140" s="26">
        <v>46051</v>
      </c>
      <c r="B140" s="26">
        <v>46052</v>
      </c>
      <c r="C140" s="27" t="s">
        <v>174</v>
      </c>
      <c r="D140" s="27">
        <v>9</v>
      </c>
      <c r="E140" s="27">
        <f t="shared" ref="E140:E170" si="18">D140*195</f>
        <v>1755</v>
      </c>
      <c r="F140" s="36" t="s">
        <v>181</v>
      </c>
      <c r="G140" s="27" t="s">
        <v>185</v>
      </c>
      <c r="H140" s="28">
        <f>H134-E140</f>
        <v>48945</v>
      </c>
      <c r="I140" s="28"/>
      <c r="J140" s="28"/>
      <c r="K140" s="27">
        <v>260128006</v>
      </c>
      <c r="L140" s="27"/>
      <c r="M140" s="27">
        <f>M137-D140</f>
        <v>0</v>
      </c>
      <c r="N140" s="19">
        <v>46029</v>
      </c>
      <c r="O140" s="21">
        <f t="shared" si="17"/>
        <v>46393</v>
      </c>
    </row>
    <row r="141" spans="1:15" ht="20.149999999999999" hidden="1" customHeight="1" x14ac:dyDescent="0.3">
      <c r="A141" s="26">
        <v>46051</v>
      </c>
      <c r="B141" s="26">
        <v>46052</v>
      </c>
      <c r="C141" s="27" t="s">
        <v>182</v>
      </c>
      <c r="D141" s="27">
        <v>11</v>
      </c>
      <c r="E141" s="27">
        <f t="shared" si="18"/>
        <v>2145</v>
      </c>
      <c r="F141" s="36" t="s">
        <v>181</v>
      </c>
      <c r="G141" s="27" t="s">
        <v>185</v>
      </c>
      <c r="H141" s="28">
        <f>H140-E141</f>
        <v>46800</v>
      </c>
      <c r="I141" s="28"/>
      <c r="J141" s="28"/>
      <c r="K141" s="27">
        <v>260128006</v>
      </c>
      <c r="L141" s="27"/>
      <c r="M141" s="27">
        <f>M113-D141</f>
        <v>11</v>
      </c>
      <c r="N141" s="19">
        <v>46030</v>
      </c>
      <c r="O141" s="21">
        <f t="shared" si="17"/>
        <v>46394</v>
      </c>
    </row>
    <row r="142" spans="1:15" ht="20.149999999999999" hidden="1" customHeight="1" x14ac:dyDescent="0.3">
      <c r="A142" s="29">
        <v>46051</v>
      </c>
      <c r="B142" s="29">
        <v>46052</v>
      </c>
      <c r="C142" s="30" t="s">
        <v>182</v>
      </c>
      <c r="D142" s="30">
        <v>11</v>
      </c>
      <c r="E142" s="30">
        <f t="shared" si="18"/>
        <v>2145</v>
      </c>
      <c r="F142" s="37" t="s">
        <v>147</v>
      </c>
      <c r="G142" s="30" t="s">
        <v>216</v>
      </c>
      <c r="H142" s="32">
        <f>H125-E142</f>
        <v>6435</v>
      </c>
      <c r="I142" s="32"/>
      <c r="J142" s="32"/>
      <c r="K142" s="30">
        <v>260128007</v>
      </c>
      <c r="L142" s="30"/>
      <c r="M142" s="30">
        <f>M141-D142</f>
        <v>0</v>
      </c>
      <c r="N142" s="19">
        <v>46030</v>
      </c>
      <c r="O142" s="21">
        <f t="shared" si="17"/>
        <v>46394</v>
      </c>
    </row>
    <row r="143" spans="1:15" ht="20.149999999999999" hidden="1" customHeight="1" x14ac:dyDescent="0.3">
      <c r="A143" s="29">
        <v>46051</v>
      </c>
      <c r="B143" s="29">
        <v>46052</v>
      </c>
      <c r="C143" s="30" t="s">
        <v>183</v>
      </c>
      <c r="D143" s="30">
        <v>1</v>
      </c>
      <c r="E143" s="30">
        <f t="shared" si="18"/>
        <v>195</v>
      </c>
      <c r="F143" s="37" t="s">
        <v>147</v>
      </c>
      <c r="G143" s="30" t="s">
        <v>114</v>
      </c>
      <c r="H143" s="32">
        <f>H142-E143</f>
        <v>6240</v>
      </c>
      <c r="I143" s="32"/>
      <c r="J143" s="32"/>
      <c r="K143" s="30">
        <v>260128007</v>
      </c>
      <c r="L143" s="30"/>
      <c r="M143" s="30">
        <f>M114-D143</f>
        <v>16</v>
      </c>
      <c r="N143" s="19">
        <v>46031</v>
      </c>
      <c r="O143" s="21">
        <f t="shared" si="17"/>
        <v>46395</v>
      </c>
    </row>
    <row r="144" spans="1:15" ht="20.149999999999999" hidden="1" customHeight="1" x14ac:dyDescent="0.3">
      <c r="A144" s="33">
        <v>46051</v>
      </c>
      <c r="B144" s="33">
        <v>46052</v>
      </c>
      <c r="C144" s="34" t="s">
        <v>213</v>
      </c>
      <c r="D144" s="34">
        <v>4</v>
      </c>
      <c r="E144" s="34">
        <f t="shared" si="18"/>
        <v>780</v>
      </c>
      <c r="F144" s="39" t="s">
        <v>148</v>
      </c>
      <c r="G144" s="39" t="s">
        <v>100</v>
      </c>
      <c r="H144" s="35">
        <f>H127-E144</f>
        <v>7800</v>
      </c>
      <c r="I144" s="63" t="s">
        <v>12</v>
      </c>
      <c r="J144" s="35"/>
      <c r="K144" s="34">
        <v>260128008</v>
      </c>
      <c r="L144" s="34">
        <v>21</v>
      </c>
      <c r="M144" s="34">
        <f>L144-D144</f>
        <v>17</v>
      </c>
      <c r="N144" s="19">
        <v>46037</v>
      </c>
      <c r="O144" s="21">
        <f t="shared" si="17"/>
        <v>46401</v>
      </c>
    </row>
    <row r="145" spans="1:15" ht="20.149999999999999" hidden="1" customHeight="1" x14ac:dyDescent="0.3">
      <c r="A145" s="33">
        <v>46051</v>
      </c>
      <c r="B145" s="33">
        <v>46052</v>
      </c>
      <c r="C145" s="34" t="s">
        <v>214</v>
      </c>
      <c r="D145" s="34">
        <v>4</v>
      </c>
      <c r="E145" s="34">
        <f t="shared" si="18"/>
        <v>780</v>
      </c>
      <c r="F145" s="39" t="s">
        <v>148</v>
      </c>
      <c r="G145" s="39" t="s">
        <v>55</v>
      </c>
      <c r="H145" s="35">
        <f>H144-E145</f>
        <v>7020</v>
      </c>
      <c r="I145" s="63" t="s">
        <v>12</v>
      </c>
      <c r="J145" s="35"/>
      <c r="K145" s="34">
        <v>260128008</v>
      </c>
      <c r="L145" s="34">
        <v>25</v>
      </c>
      <c r="M145" s="34">
        <f>L145-D145</f>
        <v>21</v>
      </c>
      <c r="N145" s="19">
        <v>46038</v>
      </c>
      <c r="O145" s="21">
        <f t="shared" si="17"/>
        <v>46402</v>
      </c>
    </row>
    <row r="146" spans="1:15" ht="20.149999999999999" hidden="1" customHeight="1" x14ac:dyDescent="0.3">
      <c r="A146" s="33">
        <v>46051</v>
      </c>
      <c r="B146" s="33">
        <v>46052</v>
      </c>
      <c r="C146" s="34" t="s">
        <v>215</v>
      </c>
      <c r="D146" s="34">
        <v>4</v>
      </c>
      <c r="E146" s="34">
        <f t="shared" si="18"/>
        <v>780</v>
      </c>
      <c r="F146" s="39" t="s">
        <v>148</v>
      </c>
      <c r="G146" s="39" t="s">
        <v>55</v>
      </c>
      <c r="H146" s="35">
        <f>H145-E146</f>
        <v>6240</v>
      </c>
      <c r="I146" s="63" t="s">
        <v>12</v>
      </c>
      <c r="J146" s="35"/>
      <c r="K146" s="34">
        <v>260128008</v>
      </c>
      <c r="L146" s="34">
        <v>22</v>
      </c>
      <c r="M146" s="34">
        <f>L146-D146</f>
        <v>18</v>
      </c>
      <c r="N146" s="19">
        <v>46039</v>
      </c>
      <c r="O146" s="21">
        <f t="shared" si="17"/>
        <v>46403</v>
      </c>
    </row>
    <row r="147" spans="1:15" ht="20.149999999999999" hidden="1" customHeight="1" x14ac:dyDescent="0.25">
      <c r="A147" s="22">
        <v>46052</v>
      </c>
      <c r="B147" s="22">
        <v>46052</v>
      </c>
      <c r="C147" s="23" t="s">
        <v>183</v>
      </c>
      <c r="D147" s="23">
        <v>8</v>
      </c>
      <c r="E147" s="23">
        <f t="shared" si="18"/>
        <v>1560</v>
      </c>
      <c r="F147" s="38" t="s">
        <v>29</v>
      </c>
      <c r="G147" s="38" t="s">
        <v>81</v>
      </c>
      <c r="H147" s="25">
        <f>H130-E147</f>
        <v>80500</v>
      </c>
      <c r="I147" s="25"/>
      <c r="J147" s="25"/>
      <c r="K147" s="23">
        <v>260129004</v>
      </c>
      <c r="L147" s="23"/>
      <c r="M147" s="23">
        <f>M143-D147</f>
        <v>8</v>
      </c>
      <c r="N147" s="19">
        <v>46031</v>
      </c>
      <c r="O147" s="21">
        <f t="shared" ref="O147:O153" si="19">DATE(YEAR(N147)+1,MONTH(N147),DAY(N147))-1</f>
        <v>46395</v>
      </c>
    </row>
    <row r="148" spans="1:15" ht="20.149999999999999" hidden="1" customHeight="1" x14ac:dyDescent="0.25">
      <c r="A148" s="26">
        <v>46052</v>
      </c>
      <c r="B148" s="26">
        <v>46052</v>
      </c>
      <c r="C148" s="27" t="s">
        <v>193</v>
      </c>
      <c r="D148" s="27">
        <v>12</v>
      </c>
      <c r="E148" s="27">
        <f t="shared" si="18"/>
        <v>2340</v>
      </c>
      <c r="F148" s="36" t="s">
        <v>27</v>
      </c>
      <c r="G148" s="36" t="s">
        <v>219</v>
      </c>
      <c r="H148" s="28">
        <f>H131-E148</f>
        <v>21060</v>
      </c>
      <c r="I148" s="28"/>
      <c r="J148" s="28"/>
      <c r="K148" s="27">
        <v>260129005</v>
      </c>
      <c r="L148" s="27"/>
      <c r="M148" s="27">
        <f>M126-D148</f>
        <v>9</v>
      </c>
      <c r="N148" s="19">
        <v>46032</v>
      </c>
      <c r="O148" s="21">
        <f t="shared" si="19"/>
        <v>46396</v>
      </c>
    </row>
    <row r="149" spans="1:15" ht="20.149999999999999" hidden="1" customHeight="1" x14ac:dyDescent="0.2">
      <c r="A149" s="40">
        <v>46052</v>
      </c>
      <c r="B149" s="40">
        <v>46052</v>
      </c>
      <c r="C149" s="41" t="s">
        <v>193</v>
      </c>
      <c r="D149" s="41">
        <v>9</v>
      </c>
      <c r="E149" s="41">
        <f t="shared" si="18"/>
        <v>1755</v>
      </c>
      <c r="F149" s="60" t="s">
        <v>26</v>
      </c>
      <c r="G149" s="60" t="s">
        <v>117</v>
      </c>
      <c r="H149" s="42">
        <f>H133-E149</f>
        <v>17745</v>
      </c>
      <c r="I149" s="42"/>
      <c r="J149" s="42"/>
      <c r="K149" s="41">
        <v>260129006</v>
      </c>
      <c r="L149" s="41"/>
      <c r="M149" s="41">
        <f>M148-D149</f>
        <v>0</v>
      </c>
      <c r="N149" s="19">
        <v>46032</v>
      </c>
      <c r="O149" s="21">
        <f t="shared" si="19"/>
        <v>46396</v>
      </c>
    </row>
    <row r="150" spans="1:15" ht="20.149999999999999" hidden="1" customHeight="1" x14ac:dyDescent="0.2">
      <c r="A150" s="40">
        <v>46052</v>
      </c>
      <c r="B150" s="40">
        <v>46052</v>
      </c>
      <c r="C150" s="41" t="s">
        <v>194</v>
      </c>
      <c r="D150" s="41">
        <v>5</v>
      </c>
      <c r="E150" s="41">
        <f t="shared" si="18"/>
        <v>975</v>
      </c>
      <c r="F150" s="60" t="s">
        <v>26</v>
      </c>
      <c r="G150" s="60" t="s">
        <v>117</v>
      </c>
      <c r="H150" s="42">
        <f>H149-E150</f>
        <v>16770</v>
      </c>
      <c r="I150" s="42"/>
      <c r="J150" s="42"/>
      <c r="K150" s="41">
        <v>260129006</v>
      </c>
      <c r="L150" s="41"/>
      <c r="M150" s="41">
        <f>M127-D150</f>
        <v>12</v>
      </c>
      <c r="N150" s="19">
        <v>46034</v>
      </c>
      <c r="O150" s="21">
        <f t="shared" si="19"/>
        <v>46398</v>
      </c>
    </row>
    <row r="151" spans="1:15" ht="20.149999999999999" hidden="1" customHeight="1" x14ac:dyDescent="0.2">
      <c r="A151" s="40">
        <v>46052</v>
      </c>
      <c r="B151" s="40">
        <v>46052</v>
      </c>
      <c r="C151" s="41" t="s">
        <v>212</v>
      </c>
      <c r="D151" s="41">
        <v>2</v>
      </c>
      <c r="E151" s="41">
        <f t="shared" si="18"/>
        <v>390</v>
      </c>
      <c r="F151" s="60" t="s">
        <v>26</v>
      </c>
      <c r="G151" s="60" t="s">
        <v>117</v>
      </c>
      <c r="H151" s="42">
        <f>H150-E151</f>
        <v>16380</v>
      </c>
      <c r="I151" s="42"/>
      <c r="J151" s="42"/>
      <c r="K151" s="41">
        <v>260129006</v>
      </c>
      <c r="L151" s="41"/>
      <c r="M151" s="41">
        <f>M138-D151</f>
        <v>20</v>
      </c>
      <c r="N151" s="19">
        <v>46036</v>
      </c>
      <c r="O151" s="21">
        <f t="shared" si="19"/>
        <v>46400</v>
      </c>
    </row>
    <row r="152" spans="1:15" ht="20.149999999999999" hidden="1" customHeight="1" x14ac:dyDescent="0.25">
      <c r="A152" s="103">
        <v>46052</v>
      </c>
      <c r="B152" s="103">
        <v>46055</v>
      </c>
      <c r="C152" s="104" t="s">
        <v>212</v>
      </c>
      <c r="D152" s="104">
        <v>4</v>
      </c>
      <c r="E152" s="104">
        <f>D152*195</f>
        <v>780</v>
      </c>
      <c r="F152" s="105" t="s">
        <v>232</v>
      </c>
      <c r="G152" s="105" t="s">
        <v>233</v>
      </c>
      <c r="H152" s="106">
        <f>H139-E152</f>
        <v>3900</v>
      </c>
      <c r="I152" s="106"/>
      <c r="J152" s="106"/>
      <c r="K152" s="104">
        <v>260130001</v>
      </c>
      <c r="L152" s="104"/>
      <c r="M152" s="104">
        <f>M151-D152</f>
        <v>16</v>
      </c>
      <c r="N152" s="19">
        <v>46036</v>
      </c>
      <c r="O152" s="21">
        <f t="shared" si="19"/>
        <v>46400</v>
      </c>
    </row>
    <row r="153" spans="1:15" ht="20.149999999999999" hidden="1" customHeight="1" x14ac:dyDescent="0.25">
      <c r="A153" s="103">
        <v>46052</v>
      </c>
      <c r="B153" s="103">
        <v>46055</v>
      </c>
      <c r="C153" s="104" t="s">
        <v>213</v>
      </c>
      <c r="D153" s="104">
        <v>4</v>
      </c>
      <c r="E153" s="104">
        <f>D153*195</f>
        <v>780</v>
      </c>
      <c r="F153" s="105" t="s">
        <v>232</v>
      </c>
      <c r="G153" s="105" t="s">
        <v>111</v>
      </c>
      <c r="H153" s="106">
        <f>H152-E153</f>
        <v>3120</v>
      </c>
      <c r="I153" s="106"/>
      <c r="J153" s="106"/>
      <c r="K153" s="104">
        <v>260130001</v>
      </c>
      <c r="L153" s="104"/>
      <c r="M153" s="104">
        <f>M144-D153</f>
        <v>13</v>
      </c>
      <c r="N153" s="19">
        <v>46037</v>
      </c>
      <c r="O153" s="21">
        <f t="shared" si="19"/>
        <v>46401</v>
      </c>
    </row>
    <row r="154" spans="1:15" ht="20.149999999999999" hidden="1" customHeight="1" x14ac:dyDescent="0.3">
      <c r="A154" s="29">
        <v>46052</v>
      </c>
      <c r="B154" s="29">
        <v>46055</v>
      </c>
      <c r="C154" s="30" t="s">
        <v>183</v>
      </c>
      <c r="D154" s="30">
        <v>8</v>
      </c>
      <c r="E154" s="30">
        <f t="shared" si="18"/>
        <v>1560</v>
      </c>
      <c r="F154" s="37" t="s">
        <v>181</v>
      </c>
      <c r="G154" s="30" t="s">
        <v>220</v>
      </c>
      <c r="H154" s="32">
        <f>H141-E154</f>
        <v>45240</v>
      </c>
      <c r="I154" s="32"/>
      <c r="J154" s="32"/>
      <c r="K154" s="30">
        <v>260129007</v>
      </c>
      <c r="L154" s="30"/>
      <c r="M154" s="30">
        <f>M147-D154</f>
        <v>0</v>
      </c>
      <c r="N154" s="19">
        <v>46031</v>
      </c>
      <c r="O154" s="21">
        <f t="shared" ref="O154:O159" si="20">DATE(YEAR(N154)+1,MONTH(N154),DAY(N154))-1</f>
        <v>46395</v>
      </c>
    </row>
    <row r="155" spans="1:15" ht="20.149999999999999" hidden="1" customHeight="1" x14ac:dyDescent="0.2">
      <c r="A155" s="71">
        <v>46052</v>
      </c>
      <c r="B155" s="71">
        <v>46055</v>
      </c>
      <c r="C155" s="72" t="s">
        <v>194</v>
      </c>
      <c r="D155" s="72">
        <v>12</v>
      </c>
      <c r="E155" s="72">
        <f t="shared" si="18"/>
        <v>2340</v>
      </c>
      <c r="F155" s="73" t="s">
        <v>30</v>
      </c>
      <c r="G155" s="73" t="s">
        <v>143</v>
      </c>
      <c r="H155" s="74">
        <f>H128-E155</f>
        <v>14820</v>
      </c>
      <c r="I155" s="74"/>
      <c r="J155" s="74"/>
      <c r="K155" s="72">
        <v>260129008</v>
      </c>
      <c r="L155" s="72"/>
      <c r="M155" s="72">
        <f>M150-D155</f>
        <v>0</v>
      </c>
      <c r="N155" s="19">
        <v>46034</v>
      </c>
      <c r="O155" s="21">
        <f t="shared" si="20"/>
        <v>46398</v>
      </c>
    </row>
    <row r="156" spans="1:15" ht="20.149999999999999" hidden="1" customHeight="1" x14ac:dyDescent="0.2">
      <c r="A156" s="33">
        <v>46052</v>
      </c>
      <c r="B156" s="33">
        <v>46055</v>
      </c>
      <c r="C156" s="34" t="s">
        <v>212</v>
      </c>
      <c r="D156" s="34">
        <v>16</v>
      </c>
      <c r="E156" s="34">
        <f t="shared" si="18"/>
        <v>3120</v>
      </c>
      <c r="F156" s="39" t="s">
        <v>31</v>
      </c>
      <c r="G156" s="39" t="s">
        <v>87</v>
      </c>
      <c r="H156" s="35">
        <f>H129-E156</f>
        <v>35260</v>
      </c>
      <c r="I156" s="35"/>
      <c r="J156" s="35"/>
      <c r="K156" s="34">
        <v>260129009</v>
      </c>
      <c r="L156" s="34"/>
      <c r="M156" s="34">
        <f>M152-D156</f>
        <v>0</v>
      </c>
      <c r="N156" s="19">
        <v>46036</v>
      </c>
      <c r="O156" s="21">
        <f t="shared" si="20"/>
        <v>46400</v>
      </c>
    </row>
    <row r="157" spans="1:15" ht="20.149999999999999" hidden="1" customHeight="1" x14ac:dyDescent="0.25">
      <c r="A157" s="26">
        <v>46055</v>
      </c>
      <c r="B157" s="26">
        <v>46056</v>
      </c>
      <c r="C157" s="27" t="s">
        <v>234</v>
      </c>
      <c r="D157" s="27">
        <v>4</v>
      </c>
      <c r="E157" s="27">
        <f t="shared" si="18"/>
        <v>780</v>
      </c>
      <c r="F157" s="36" t="s">
        <v>240</v>
      </c>
      <c r="G157" s="36" t="s">
        <v>242</v>
      </c>
      <c r="H157" s="28">
        <f>H138-E157</f>
        <v>22620</v>
      </c>
      <c r="I157" s="61" t="s">
        <v>12</v>
      </c>
      <c r="J157" s="28"/>
      <c r="K157" s="27">
        <v>260130010</v>
      </c>
      <c r="L157" s="27">
        <v>41</v>
      </c>
      <c r="M157" s="27">
        <f>L157-D157</f>
        <v>37</v>
      </c>
      <c r="N157" s="19">
        <v>46040</v>
      </c>
      <c r="O157" s="21">
        <f t="shared" si="20"/>
        <v>46404</v>
      </c>
    </row>
    <row r="158" spans="1:15" ht="20.149999999999999" hidden="1" customHeight="1" x14ac:dyDescent="0.25">
      <c r="A158" s="26">
        <v>46055</v>
      </c>
      <c r="B158" s="26">
        <v>46056</v>
      </c>
      <c r="C158" s="27" t="s">
        <v>235</v>
      </c>
      <c r="D158" s="27">
        <v>4</v>
      </c>
      <c r="E158" s="27">
        <f t="shared" si="18"/>
        <v>780</v>
      </c>
      <c r="F158" s="36" t="s">
        <v>240</v>
      </c>
      <c r="G158" s="36" t="s">
        <v>169</v>
      </c>
      <c r="H158" s="28">
        <f>H157-E158</f>
        <v>21840</v>
      </c>
      <c r="I158" s="61" t="s">
        <v>12</v>
      </c>
      <c r="J158" s="28"/>
      <c r="K158" s="27">
        <v>260130010</v>
      </c>
      <c r="L158" s="27">
        <v>41</v>
      </c>
      <c r="M158" s="27">
        <f>L158-D158</f>
        <v>37</v>
      </c>
      <c r="N158" s="19">
        <v>46041</v>
      </c>
      <c r="O158" s="21">
        <f t="shared" si="20"/>
        <v>46405</v>
      </c>
    </row>
    <row r="159" spans="1:15" ht="20.149999999999999" hidden="1" customHeight="1" x14ac:dyDescent="0.25">
      <c r="A159" s="26">
        <v>46055</v>
      </c>
      <c r="B159" s="26">
        <v>46056</v>
      </c>
      <c r="C159" s="27" t="s">
        <v>236</v>
      </c>
      <c r="D159" s="27">
        <v>4</v>
      </c>
      <c r="E159" s="27">
        <f t="shared" si="18"/>
        <v>780</v>
      </c>
      <c r="F159" s="36" t="s">
        <v>240</v>
      </c>
      <c r="G159" s="36" t="s">
        <v>241</v>
      </c>
      <c r="H159" s="28">
        <f>H158-E159</f>
        <v>21060</v>
      </c>
      <c r="I159" s="61" t="s">
        <v>12</v>
      </c>
      <c r="J159" s="28"/>
      <c r="K159" s="27">
        <v>260130010</v>
      </c>
      <c r="L159" s="27">
        <v>42</v>
      </c>
      <c r="M159" s="27">
        <f>L159-D159</f>
        <v>38</v>
      </c>
      <c r="N159" s="19">
        <v>46043</v>
      </c>
      <c r="O159" s="21">
        <f t="shared" si="20"/>
        <v>46407</v>
      </c>
    </row>
    <row r="160" spans="1:15" ht="20.149999999999999" hidden="1" customHeight="1" x14ac:dyDescent="0.3">
      <c r="A160" s="22">
        <v>46055</v>
      </c>
      <c r="B160" s="22">
        <v>46056</v>
      </c>
      <c r="C160" s="23" t="s">
        <v>213</v>
      </c>
      <c r="D160" s="23">
        <v>12</v>
      </c>
      <c r="E160" s="23">
        <f t="shared" si="18"/>
        <v>2340</v>
      </c>
      <c r="F160" s="38" t="s">
        <v>147</v>
      </c>
      <c r="G160" s="23" t="s">
        <v>114</v>
      </c>
      <c r="H160" s="25">
        <f>H143-E160</f>
        <v>3900</v>
      </c>
      <c r="I160" s="25"/>
      <c r="J160" s="25"/>
      <c r="K160" s="23">
        <v>260130011</v>
      </c>
      <c r="L160" s="23"/>
      <c r="M160" s="23">
        <f>M153-D160</f>
        <v>1</v>
      </c>
      <c r="N160" s="19">
        <v>46037</v>
      </c>
      <c r="O160" s="21">
        <f t="shared" ref="O160:O177" si="21">DATE(YEAR(N160)+1,MONTH(N160),DAY(N160))-1</f>
        <v>46401</v>
      </c>
    </row>
    <row r="161" spans="1:15" ht="20.149999999999999" hidden="1" customHeight="1" x14ac:dyDescent="0.3">
      <c r="A161" s="40">
        <v>46055</v>
      </c>
      <c r="B161" s="40">
        <v>46056</v>
      </c>
      <c r="C161" s="41" t="s">
        <v>237</v>
      </c>
      <c r="D161" s="41">
        <v>4</v>
      </c>
      <c r="E161" s="41">
        <f t="shared" si="18"/>
        <v>780</v>
      </c>
      <c r="F161" s="60" t="s">
        <v>148</v>
      </c>
      <c r="G161" s="60" t="s">
        <v>55</v>
      </c>
      <c r="H161" s="42">
        <f>H146-E161</f>
        <v>5460</v>
      </c>
      <c r="I161" s="121" t="s">
        <v>12</v>
      </c>
      <c r="J161" s="42"/>
      <c r="K161" s="41">
        <v>260130012</v>
      </c>
      <c r="L161" s="41">
        <v>41</v>
      </c>
      <c r="M161" s="41">
        <f>L161-D161</f>
        <v>37</v>
      </c>
      <c r="N161" s="19">
        <v>46044</v>
      </c>
      <c r="O161" s="21">
        <f t="shared" si="21"/>
        <v>46408</v>
      </c>
    </row>
    <row r="162" spans="1:15" ht="20.149999999999999" hidden="1" customHeight="1" x14ac:dyDescent="0.3">
      <c r="A162" s="40">
        <v>46055</v>
      </c>
      <c r="B162" s="40">
        <v>46056</v>
      </c>
      <c r="C162" s="41" t="s">
        <v>238</v>
      </c>
      <c r="D162" s="41">
        <v>4</v>
      </c>
      <c r="E162" s="41">
        <f t="shared" si="18"/>
        <v>780</v>
      </c>
      <c r="F162" s="60" t="s">
        <v>148</v>
      </c>
      <c r="G162" s="60" t="s">
        <v>55</v>
      </c>
      <c r="H162" s="42">
        <f>H161-E162</f>
        <v>4680</v>
      </c>
      <c r="I162" s="121" t="s">
        <v>12</v>
      </c>
      <c r="J162" s="42"/>
      <c r="K162" s="41">
        <v>260130012</v>
      </c>
      <c r="L162" s="41">
        <v>41</v>
      </c>
      <c r="M162" s="41">
        <f>L162-D162</f>
        <v>37</v>
      </c>
      <c r="N162" s="19">
        <v>46045</v>
      </c>
      <c r="O162" s="21">
        <f t="shared" si="21"/>
        <v>46409</v>
      </c>
    </row>
    <row r="163" spans="1:15" ht="20.149999999999999" hidden="1" customHeight="1" x14ac:dyDescent="0.3">
      <c r="A163" s="40">
        <v>46055</v>
      </c>
      <c r="B163" s="40">
        <v>46056</v>
      </c>
      <c r="C163" s="41" t="s">
        <v>239</v>
      </c>
      <c r="D163" s="41">
        <v>4</v>
      </c>
      <c r="E163" s="41">
        <f t="shared" si="18"/>
        <v>780</v>
      </c>
      <c r="F163" s="60" t="s">
        <v>148</v>
      </c>
      <c r="G163" s="60" t="s">
        <v>55</v>
      </c>
      <c r="H163" s="42">
        <f>H162-E163</f>
        <v>3900</v>
      </c>
      <c r="I163" s="121" t="s">
        <v>12</v>
      </c>
      <c r="J163" s="42"/>
      <c r="K163" s="41">
        <v>260130012</v>
      </c>
      <c r="L163" s="41">
        <v>42</v>
      </c>
      <c r="M163" s="41">
        <f>L163-D163</f>
        <v>38</v>
      </c>
      <c r="N163" s="19">
        <v>46046</v>
      </c>
      <c r="O163" s="21">
        <f t="shared" si="21"/>
        <v>46410</v>
      </c>
    </row>
    <row r="164" spans="1:15" ht="20.149999999999999" hidden="1" customHeight="1" x14ac:dyDescent="0.25">
      <c r="A164" s="26">
        <v>46056</v>
      </c>
      <c r="B164" s="26">
        <v>46056</v>
      </c>
      <c r="C164" s="27" t="s">
        <v>248</v>
      </c>
      <c r="D164" s="27">
        <v>1</v>
      </c>
      <c r="E164" s="27">
        <f t="shared" si="18"/>
        <v>195</v>
      </c>
      <c r="F164" s="36" t="s">
        <v>29</v>
      </c>
      <c r="G164" s="36" t="s">
        <v>81</v>
      </c>
      <c r="H164" s="28">
        <f>H147-E164</f>
        <v>80305</v>
      </c>
      <c r="I164" s="28"/>
      <c r="J164" s="28"/>
      <c r="K164" s="27">
        <v>260202004</v>
      </c>
      <c r="L164" s="27"/>
      <c r="M164" s="27">
        <f>M160-D164</f>
        <v>0</v>
      </c>
      <c r="N164" s="19">
        <v>46037</v>
      </c>
      <c r="O164" s="21">
        <f t="shared" si="21"/>
        <v>46401</v>
      </c>
    </row>
    <row r="165" spans="1:15" ht="20.149999999999999" hidden="1" customHeight="1" x14ac:dyDescent="0.25">
      <c r="A165" s="26">
        <v>46056</v>
      </c>
      <c r="B165" s="26">
        <v>46056</v>
      </c>
      <c r="C165" s="27" t="s">
        <v>249</v>
      </c>
      <c r="D165" s="27">
        <v>7</v>
      </c>
      <c r="E165" s="27">
        <f t="shared" si="18"/>
        <v>1365</v>
      </c>
      <c r="F165" s="36" t="s">
        <v>29</v>
      </c>
      <c r="G165" s="36" t="s">
        <v>81</v>
      </c>
      <c r="H165" s="28">
        <f>H164-E165</f>
        <v>78940</v>
      </c>
      <c r="I165" s="28"/>
      <c r="J165" s="28"/>
      <c r="K165" s="27">
        <v>260202004</v>
      </c>
      <c r="L165" s="27"/>
      <c r="M165" s="27">
        <f>M145-D165</f>
        <v>14</v>
      </c>
      <c r="N165" s="19">
        <v>46038</v>
      </c>
      <c r="O165" s="21">
        <f t="shared" si="21"/>
        <v>46402</v>
      </c>
    </row>
    <row r="166" spans="1:15" ht="20.149999999999999" hidden="1" customHeight="1" x14ac:dyDescent="0.25">
      <c r="A166" s="33">
        <v>46056</v>
      </c>
      <c r="B166" s="33">
        <v>46056</v>
      </c>
      <c r="C166" s="34" t="s">
        <v>250</v>
      </c>
      <c r="D166" s="34">
        <v>12</v>
      </c>
      <c r="E166" s="34">
        <f t="shared" si="18"/>
        <v>2340</v>
      </c>
      <c r="F166" s="39" t="s">
        <v>27</v>
      </c>
      <c r="G166" s="39" t="s">
        <v>190</v>
      </c>
      <c r="H166" s="35">
        <f>H148-E166</f>
        <v>18720</v>
      </c>
      <c r="I166" s="35"/>
      <c r="J166" s="35"/>
      <c r="K166" s="34">
        <v>260202005</v>
      </c>
      <c r="L166" s="34"/>
      <c r="M166" s="34">
        <f>M165-D166</f>
        <v>2</v>
      </c>
      <c r="N166" s="19">
        <v>46038</v>
      </c>
      <c r="O166" s="21">
        <f t="shared" si="21"/>
        <v>46402</v>
      </c>
    </row>
    <row r="167" spans="1:15" ht="20.149999999999999" hidden="1" customHeight="1" x14ac:dyDescent="0.2">
      <c r="A167" s="29">
        <v>46056</v>
      </c>
      <c r="B167" s="29">
        <v>46056</v>
      </c>
      <c r="C167" s="30" t="s">
        <v>251</v>
      </c>
      <c r="D167" s="30">
        <v>8</v>
      </c>
      <c r="E167" s="30">
        <f t="shared" si="18"/>
        <v>1560</v>
      </c>
      <c r="F167" s="37" t="s">
        <v>26</v>
      </c>
      <c r="G167" s="37" t="s">
        <v>254</v>
      </c>
      <c r="H167" s="32">
        <f>H151-E167</f>
        <v>14820</v>
      </c>
      <c r="I167" s="32"/>
      <c r="J167" s="32"/>
      <c r="K167" s="30">
        <v>260202006</v>
      </c>
      <c r="L167" s="30"/>
      <c r="M167" s="30">
        <f>M146-D167</f>
        <v>10</v>
      </c>
      <c r="N167" s="19">
        <v>46039</v>
      </c>
      <c r="O167" s="21">
        <f t="shared" si="21"/>
        <v>46403</v>
      </c>
    </row>
    <row r="168" spans="1:15" ht="20.149999999999999" hidden="1" customHeight="1" x14ac:dyDescent="0.2">
      <c r="A168" s="29">
        <v>46056</v>
      </c>
      <c r="B168" s="29">
        <v>46056</v>
      </c>
      <c r="C168" s="30" t="s">
        <v>252</v>
      </c>
      <c r="D168" s="30">
        <v>8</v>
      </c>
      <c r="E168" s="30">
        <f t="shared" si="18"/>
        <v>1560</v>
      </c>
      <c r="F168" s="37" t="s">
        <v>26</v>
      </c>
      <c r="G168" s="37" t="s">
        <v>253</v>
      </c>
      <c r="H168" s="32">
        <f>H167-E168</f>
        <v>13260</v>
      </c>
      <c r="I168" s="32"/>
      <c r="J168" s="32"/>
      <c r="K168" s="30">
        <v>260202006</v>
      </c>
      <c r="L168" s="30"/>
      <c r="M168" s="30">
        <f>M157-D168</f>
        <v>29</v>
      </c>
      <c r="N168" s="19">
        <v>46040</v>
      </c>
      <c r="O168" s="21">
        <f t="shared" si="21"/>
        <v>46404</v>
      </c>
    </row>
    <row r="169" spans="1:15" ht="20.149999999999999" hidden="1" customHeight="1" x14ac:dyDescent="0.3">
      <c r="A169" s="22">
        <v>46056</v>
      </c>
      <c r="B169" s="22">
        <v>46057</v>
      </c>
      <c r="C169" s="23" t="s">
        <v>251</v>
      </c>
      <c r="D169" s="23">
        <v>4</v>
      </c>
      <c r="E169" s="23">
        <f t="shared" si="18"/>
        <v>780</v>
      </c>
      <c r="F169" s="38" t="s">
        <v>181</v>
      </c>
      <c r="G169" s="23" t="s">
        <v>255</v>
      </c>
      <c r="H169" s="25">
        <f>H154-E169</f>
        <v>44460</v>
      </c>
      <c r="I169" s="25"/>
      <c r="J169" s="25"/>
      <c r="K169" s="23">
        <v>260202008</v>
      </c>
      <c r="L169" s="23"/>
      <c r="M169" s="23">
        <f>M167-D169</f>
        <v>6</v>
      </c>
      <c r="N169" s="19">
        <v>46039</v>
      </c>
      <c r="O169" s="21">
        <f t="shared" si="21"/>
        <v>46403</v>
      </c>
    </row>
    <row r="170" spans="1:15" ht="20.149999999999999" hidden="1" customHeight="1" x14ac:dyDescent="0.3">
      <c r="A170" s="22">
        <v>46056</v>
      </c>
      <c r="B170" s="22">
        <v>46057</v>
      </c>
      <c r="C170" s="23" t="s">
        <v>252</v>
      </c>
      <c r="D170" s="23">
        <v>12</v>
      </c>
      <c r="E170" s="23">
        <f t="shared" si="18"/>
        <v>2340</v>
      </c>
      <c r="F170" s="38" t="s">
        <v>181</v>
      </c>
      <c r="G170" s="23" t="s">
        <v>220</v>
      </c>
      <c r="H170" s="25">
        <f>H169-E170</f>
        <v>42120</v>
      </c>
      <c r="I170" s="25"/>
      <c r="J170" s="25"/>
      <c r="K170" s="23">
        <v>260202008</v>
      </c>
      <c r="L170" s="23"/>
      <c r="M170" s="23">
        <f>M168-D170</f>
        <v>17</v>
      </c>
      <c r="N170" s="19">
        <v>46040</v>
      </c>
      <c r="O170" s="21">
        <f t="shared" si="21"/>
        <v>46404</v>
      </c>
    </row>
    <row r="171" spans="1:15" ht="20.149999999999999" hidden="1" customHeight="1" x14ac:dyDescent="0.2">
      <c r="A171" s="33">
        <v>46057</v>
      </c>
      <c r="B171" s="33">
        <v>46058</v>
      </c>
      <c r="C171" s="34" t="s">
        <v>260</v>
      </c>
      <c r="D171" s="34">
        <v>17</v>
      </c>
      <c r="E171" s="34">
        <f>D171*195</f>
        <v>3315</v>
      </c>
      <c r="F171" s="39" t="s">
        <v>262</v>
      </c>
      <c r="G171" s="39" t="s">
        <v>130</v>
      </c>
      <c r="H171" s="35">
        <f>H136-E171</f>
        <v>15405</v>
      </c>
      <c r="I171" s="35"/>
      <c r="J171" s="35"/>
      <c r="K171" s="34">
        <v>260203004</v>
      </c>
      <c r="L171" s="34"/>
      <c r="M171" s="34">
        <f>M170-D171</f>
        <v>0</v>
      </c>
      <c r="N171" s="19">
        <v>46040</v>
      </c>
      <c r="O171" s="21">
        <f t="shared" si="21"/>
        <v>46404</v>
      </c>
    </row>
    <row r="172" spans="1:15" ht="20.149999999999999" hidden="1" customHeight="1" x14ac:dyDescent="0.2">
      <c r="A172" s="33">
        <v>46057</v>
      </c>
      <c r="B172" s="33">
        <v>46058</v>
      </c>
      <c r="C172" s="34" t="s">
        <v>261</v>
      </c>
      <c r="D172" s="34">
        <v>7</v>
      </c>
      <c r="E172" s="34">
        <f>D172*195</f>
        <v>1365</v>
      </c>
      <c r="F172" s="39" t="s">
        <v>262</v>
      </c>
      <c r="G172" s="39" t="s">
        <v>130</v>
      </c>
      <c r="H172" s="35">
        <f>H171-E172</f>
        <v>14040</v>
      </c>
      <c r="I172" s="35"/>
      <c r="J172" s="35"/>
      <c r="K172" s="34">
        <v>260203004</v>
      </c>
      <c r="L172" s="34"/>
      <c r="M172" s="34">
        <f>M158-D172</f>
        <v>30</v>
      </c>
      <c r="N172" s="19">
        <v>46041</v>
      </c>
      <c r="O172" s="21">
        <f t="shared" si="21"/>
        <v>46405</v>
      </c>
    </row>
    <row r="173" spans="1:15" ht="20.149999999999999" hidden="1" customHeight="1" x14ac:dyDescent="0.2">
      <c r="A173" s="40">
        <v>46057</v>
      </c>
      <c r="B173" s="40" t="s">
        <v>259</v>
      </c>
      <c r="C173" s="41" t="s">
        <v>263</v>
      </c>
      <c r="D173" s="41">
        <v>2</v>
      </c>
      <c r="E173" s="41">
        <f>D173*195</f>
        <v>390</v>
      </c>
      <c r="F173" s="60" t="s">
        <v>20</v>
      </c>
      <c r="G173" s="60" t="s">
        <v>111</v>
      </c>
      <c r="H173" s="42">
        <f>H153-E173</f>
        <v>2730</v>
      </c>
      <c r="I173" s="42"/>
      <c r="J173" s="42"/>
      <c r="K173" s="41">
        <v>260203003</v>
      </c>
      <c r="L173" s="41"/>
      <c r="M173" s="41">
        <f>M166-D173</f>
        <v>0</v>
      </c>
      <c r="N173" s="19">
        <v>46038</v>
      </c>
      <c r="O173" s="21">
        <f t="shared" si="21"/>
        <v>46402</v>
      </c>
    </row>
    <row r="174" spans="1:15" ht="20.149999999999999" hidden="1" customHeight="1" x14ac:dyDescent="0.2">
      <c r="A174" s="40">
        <v>46057</v>
      </c>
      <c r="B174" s="40" t="s">
        <v>259</v>
      </c>
      <c r="C174" s="41" t="s">
        <v>251</v>
      </c>
      <c r="D174" s="41">
        <v>6</v>
      </c>
      <c r="E174" s="41">
        <f>D174*195</f>
        <v>1170</v>
      </c>
      <c r="F174" s="60" t="s">
        <v>20</v>
      </c>
      <c r="G174" s="60" t="s">
        <v>111</v>
      </c>
      <c r="H174" s="42">
        <f>H173-E174</f>
        <v>1560</v>
      </c>
      <c r="I174" s="42"/>
      <c r="J174" s="42"/>
      <c r="K174" s="41">
        <v>260203003</v>
      </c>
      <c r="L174" s="41"/>
      <c r="M174" s="41">
        <f>M169-D174</f>
        <v>0</v>
      </c>
      <c r="N174" s="19">
        <v>46039</v>
      </c>
      <c r="O174" s="21">
        <f t="shared" si="21"/>
        <v>46403</v>
      </c>
    </row>
    <row r="175" spans="1:15" ht="20.149999999999999" hidden="1" customHeight="1" x14ac:dyDescent="0.25">
      <c r="A175" s="22">
        <v>46058</v>
      </c>
      <c r="B175" s="22">
        <v>46059</v>
      </c>
      <c r="C175" s="23" t="s">
        <v>264</v>
      </c>
      <c r="D175" s="23">
        <v>4</v>
      </c>
      <c r="E175" s="23">
        <f t="shared" ref="E175:E190" si="22">D175*195</f>
        <v>780</v>
      </c>
      <c r="F175" s="38" t="s">
        <v>267</v>
      </c>
      <c r="G175" s="38" t="s">
        <v>169</v>
      </c>
      <c r="H175" s="25">
        <f>H159-E175</f>
        <v>20280</v>
      </c>
      <c r="I175" s="43" t="s">
        <v>12</v>
      </c>
      <c r="J175" s="25"/>
      <c r="K175" s="23">
        <v>260204002</v>
      </c>
      <c r="L175" s="23">
        <v>41</v>
      </c>
      <c r="M175" s="23">
        <f>L175-D175</f>
        <v>37</v>
      </c>
      <c r="N175" s="19">
        <v>46047</v>
      </c>
      <c r="O175" s="21">
        <f t="shared" si="21"/>
        <v>46411</v>
      </c>
    </row>
    <row r="176" spans="1:15" ht="20.149999999999999" hidden="1" customHeight="1" x14ac:dyDescent="0.25">
      <c r="A176" s="22">
        <v>46058</v>
      </c>
      <c r="B176" s="22">
        <v>46059</v>
      </c>
      <c r="C176" s="23" t="s">
        <v>265</v>
      </c>
      <c r="D176" s="23">
        <v>4</v>
      </c>
      <c r="E176" s="23">
        <f t="shared" si="22"/>
        <v>780</v>
      </c>
      <c r="F176" s="38" t="s">
        <v>267</v>
      </c>
      <c r="G176" s="38" t="s">
        <v>169</v>
      </c>
      <c r="H176" s="25">
        <f>H175-E176</f>
        <v>19500</v>
      </c>
      <c r="I176" s="43" t="s">
        <v>12</v>
      </c>
      <c r="J176" s="25"/>
      <c r="K176" s="23">
        <v>260204002</v>
      </c>
      <c r="L176" s="23">
        <v>41</v>
      </c>
      <c r="M176" s="23">
        <f>L176-D176</f>
        <v>37</v>
      </c>
      <c r="N176" s="19">
        <v>46048</v>
      </c>
      <c r="O176" s="21">
        <f t="shared" si="21"/>
        <v>46412</v>
      </c>
    </row>
    <row r="177" spans="1:15" ht="20.149999999999999" hidden="1" customHeight="1" x14ac:dyDescent="0.25">
      <c r="A177" s="22">
        <v>46058</v>
      </c>
      <c r="B177" s="22">
        <v>46059</v>
      </c>
      <c r="C177" s="23" t="s">
        <v>266</v>
      </c>
      <c r="D177" s="23">
        <v>4</v>
      </c>
      <c r="E177" s="23">
        <f t="shared" si="22"/>
        <v>780</v>
      </c>
      <c r="F177" s="38" t="s">
        <v>267</v>
      </c>
      <c r="G177" s="38" t="s">
        <v>169</v>
      </c>
      <c r="H177" s="25">
        <f>H176-E177</f>
        <v>18720</v>
      </c>
      <c r="I177" s="43" t="s">
        <v>12</v>
      </c>
      <c r="J177" s="25"/>
      <c r="K177" s="23">
        <v>260204002</v>
      </c>
      <c r="L177" s="23">
        <v>41</v>
      </c>
      <c r="M177" s="23">
        <f>L177-D177</f>
        <v>37</v>
      </c>
      <c r="N177" s="19">
        <v>46049</v>
      </c>
      <c r="O177" s="21">
        <f t="shared" si="21"/>
        <v>46413</v>
      </c>
    </row>
    <row r="178" spans="1:15" ht="20.149999999999999" hidden="1" customHeight="1" x14ac:dyDescent="0.2">
      <c r="A178" s="29">
        <v>46058</v>
      </c>
      <c r="B178" s="29">
        <v>46059</v>
      </c>
      <c r="C178" s="30" t="s">
        <v>268</v>
      </c>
      <c r="D178" s="30">
        <v>8</v>
      </c>
      <c r="E178" s="30">
        <f t="shared" si="22"/>
        <v>1560</v>
      </c>
      <c r="F178" s="37" t="s">
        <v>20</v>
      </c>
      <c r="G178" s="37" t="s">
        <v>111</v>
      </c>
      <c r="H178" s="32">
        <f>H174-E178</f>
        <v>0</v>
      </c>
      <c r="I178" s="32"/>
      <c r="J178" s="32"/>
      <c r="K178" s="30">
        <v>260204003</v>
      </c>
      <c r="L178" s="30"/>
      <c r="M178" s="30">
        <f>M172-D178</f>
        <v>22</v>
      </c>
      <c r="N178" s="19">
        <v>46041</v>
      </c>
      <c r="O178" s="21">
        <f t="shared" ref="O178:O184" si="23">DATE(YEAR(N178)+1,MONTH(N178),DAY(N178))-1</f>
        <v>46405</v>
      </c>
    </row>
    <row r="179" spans="1:15" ht="20.149999999999999" hidden="1" customHeight="1" x14ac:dyDescent="0.25">
      <c r="A179" s="33">
        <v>46058</v>
      </c>
      <c r="B179" s="33">
        <v>46059</v>
      </c>
      <c r="C179" s="34" t="s">
        <v>235</v>
      </c>
      <c r="D179" s="34">
        <v>20</v>
      </c>
      <c r="E179" s="34">
        <f t="shared" si="22"/>
        <v>3900</v>
      </c>
      <c r="F179" s="39" t="s">
        <v>269</v>
      </c>
      <c r="G179" s="34" t="s">
        <v>278</v>
      </c>
      <c r="H179" s="35">
        <f>H170-E179</f>
        <v>38220</v>
      </c>
      <c r="I179" s="35"/>
      <c r="J179" s="35"/>
      <c r="K179" s="34">
        <v>260204004</v>
      </c>
      <c r="L179" s="34"/>
      <c r="M179" s="34">
        <f>M178-D179</f>
        <v>2</v>
      </c>
      <c r="N179" s="19">
        <v>46041</v>
      </c>
      <c r="O179" s="21">
        <f t="shared" si="23"/>
        <v>46405</v>
      </c>
    </row>
    <row r="180" spans="1:15" ht="20.149999999999999" hidden="1" customHeight="1" x14ac:dyDescent="0.3">
      <c r="A180" s="40">
        <v>46058</v>
      </c>
      <c r="B180" s="40">
        <v>46059</v>
      </c>
      <c r="C180" s="41" t="s">
        <v>235</v>
      </c>
      <c r="D180" s="41">
        <v>2</v>
      </c>
      <c r="E180" s="41">
        <f t="shared" si="22"/>
        <v>390</v>
      </c>
      <c r="F180" s="60" t="s">
        <v>270</v>
      </c>
      <c r="G180" s="41" t="s">
        <v>127</v>
      </c>
      <c r="H180" s="42">
        <f>H160-E180</f>
        <v>3510</v>
      </c>
      <c r="I180" s="42"/>
      <c r="J180" s="42"/>
      <c r="K180" s="41">
        <v>260204005</v>
      </c>
      <c r="L180" s="41"/>
      <c r="M180" s="41">
        <f>M179-D180</f>
        <v>0</v>
      </c>
      <c r="N180" s="19">
        <v>46041</v>
      </c>
      <c r="O180" s="21">
        <f t="shared" si="23"/>
        <v>46405</v>
      </c>
    </row>
    <row r="181" spans="1:15" ht="20.149999999999999" hidden="1" customHeight="1" x14ac:dyDescent="0.3">
      <c r="A181" s="40">
        <v>46058</v>
      </c>
      <c r="B181" s="40">
        <v>46059</v>
      </c>
      <c r="C181" s="41" t="s">
        <v>236</v>
      </c>
      <c r="D181" s="41">
        <v>10</v>
      </c>
      <c r="E181" s="41">
        <f t="shared" si="22"/>
        <v>1950</v>
      </c>
      <c r="F181" s="60" t="s">
        <v>270</v>
      </c>
      <c r="G181" s="41" t="s">
        <v>114</v>
      </c>
      <c r="H181" s="42">
        <f>H180-E181</f>
        <v>1560</v>
      </c>
      <c r="I181" s="42"/>
      <c r="J181" s="42"/>
      <c r="K181" s="41">
        <v>260204005</v>
      </c>
      <c r="L181" s="41"/>
      <c r="M181" s="41">
        <f>M159-D181</f>
        <v>28</v>
      </c>
      <c r="N181" s="19">
        <v>46043</v>
      </c>
      <c r="O181" s="21">
        <f t="shared" si="23"/>
        <v>46407</v>
      </c>
    </row>
    <row r="182" spans="1:15" ht="20.149999999999999" hidden="1" customHeight="1" x14ac:dyDescent="0.3">
      <c r="A182" s="26">
        <v>46058</v>
      </c>
      <c r="B182" s="26">
        <v>46059</v>
      </c>
      <c r="C182" s="27" t="s">
        <v>271</v>
      </c>
      <c r="D182" s="27">
        <v>4</v>
      </c>
      <c r="E182" s="27">
        <f t="shared" si="22"/>
        <v>780</v>
      </c>
      <c r="F182" s="36" t="s">
        <v>274</v>
      </c>
      <c r="G182" s="36" t="s">
        <v>55</v>
      </c>
      <c r="H182" s="28">
        <f>H163-E182</f>
        <v>3120</v>
      </c>
      <c r="I182" s="61" t="s">
        <v>12</v>
      </c>
      <c r="J182" s="28"/>
      <c r="K182" s="27">
        <v>260204006</v>
      </c>
      <c r="L182" s="27">
        <v>42</v>
      </c>
      <c r="M182" s="27">
        <f>L182-D182</f>
        <v>38</v>
      </c>
      <c r="N182" s="19">
        <v>46050</v>
      </c>
      <c r="O182" s="21">
        <f t="shared" si="23"/>
        <v>46414</v>
      </c>
    </row>
    <row r="183" spans="1:15" ht="20.149999999999999" hidden="1" customHeight="1" x14ac:dyDescent="0.3">
      <c r="A183" s="26">
        <v>46058</v>
      </c>
      <c r="B183" s="26">
        <v>46059</v>
      </c>
      <c r="C183" s="27" t="s">
        <v>272</v>
      </c>
      <c r="D183" s="27">
        <v>4</v>
      </c>
      <c r="E183" s="27">
        <f t="shared" si="22"/>
        <v>780</v>
      </c>
      <c r="F183" s="36" t="s">
        <v>274</v>
      </c>
      <c r="G183" s="36" t="s">
        <v>55</v>
      </c>
      <c r="H183" s="28">
        <f>H182-E183</f>
        <v>2340</v>
      </c>
      <c r="I183" s="61" t="s">
        <v>12</v>
      </c>
      <c r="J183" s="28"/>
      <c r="K183" s="27">
        <v>260204006</v>
      </c>
      <c r="L183" s="27">
        <v>41</v>
      </c>
      <c r="M183" s="27">
        <f>L183-D183</f>
        <v>37</v>
      </c>
      <c r="N183" s="19">
        <v>46051</v>
      </c>
      <c r="O183" s="21">
        <f t="shared" si="23"/>
        <v>46415</v>
      </c>
    </row>
    <row r="184" spans="1:15" ht="20.149999999999999" hidden="1" customHeight="1" x14ac:dyDescent="0.3">
      <c r="A184" s="26">
        <v>46058</v>
      </c>
      <c r="B184" s="26">
        <v>46059</v>
      </c>
      <c r="C184" s="27" t="s">
        <v>273</v>
      </c>
      <c r="D184" s="27">
        <v>4</v>
      </c>
      <c r="E184" s="27">
        <f t="shared" si="22"/>
        <v>780</v>
      </c>
      <c r="F184" s="36" t="s">
        <v>274</v>
      </c>
      <c r="G184" s="36" t="s">
        <v>55</v>
      </c>
      <c r="H184" s="28">
        <f>H183-E184</f>
        <v>1560</v>
      </c>
      <c r="I184" s="61" t="s">
        <v>12</v>
      </c>
      <c r="J184" s="28"/>
      <c r="K184" s="27">
        <v>260204006</v>
      </c>
      <c r="L184" s="27">
        <v>37</v>
      </c>
      <c r="M184" s="27">
        <f>L184-D184</f>
        <v>33</v>
      </c>
      <c r="N184" s="19">
        <v>46052</v>
      </c>
      <c r="O184" s="21">
        <f t="shared" si="23"/>
        <v>46416</v>
      </c>
    </row>
    <row r="185" spans="1:15" ht="20.149999999999999" hidden="1" customHeight="1" x14ac:dyDescent="0.2">
      <c r="A185" s="90">
        <v>46058</v>
      </c>
      <c r="B185" s="90">
        <v>46059</v>
      </c>
      <c r="C185" s="91" t="s">
        <v>275</v>
      </c>
      <c r="D185" s="91">
        <v>12</v>
      </c>
      <c r="E185" s="91">
        <f t="shared" si="22"/>
        <v>2340</v>
      </c>
      <c r="F185" s="92" t="s">
        <v>30</v>
      </c>
      <c r="G185" s="92" t="s">
        <v>279</v>
      </c>
      <c r="H185" s="93">
        <f>H155-E185</f>
        <v>12480</v>
      </c>
      <c r="I185" s="93"/>
      <c r="J185" s="93"/>
      <c r="K185" s="91">
        <v>260204007</v>
      </c>
      <c r="L185" s="91"/>
      <c r="M185" s="91">
        <f>M181-D185</f>
        <v>16</v>
      </c>
      <c r="N185" s="19">
        <v>46043</v>
      </c>
      <c r="O185" s="21">
        <f>DATE(YEAR(N185)+1,MONTH(N185),DAY(N185))-1</f>
        <v>46407</v>
      </c>
    </row>
    <row r="186" spans="1:15" ht="20.149999999999999" hidden="1" customHeight="1" x14ac:dyDescent="0.2">
      <c r="A186" s="71">
        <v>46058</v>
      </c>
      <c r="B186" s="71">
        <v>46059</v>
      </c>
      <c r="C186" s="72" t="s">
        <v>237</v>
      </c>
      <c r="D186" s="72">
        <v>8</v>
      </c>
      <c r="E186" s="72">
        <f t="shared" si="22"/>
        <v>1560</v>
      </c>
      <c r="F186" s="73" t="s">
        <v>31</v>
      </c>
      <c r="G186" s="73" t="s">
        <v>87</v>
      </c>
      <c r="H186" s="74">
        <f>H156-E186</f>
        <v>33700</v>
      </c>
      <c r="I186" s="74"/>
      <c r="J186" s="74"/>
      <c r="K186" s="72">
        <v>260204008</v>
      </c>
      <c r="L186" s="72"/>
      <c r="M186" s="72">
        <f>M161-D186</f>
        <v>29</v>
      </c>
      <c r="N186" s="19">
        <v>46044</v>
      </c>
      <c r="O186" s="21">
        <f>DATE(YEAR(N186)+1,MONTH(N186),DAY(N186))-1</f>
        <v>46408</v>
      </c>
    </row>
    <row r="187" spans="1:15" ht="20.149999999999999" hidden="1" customHeight="1" x14ac:dyDescent="0.25">
      <c r="A187" s="26">
        <v>46059</v>
      </c>
      <c r="B187" s="26">
        <v>46059</v>
      </c>
      <c r="C187" s="27" t="s">
        <v>236</v>
      </c>
      <c r="D187" s="27">
        <v>8</v>
      </c>
      <c r="E187" s="27">
        <f t="shared" si="22"/>
        <v>1560</v>
      </c>
      <c r="F187" s="36" t="s">
        <v>27</v>
      </c>
      <c r="G187" s="36" t="s">
        <v>190</v>
      </c>
      <c r="H187" s="28">
        <f>H166-E187</f>
        <v>17160</v>
      </c>
      <c r="I187" s="28"/>
      <c r="J187" s="28"/>
      <c r="K187" s="27">
        <v>260205003</v>
      </c>
      <c r="L187" s="27"/>
      <c r="M187" s="27">
        <f>M185-D187</f>
        <v>8</v>
      </c>
      <c r="N187" s="19">
        <v>46043</v>
      </c>
      <c r="O187" s="21">
        <f t="shared" ref="O187:O193" si="24">DATE(YEAR(N187)+1,MONTH(N187),DAY(N187))-1</f>
        <v>46407</v>
      </c>
    </row>
    <row r="188" spans="1:15" ht="20.149999999999999" hidden="1" customHeight="1" x14ac:dyDescent="0.2">
      <c r="A188" s="22">
        <v>46059</v>
      </c>
      <c r="B188" s="22">
        <v>46059</v>
      </c>
      <c r="C188" s="23" t="s">
        <v>236</v>
      </c>
      <c r="D188" s="23">
        <v>8</v>
      </c>
      <c r="E188" s="23">
        <f t="shared" si="22"/>
        <v>1560</v>
      </c>
      <c r="F188" s="38" t="s">
        <v>26</v>
      </c>
      <c r="G188" s="38" t="s">
        <v>117</v>
      </c>
      <c r="H188" s="25">
        <f>H168-E188</f>
        <v>11700</v>
      </c>
      <c r="I188" s="25"/>
      <c r="J188" s="25"/>
      <c r="K188" s="23">
        <v>260205005</v>
      </c>
      <c r="L188" s="23"/>
      <c r="M188" s="23">
        <f>M187-D188</f>
        <v>0</v>
      </c>
      <c r="N188" s="19">
        <v>46043</v>
      </c>
      <c r="O188" s="21">
        <f t="shared" si="24"/>
        <v>46407</v>
      </c>
    </row>
    <row r="189" spans="1:15" ht="20.149999999999999" hidden="1" customHeight="1" x14ac:dyDescent="0.2">
      <c r="A189" s="22">
        <v>46059</v>
      </c>
      <c r="B189" s="22">
        <v>46059</v>
      </c>
      <c r="C189" s="23" t="s">
        <v>237</v>
      </c>
      <c r="D189" s="23">
        <v>4</v>
      </c>
      <c r="E189" s="23">
        <f t="shared" si="22"/>
        <v>780</v>
      </c>
      <c r="F189" s="38" t="s">
        <v>26</v>
      </c>
      <c r="G189" s="38" t="s">
        <v>117</v>
      </c>
      <c r="H189" s="25">
        <f>H188-E189</f>
        <v>10920</v>
      </c>
      <c r="I189" s="25"/>
      <c r="J189" s="25"/>
      <c r="K189" s="23">
        <v>260205005</v>
      </c>
      <c r="L189" s="23"/>
      <c r="M189" s="23">
        <f>M186-D189</f>
        <v>25</v>
      </c>
      <c r="N189" s="19">
        <v>46044</v>
      </c>
      <c r="O189" s="21">
        <f t="shared" si="24"/>
        <v>46408</v>
      </c>
    </row>
    <row r="190" spans="1:15" ht="20.149999999999999" hidden="1" customHeight="1" x14ac:dyDescent="0.25">
      <c r="A190" s="40">
        <v>46059</v>
      </c>
      <c r="B190" s="40">
        <v>46062</v>
      </c>
      <c r="C190" s="41" t="s">
        <v>237</v>
      </c>
      <c r="D190" s="41">
        <v>8</v>
      </c>
      <c r="E190" s="41">
        <f t="shared" si="22"/>
        <v>1560</v>
      </c>
      <c r="F190" s="60" t="s">
        <v>269</v>
      </c>
      <c r="G190" s="41" t="s">
        <v>281</v>
      </c>
      <c r="H190" s="42">
        <f>H179-E190</f>
        <v>36660</v>
      </c>
      <c r="I190" s="42"/>
      <c r="J190" s="42"/>
      <c r="K190" s="41">
        <v>260205007</v>
      </c>
      <c r="L190" s="41"/>
      <c r="M190" s="41">
        <f>M189-D190</f>
        <v>17</v>
      </c>
      <c r="N190" s="19">
        <v>46044</v>
      </c>
      <c r="O190" s="21">
        <f t="shared" si="24"/>
        <v>46408</v>
      </c>
    </row>
    <row r="191" spans="1:15" ht="20.149999999999999" hidden="1" customHeight="1" x14ac:dyDescent="0.25">
      <c r="A191" s="124">
        <v>46062</v>
      </c>
      <c r="B191" s="124">
        <v>46063</v>
      </c>
      <c r="C191" s="39" t="s">
        <v>286</v>
      </c>
      <c r="D191" s="39">
        <v>4</v>
      </c>
      <c r="E191" s="39">
        <f t="shared" ref="E191:E205" si="25">D191*195</f>
        <v>780</v>
      </c>
      <c r="F191" s="39" t="s">
        <v>292</v>
      </c>
      <c r="G191" s="39" t="s">
        <v>298</v>
      </c>
      <c r="H191" s="125">
        <f>H177-E191</f>
        <v>17940</v>
      </c>
      <c r="I191" s="63" t="s">
        <v>12</v>
      </c>
      <c r="J191" s="125"/>
      <c r="K191" s="39">
        <v>260206008</v>
      </c>
      <c r="L191" s="39">
        <v>41</v>
      </c>
      <c r="M191" s="39">
        <f>L191-D191</f>
        <v>37</v>
      </c>
      <c r="N191" s="19">
        <v>46053</v>
      </c>
      <c r="O191" s="21">
        <f t="shared" si="24"/>
        <v>46417</v>
      </c>
    </row>
    <row r="192" spans="1:15" ht="20.149999999999999" hidden="1" customHeight="1" x14ac:dyDescent="0.25">
      <c r="A192" s="124">
        <v>46062</v>
      </c>
      <c r="B192" s="124">
        <v>46063</v>
      </c>
      <c r="C192" s="39" t="s">
        <v>287</v>
      </c>
      <c r="D192" s="39">
        <v>4</v>
      </c>
      <c r="E192" s="39">
        <f t="shared" si="25"/>
        <v>780</v>
      </c>
      <c r="F192" s="39" t="s">
        <v>292</v>
      </c>
      <c r="G192" s="39" t="s">
        <v>169</v>
      </c>
      <c r="H192" s="125">
        <f>H191-E192</f>
        <v>17160</v>
      </c>
      <c r="I192" s="63" t="s">
        <v>12</v>
      </c>
      <c r="J192" s="125"/>
      <c r="K192" s="39">
        <v>260206008</v>
      </c>
      <c r="L192" s="39">
        <v>42</v>
      </c>
      <c r="M192" s="39">
        <f>L192-D192</f>
        <v>38</v>
      </c>
      <c r="N192" s="19">
        <v>46054</v>
      </c>
      <c r="O192" s="21">
        <f t="shared" si="24"/>
        <v>46418</v>
      </c>
    </row>
    <row r="193" spans="1:15" ht="20.149999999999999" hidden="1" customHeight="1" x14ac:dyDescent="0.25">
      <c r="A193" s="124">
        <v>46062</v>
      </c>
      <c r="B193" s="124">
        <v>46063</v>
      </c>
      <c r="C193" s="39" t="s">
        <v>288</v>
      </c>
      <c r="D193" s="39">
        <v>4</v>
      </c>
      <c r="E193" s="39">
        <f t="shared" si="25"/>
        <v>780</v>
      </c>
      <c r="F193" s="39" t="s">
        <v>292</v>
      </c>
      <c r="G193" s="39" t="s">
        <v>169</v>
      </c>
      <c r="H193" s="125">
        <f>H192-E193</f>
        <v>16380</v>
      </c>
      <c r="I193" s="63" t="s">
        <v>12</v>
      </c>
      <c r="J193" s="125"/>
      <c r="K193" s="39">
        <v>260206008</v>
      </c>
      <c r="L193" s="39">
        <v>40</v>
      </c>
      <c r="M193" s="39">
        <f>L193-D193</f>
        <v>36</v>
      </c>
      <c r="N193" s="19">
        <v>46055</v>
      </c>
      <c r="O193" s="21">
        <f t="shared" si="24"/>
        <v>46419</v>
      </c>
    </row>
    <row r="194" spans="1:15" ht="20.149999999999999" hidden="1" customHeight="1" x14ac:dyDescent="0.25">
      <c r="A194" s="29">
        <v>46062</v>
      </c>
      <c r="B194" s="29">
        <v>46063</v>
      </c>
      <c r="C194" s="30" t="s">
        <v>237</v>
      </c>
      <c r="D194" s="30">
        <v>12</v>
      </c>
      <c r="E194" s="30">
        <f t="shared" si="25"/>
        <v>2340</v>
      </c>
      <c r="F194" s="37" t="s">
        <v>293</v>
      </c>
      <c r="G194" s="126" t="s">
        <v>296</v>
      </c>
      <c r="H194" s="32">
        <f>30420-E194</f>
        <v>28080</v>
      </c>
      <c r="I194" s="32"/>
      <c r="J194" s="32"/>
      <c r="K194" s="30">
        <v>260206009</v>
      </c>
      <c r="L194" s="30"/>
      <c r="M194" s="30">
        <f>M190-D194</f>
        <v>5</v>
      </c>
      <c r="N194" s="19">
        <v>46044</v>
      </c>
      <c r="O194" s="21">
        <f t="shared" ref="O194:O226" si="26">DATE(YEAR(N194)+1,MONTH(N194),DAY(N194))-1</f>
        <v>46408</v>
      </c>
    </row>
    <row r="195" spans="1:15" ht="20.149999999999999" hidden="1" customHeight="1" x14ac:dyDescent="0.25">
      <c r="A195" s="22">
        <v>46062</v>
      </c>
      <c r="B195" s="22">
        <v>46063</v>
      </c>
      <c r="C195" s="23" t="s">
        <v>237</v>
      </c>
      <c r="D195" s="23">
        <v>5</v>
      </c>
      <c r="E195" s="23">
        <f t="shared" si="25"/>
        <v>975</v>
      </c>
      <c r="F195" s="38" t="s">
        <v>294</v>
      </c>
      <c r="G195" s="23" t="s">
        <v>115</v>
      </c>
      <c r="H195" s="25">
        <f>H181-E195</f>
        <v>585</v>
      </c>
      <c r="I195" s="25"/>
      <c r="J195" s="25"/>
      <c r="K195" s="23">
        <v>260206010</v>
      </c>
      <c r="L195" s="23"/>
      <c r="M195" s="23">
        <f>M194-D195</f>
        <v>0</v>
      </c>
      <c r="N195" s="19">
        <v>46044</v>
      </c>
      <c r="O195" s="21">
        <f t="shared" si="26"/>
        <v>46408</v>
      </c>
    </row>
    <row r="196" spans="1:15" ht="20.149999999999999" hidden="1" customHeight="1" x14ac:dyDescent="0.25">
      <c r="A196" s="22">
        <v>46062</v>
      </c>
      <c r="B196" s="22">
        <v>46063</v>
      </c>
      <c r="C196" s="23" t="s">
        <v>289</v>
      </c>
      <c r="D196" s="23">
        <v>3</v>
      </c>
      <c r="E196" s="23">
        <f>D196*195</f>
        <v>585</v>
      </c>
      <c r="F196" s="38" t="s">
        <v>294</v>
      </c>
      <c r="G196" s="23" t="s">
        <v>114</v>
      </c>
      <c r="H196" s="25">
        <f>H182-E196</f>
        <v>2535</v>
      </c>
      <c r="I196" s="25"/>
      <c r="J196" s="25"/>
      <c r="K196" s="23">
        <v>260206010</v>
      </c>
      <c r="L196" s="23"/>
      <c r="M196" s="23">
        <f>M162-D196</f>
        <v>34</v>
      </c>
      <c r="N196" s="19">
        <v>46045</v>
      </c>
      <c r="O196" s="21">
        <f t="shared" si="26"/>
        <v>46409</v>
      </c>
    </row>
    <row r="197" spans="1:15" ht="20.149999999999999" hidden="1" customHeight="1" x14ac:dyDescent="0.25">
      <c r="A197" s="22">
        <v>46062</v>
      </c>
      <c r="B197" s="22">
        <v>46063</v>
      </c>
      <c r="C197" s="23" t="s">
        <v>289</v>
      </c>
      <c r="D197" s="23">
        <v>8</v>
      </c>
      <c r="E197" s="23">
        <f t="shared" si="25"/>
        <v>1560</v>
      </c>
      <c r="F197" s="38" t="s">
        <v>294</v>
      </c>
      <c r="G197" s="75" t="s">
        <v>297</v>
      </c>
      <c r="H197" s="25">
        <f>200000-E197</f>
        <v>198440</v>
      </c>
      <c r="I197" s="25"/>
      <c r="J197" s="25"/>
      <c r="K197" s="23">
        <v>260206010</v>
      </c>
      <c r="L197" s="23"/>
      <c r="M197" s="23">
        <f>M196-D197</f>
        <v>26</v>
      </c>
      <c r="N197" s="19">
        <v>46045</v>
      </c>
      <c r="O197" s="21">
        <f t="shared" si="26"/>
        <v>46409</v>
      </c>
    </row>
    <row r="198" spans="1:15" ht="20.149999999999999" hidden="1" customHeight="1" x14ac:dyDescent="0.25">
      <c r="A198" s="40">
        <v>46062</v>
      </c>
      <c r="B198" s="40">
        <v>46063</v>
      </c>
      <c r="C198" s="41" t="s">
        <v>290</v>
      </c>
      <c r="D198" s="41">
        <v>4</v>
      </c>
      <c r="E198" s="41">
        <f t="shared" si="25"/>
        <v>780</v>
      </c>
      <c r="F198" s="60" t="s">
        <v>295</v>
      </c>
      <c r="G198" s="60" t="s">
        <v>55</v>
      </c>
      <c r="H198" s="42">
        <f>H184-E198</f>
        <v>780</v>
      </c>
      <c r="I198" s="121" t="s">
        <v>12</v>
      </c>
      <c r="J198" s="42"/>
      <c r="K198" s="41">
        <v>260206011</v>
      </c>
      <c r="L198" s="41">
        <v>25</v>
      </c>
      <c r="M198" s="41">
        <f>L198-D198</f>
        <v>21</v>
      </c>
      <c r="N198" s="19">
        <v>46056</v>
      </c>
      <c r="O198" s="21">
        <f t="shared" si="26"/>
        <v>46420</v>
      </c>
    </row>
    <row r="199" spans="1:15" ht="20.149999999999999" hidden="1" customHeight="1" x14ac:dyDescent="0.25">
      <c r="A199" s="40">
        <v>46062</v>
      </c>
      <c r="B199" s="40">
        <v>46063</v>
      </c>
      <c r="C199" s="41" t="s">
        <v>291</v>
      </c>
      <c r="D199" s="41">
        <v>4</v>
      </c>
      <c r="E199" s="41">
        <f t="shared" si="25"/>
        <v>780</v>
      </c>
      <c r="F199" s="60" t="s">
        <v>295</v>
      </c>
      <c r="G199" s="60" t="s">
        <v>55</v>
      </c>
      <c r="H199" s="42">
        <f>H198-E199</f>
        <v>0</v>
      </c>
      <c r="I199" s="121" t="s">
        <v>12</v>
      </c>
      <c r="J199" s="42"/>
      <c r="K199" s="41">
        <v>260206011</v>
      </c>
      <c r="L199" s="41">
        <v>21</v>
      </c>
      <c r="M199" s="41">
        <f>L199-D199</f>
        <v>17</v>
      </c>
      <c r="N199" s="19">
        <v>46057</v>
      </c>
      <c r="O199" s="21">
        <f t="shared" si="26"/>
        <v>46421</v>
      </c>
    </row>
    <row r="200" spans="1:15" ht="20.149999999999999" hidden="1" customHeight="1" x14ac:dyDescent="0.25">
      <c r="A200" s="29">
        <v>46063</v>
      </c>
      <c r="B200" s="29">
        <v>46063</v>
      </c>
      <c r="C200" s="30" t="s">
        <v>238</v>
      </c>
      <c r="D200" s="30">
        <v>4</v>
      </c>
      <c r="E200" s="30">
        <f t="shared" si="25"/>
        <v>780</v>
      </c>
      <c r="F200" s="37" t="s">
        <v>29</v>
      </c>
      <c r="G200" s="37" t="s">
        <v>81</v>
      </c>
      <c r="H200" s="32">
        <f>H165-E200</f>
        <v>78160</v>
      </c>
      <c r="I200" s="32"/>
      <c r="J200" s="32"/>
      <c r="K200" s="30">
        <v>260209002</v>
      </c>
      <c r="L200" s="30"/>
      <c r="M200" s="30">
        <f>M197-D200</f>
        <v>22</v>
      </c>
      <c r="N200" s="19">
        <v>46045</v>
      </c>
      <c r="O200" s="21">
        <f t="shared" si="26"/>
        <v>46409</v>
      </c>
    </row>
    <row r="201" spans="1:15" ht="20.149999999999999" hidden="1" customHeight="1" x14ac:dyDescent="0.25">
      <c r="A201" s="33">
        <v>46063</v>
      </c>
      <c r="B201" s="33">
        <v>46063</v>
      </c>
      <c r="C201" s="34" t="s">
        <v>238</v>
      </c>
      <c r="D201" s="34">
        <v>8</v>
      </c>
      <c r="E201" s="34">
        <f t="shared" si="25"/>
        <v>1560</v>
      </c>
      <c r="F201" s="39" t="s">
        <v>27</v>
      </c>
      <c r="G201" s="39" t="s">
        <v>190</v>
      </c>
      <c r="H201" s="35">
        <f>H187-E201</f>
        <v>15600</v>
      </c>
      <c r="I201" s="35"/>
      <c r="J201" s="35"/>
      <c r="K201" s="34">
        <v>260209003</v>
      </c>
      <c r="L201" s="34"/>
      <c r="M201" s="34">
        <f>M200-D201</f>
        <v>14</v>
      </c>
      <c r="N201" s="19">
        <v>46045</v>
      </c>
      <c r="O201" s="21">
        <f t="shared" si="26"/>
        <v>46409</v>
      </c>
    </row>
    <row r="202" spans="1:15" ht="20.149999999999999" hidden="1" customHeight="1" x14ac:dyDescent="0.2">
      <c r="A202" s="26">
        <v>46063</v>
      </c>
      <c r="B202" s="26">
        <v>46063</v>
      </c>
      <c r="C202" s="27" t="s">
        <v>300</v>
      </c>
      <c r="D202" s="27">
        <v>8</v>
      </c>
      <c r="E202" s="27">
        <f t="shared" si="25"/>
        <v>1560</v>
      </c>
      <c r="F202" s="36" t="s">
        <v>26</v>
      </c>
      <c r="G202" s="36" t="s">
        <v>303</v>
      </c>
      <c r="H202" s="28">
        <f>H189-E202</f>
        <v>9360</v>
      </c>
      <c r="I202" s="28"/>
      <c r="J202" s="28"/>
      <c r="K202" s="27">
        <v>260209004</v>
      </c>
      <c r="L202" s="27"/>
      <c r="M202" s="27">
        <f>M163-D202</f>
        <v>30</v>
      </c>
      <c r="N202" s="19">
        <v>46046</v>
      </c>
      <c r="O202" s="21">
        <f t="shared" si="26"/>
        <v>46410</v>
      </c>
    </row>
    <row r="203" spans="1:15" ht="20.149999999999999" hidden="1" customHeight="1" x14ac:dyDescent="0.2">
      <c r="A203" s="26">
        <v>46063</v>
      </c>
      <c r="B203" s="26">
        <v>46063</v>
      </c>
      <c r="C203" s="27" t="s">
        <v>301</v>
      </c>
      <c r="D203" s="27">
        <v>12</v>
      </c>
      <c r="E203" s="27">
        <f t="shared" si="25"/>
        <v>2340</v>
      </c>
      <c r="F203" s="36" t="s">
        <v>26</v>
      </c>
      <c r="G203" s="36" t="s">
        <v>117</v>
      </c>
      <c r="H203" s="28">
        <f>H202-E203</f>
        <v>7020</v>
      </c>
      <c r="I203" s="28"/>
      <c r="J203" s="28"/>
      <c r="K203" s="27">
        <v>260209004</v>
      </c>
      <c r="L203" s="27"/>
      <c r="M203" s="27">
        <f>M175-D203</f>
        <v>25</v>
      </c>
      <c r="N203" s="19">
        <v>46047</v>
      </c>
      <c r="O203" s="21">
        <f t="shared" si="26"/>
        <v>46411</v>
      </c>
    </row>
    <row r="204" spans="1:15" ht="20.149999999999999" hidden="1" customHeight="1" x14ac:dyDescent="0.25">
      <c r="A204" s="22">
        <v>46063</v>
      </c>
      <c r="B204" s="22">
        <v>46064</v>
      </c>
      <c r="C204" s="23" t="s">
        <v>238</v>
      </c>
      <c r="D204" s="23">
        <v>14</v>
      </c>
      <c r="E204" s="23">
        <f t="shared" si="25"/>
        <v>2730</v>
      </c>
      <c r="F204" s="38" t="s">
        <v>269</v>
      </c>
      <c r="G204" s="23" t="s">
        <v>304</v>
      </c>
      <c r="H204" s="25">
        <f>H190-E204</f>
        <v>33930</v>
      </c>
      <c r="I204" s="25"/>
      <c r="J204" s="25"/>
      <c r="K204" s="23">
        <v>260209006</v>
      </c>
      <c r="L204" s="23"/>
      <c r="M204" s="23">
        <f>M201-D204</f>
        <v>0</v>
      </c>
      <c r="N204" s="19">
        <v>46045</v>
      </c>
      <c r="O204" s="21">
        <f t="shared" si="26"/>
        <v>46409</v>
      </c>
    </row>
    <row r="205" spans="1:15" ht="20.149999999999999" hidden="1" customHeight="1" x14ac:dyDescent="0.25">
      <c r="A205" s="22">
        <v>46063</v>
      </c>
      <c r="B205" s="22">
        <v>46064</v>
      </c>
      <c r="C205" s="23" t="s">
        <v>239</v>
      </c>
      <c r="D205" s="23">
        <v>2</v>
      </c>
      <c r="E205" s="23">
        <f t="shared" si="25"/>
        <v>390</v>
      </c>
      <c r="F205" s="38" t="s">
        <v>269</v>
      </c>
      <c r="G205" s="23" t="s">
        <v>185</v>
      </c>
      <c r="H205" s="25">
        <f>H204-E205</f>
        <v>33540</v>
      </c>
      <c r="I205" s="25"/>
      <c r="J205" s="25"/>
      <c r="K205" s="23">
        <v>260209006</v>
      </c>
      <c r="L205" s="23"/>
      <c r="M205" s="23">
        <f>M202-D205</f>
        <v>28</v>
      </c>
      <c r="N205" s="19">
        <v>46046</v>
      </c>
      <c r="O205" s="21">
        <f t="shared" si="26"/>
        <v>46410</v>
      </c>
    </row>
    <row r="206" spans="1:15" ht="20.149999999999999" hidden="1" customHeight="1" x14ac:dyDescent="0.25">
      <c r="A206" s="40">
        <v>46064</v>
      </c>
      <c r="B206" s="40">
        <v>46065</v>
      </c>
      <c r="C206" s="41" t="s">
        <v>300</v>
      </c>
      <c r="D206" s="41">
        <v>12</v>
      </c>
      <c r="E206" s="41">
        <f t="shared" ref="E206:E258" si="27">D206*195</f>
        <v>2340</v>
      </c>
      <c r="F206" s="60" t="s">
        <v>307</v>
      </c>
      <c r="G206" s="60" t="s">
        <v>130</v>
      </c>
      <c r="H206" s="42">
        <f>H172-E206</f>
        <v>11700</v>
      </c>
      <c r="I206" s="42"/>
      <c r="J206" s="42"/>
      <c r="K206" s="41">
        <v>260210003</v>
      </c>
      <c r="L206" s="41"/>
      <c r="M206" s="41">
        <f>M205-D206</f>
        <v>16</v>
      </c>
      <c r="N206" s="19">
        <v>46046</v>
      </c>
      <c r="O206" s="21">
        <f t="shared" si="26"/>
        <v>46410</v>
      </c>
    </row>
    <row r="207" spans="1:15" ht="20.149999999999999" hidden="1" customHeight="1" x14ac:dyDescent="0.25">
      <c r="A207" s="40">
        <v>46064</v>
      </c>
      <c r="B207" s="40">
        <v>46065</v>
      </c>
      <c r="C207" s="41" t="s">
        <v>264</v>
      </c>
      <c r="D207" s="41">
        <v>9</v>
      </c>
      <c r="E207" s="41">
        <f t="shared" si="27"/>
        <v>1755</v>
      </c>
      <c r="F207" s="60" t="s">
        <v>307</v>
      </c>
      <c r="G207" s="60" t="s">
        <v>130</v>
      </c>
      <c r="H207" s="42">
        <f>H206-E207</f>
        <v>9945</v>
      </c>
      <c r="I207" s="42"/>
      <c r="J207" s="42"/>
      <c r="K207" s="41">
        <v>260210003</v>
      </c>
      <c r="L207" s="41"/>
      <c r="M207" s="41">
        <f>M203-D207</f>
        <v>16</v>
      </c>
      <c r="N207" s="19">
        <v>46047</v>
      </c>
      <c r="O207" s="21">
        <f t="shared" si="26"/>
        <v>46411</v>
      </c>
    </row>
    <row r="208" spans="1:15" ht="20.149999999999999" hidden="1" customHeight="1" x14ac:dyDescent="0.25">
      <c r="A208" s="40">
        <v>46064</v>
      </c>
      <c r="B208" s="40">
        <v>46065</v>
      </c>
      <c r="C208" s="41" t="s">
        <v>265</v>
      </c>
      <c r="D208" s="41">
        <v>11</v>
      </c>
      <c r="E208" s="41">
        <f t="shared" si="27"/>
        <v>2145</v>
      </c>
      <c r="F208" s="60" t="s">
        <v>307</v>
      </c>
      <c r="G208" s="60" t="s">
        <v>130</v>
      </c>
      <c r="H208" s="42">
        <f>H207-E208</f>
        <v>7800</v>
      </c>
      <c r="I208" s="42"/>
      <c r="J208" s="42"/>
      <c r="K208" s="41">
        <v>260210003</v>
      </c>
      <c r="L208" s="41"/>
      <c r="M208" s="41">
        <f>M176-D208</f>
        <v>26</v>
      </c>
      <c r="N208" s="19">
        <v>46048</v>
      </c>
      <c r="O208" s="21">
        <f t="shared" si="26"/>
        <v>46412</v>
      </c>
    </row>
    <row r="209" spans="1:15" ht="20.149999999999999" hidden="1" customHeight="1" x14ac:dyDescent="0.25">
      <c r="A209" s="26">
        <v>46065</v>
      </c>
      <c r="B209" s="26">
        <v>46066</v>
      </c>
      <c r="C209" s="27" t="s">
        <v>311</v>
      </c>
      <c r="D209" s="27">
        <v>4</v>
      </c>
      <c r="E209" s="27">
        <f t="shared" si="27"/>
        <v>780</v>
      </c>
      <c r="F209" s="36" t="s">
        <v>316</v>
      </c>
      <c r="G209" s="36" t="s">
        <v>327</v>
      </c>
      <c r="H209" s="28">
        <f>H193-E209</f>
        <v>15600</v>
      </c>
      <c r="I209" s="61"/>
      <c r="J209" s="28"/>
      <c r="K209" s="27">
        <v>260211003</v>
      </c>
      <c r="L209" s="27"/>
      <c r="M209" s="27">
        <f>M206-D209</f>
        <v>12</v>
      </c>
      <c r="N209" s="19">
        <v>46046</v>
      </c>
      <c r="O209" s="21">
        <f t="shared" si="26"/>
        <v>46410</v>
      </c>
    </row>
    <row r="210" spans="1:15" ht="20.149999999999999" hidden="1" customHeight="1" x14ac:dyDescent="0.25">
      <c r="A210" s="26">
        <v>46065</v>
      </c>
      <c r="B210" s="26">
        <v>46066</v>
      </c>
      <c r="C210" s="27" t="s">
        <v>312</v>
      </c>
      <c r="D210" s="27">
        <v>4</v>
      </c>
      <c r="E210" s="27">
        <f t="shared" si="27"/>
        <v>780</v>
      </c>
      <c r="F210" s="36" t="s">
        <v>316</v>
      </c>
      <c r="G210" s="36" t="s">
        <v>169</v>
      </c>
      <c r="H210" s="28">
        <f>H209-E210</f>
        <v>14820</v>
      </c>
      <c r="I210" s="61" t="s">
        <v>12</v>
      </c>
      <c r="J210" s="28"/>
      <c r="K210" s="27">
        <v>260211003</v>
      </c>
      <c r="L210" s="27">
        <v>41</v>
      </c>
      <c r="M210" s="27">
        <f>L210-D210</f>
        <v>37</v>
      </c>
      <c r="N210" s="19">
        <v>46058</v>
      </c>
      <c r="O210" s="21">
        <f t="shared" si="26"/>
        <v>46422</v>
      </c>
    </row>
    <row r="211" spans="1:15" ht="20.149999999999999" hidden="1" customHeight="1" x14ac:dyDescent="0.25">
      <c r="A211" s="26">
        <v>46065</v>
      </c>
      <c r="B211" s="26">
        <v>46066</v>
      </c>
      <c r="C211" s="27" t="s">
        <v>313</v>
      </c>
      <c r="D211" s="27">
        <v>4</v>
      </c>
      <c r="E211" s="27">
        <f t="shared" si="27"/>
        <v>780</v>
      </c>
      <c r="F211" s="36" t="s">
        <v>316</v>
      </c>
      <c r="G211" s="36" t="s">
        <v>169</v>
      </c>
      <c r="H211" s="28">
        <f>H210-E211</f>
        <v>14040</v>
      </c>
      <c r="I211" s="61" t="s">
        <v>12</v>
      </c>
      <c r="J211" s="28"/>
      <c r="K211" s="27">
        <v>260211003</v>
      </c>
      <c r="L211" s="27">
        <v>41</v>
      </c>
      <c r="M211" s="27">
        <f>L211-D211</f>
        <v>37</v>
      </c>
      <c r="N211" s="19">
        <v>46059</v>
      </c>
      <c r="O211" s="21">
        <f t="shared" si="26"/>
        <v>46423</v>
      </c>
    </row>
    <row r="212" spans="1:15" ht="20.149999999999999" hidden="1" customHeight="1" x14ac:dyDescent="0.25">
      <c r="A212" s="26">
        <v>46065</v>
      </c>
      <c r="B212" s="26">
        <v>46066</v>
      </c>
      <c r="C212" s="27" t="s">
        <v>314</v>
      </c>
      <c r="D212" s="27">
        <v>4</v>
      </c>
      <c r="E212" s="27">
        <f t="shared" si="27"/>
        <v>780</v>
      </c>
      <c r="F212" s="36" t="s">
        <v>316</v>
      </c>
      <c r="G212" s="36" t="s">
        <v>169</v>
      </c>
      <c r="H212" s="28">
        <f>H211-E212</f>
        <v>13260</v>
      </c>
      <c r="I212" s="61" t="s">
        <v>12</v>
      </c>
      <c r="J212" s="28"/>
      <c r="K212" s="27">
        <v>260211003</v>
      </c>
      <c r="L212" s="27">
        <v>42</v>
      </c>
      <c r="M212" s="27">
        <f>L212-D212</f>
        <v>38</v>
      </c>
      <c r="N212" s="19">
        <v>46060</v>
      </c>
      <c r="O212" s="21">
        <f t="shared" si="26"/>
        <v>46424</v>
      </c>
    </row>
    <row r="213" spans="1:15" ht="20.149999999999999" hidden="1" customHeight="1" x14ac:dyDescent="0.25">
      <c r="A213" s="22">
        <v>46065</v>
      </c>
      <c r="B213" s="22">
        <v>46066</v>
      </c>
      <c r="C213" s="23" t="s">
        <v>317</v>
      </c>
      <c r="D213" s="23">
        <v>16</v>
      </c>
      <c r="E213" s="23">
        <f t="shared" si="27"/>
        <v>3120</v>
      </c>
      <c r="F213" s="38" t="s">
        <v>318</v>
      </c>
      <c r="G213" s="38" t="s">
        <v>326</v>
      </c>
      <c r="H213" s="25">
        <f>H194-E213</f>
        <v>24960</v>
      </c>
      <c r="I213" s="25"/>
      <c r="J213" s="25"/>
      <c r="K213" s="23">
        <v>260211004</v>
      </c>
      <c r="L213" s="23"/>
      <c r="M213" s="23">
        <f>M208-D213</f>
        <v>10</v>
      </c>
      <c r="N213" s="19">
        <v>46048</v>
      </c>
      <c r="O213" s="21">
        <f t="shared" si="26"/>
        <v>46412</v>
      </c>
    </row>
    <row r="214" spans="1:15" ht="20.149999999999999" hidden="1" customHeight="1" x14ac:dyDescent="0.3">
      <c r="A214" s="33">
        <v>46065</v>
      </c>
      <c r="B214" s="33">
        <v>46066</v>
      </c>
      <c r="C214" s="34" t="s">
        <v>317</v>
      </c>
      <c r="D214" s="34">
        <v>10</v>
      </c>
      <c r="E214" s="34">
        <f>D214*195</f>
        <v>1950</v>
      </c>
      <c r="F214" s="39" t="s">
        <v>315</v>
      </c>
      <c r="G214" s="34" t="s">
        <v>329</v>
      </c>
      <c r="H214" s="35">
        <f>H205-E214</f>
        <v>31590</v>
      </c>
      <c r="I214" s="35"/>
      <c r="J214" s="35"/>
      <c r="K214" s="34">
        <v>260211005</v>
      </c>
      <c r="L214" s="34"/>
      <c r="M214" s="34">
        <f>M213-D214</f>
        <v>0</v>
      </c>
      <c r="N214" s="19">
        <v>46048</v>
      </c>
      <c r="O214" s="21">
        <f t="shared" si="26"/>
        <v>46412</v>
      </c>
    </row>
    <row r="215" spans="1:15" ht="20.149999999999999" hidden="1" customHeight="1" x14ac:dyDescent="0.3">
      <c r="A215" s="33">
        <v>46065</v>
      </c>
      <c r="B215" s="33">
        <v>46066</v>
      </c>
      <c r="C215" s="34" t="s">
        <v>319</v>
      </c>
      <c r="D215" s="34">
        <v>14</v>
      </c>
      <c r="E215" s="34">
        <f>D215*195</f>
        <v>2730</v>
      </c>
      <c r="F215" s="39" t="s">
        <v>315</v>
      </c>
      <c r="G215" s="34" t="s">
        <v>185</v>
      </c>
      <c r="H215" s="35">
        <f>H214-E215</f>
        <v>28860</v>
      </c>
      <c r="I215" s="35"/>
      <c r="J215" s="35"/>
      <c r="K215" s="34">
        <v>260211005</v>
      </c>
      <c r="L215" s="34"/>
      <c r="M215" s="34">
        <f>M177-D215</f>
        <v>23</v>
      </c>
      <c r="N215" s="19">
        <v>46049</v>
      </c>
      <c r="O215" s="21">
        <f t="shared" si="26"/>
        <v>46413</v>
      </c>
    </row>
    <row r="216" spans="1:15" ht="20.149999999999999" hidden="1" customHeight="1" x14ac:dyDescent="0.3">
      <c r="A216" s="71">
        <v>46065</v>
      </c>
      <c r="B216" s="71">
        <v>46066</v>
      </c>
      <c r="C216" s="72" t="s">
        <v>319</v>
      </c>
      <c r="D216" s="72">
        <v>20</v>
      </c>
      <c r="E216" s="72">
        <f t="shared" si="27"/>
        <v>3900</v>
      </c>
      <c r="F216" s="73" t="s">
        <v>270</v>
      </c>
      <c r="G216" s="73" t="s">
        <v>330</v>
      </c>
      <c r="H216" s="74">
        <f>H197-E216</f>
        <v>194540</v>
      </c>
      <c r="I216" s="74"/>
      <c r="J216" s="74"/>
      <c r="K216" s="72">
        <v>260211006</v>
      </c>
      <c r="L216" s="72"/>
      <c r="M216" s="72">
        <f>M215-D216</f>
        <v>3</v>
      </c>
      <c r="N216" s="19">
        <v>46049</v>
      </c>
      <c r="O216" s="21">
        <f t="shared" si="26"/>
        <v>46413</v>
      </c>
    </row>
    <row r="217" spans="1:15" ht="20.149999999999999" hidden="1" customHeight="1" x14ac:dyDescent="0.3">
      <c r="A217" s="29">
        <v>46065</v>
      </c>
      <c r="B217" s="29">
        <v>46066</v>
      </c>
      <c r="C217" s="30" t="s">
        <v>320</v>
      </c>
      <c r="D217" s="30">
        <v>4</v>
      </c>
      <c r="E217" s="30">
        <f t="shared" si="27"/>
        <v>780</v>
      </c>
      <c r="F217" s="37" t="s">
        <v>274</v>
      </c>
      <c r="G217" s="30" t="s">
        <v>325</v>
      </c>
      <c r="H217" s="32">
        <f>34320-E217</f>
        <v>33540</v>
      </c>
      <c r="I217" s="32"/>
      <c r="J217" s="32"/>
      <c r="K217" s="30">
        <v>260211007</v>
      </c>
      <c r="L217" s="30"/>
      <c r="M217" s="30">
        <f>M207-D217</f>
        <v>12</v>
      </c>
      <c r="N217" s="19">
        <v>46047</v>
      </c>
      <c r="O217" s="21">
        <f t="shared" si="26"/>
        <v>46411</v>
      </c>
    </row>
    <row r="218" spans="1:15" ht="20.149999999999999" hidden="1" customHeight="1" x14ac:dyDescent="0.3">
      <c r="A218" s="29">
        <v>46065</v>
      </c>
      <c r="B218" s="29">
        <v>46066</v>
      </c>
      <c r="C218" s="30" t="s">
        <v>321</v>
      </c>
      <c r="D218" s="30">
        <v>4</v>
      </c>
      <c r="E218" s="30">
        <f t="shared" si="27"/>
        <v>780</v>
      </c>
      <c r="F218" s="37" t="s">
        <v>274</v>
      </c>
      <c r="G218" s="30" t="s">
        <v>325</v>
      </c>
      <c r="H218" s="32">
        <f>H217-E218</f>
        <v>32760</v>
      </c>
      <c r="I218" s="70" t="s">
        <v>12</v>
      </c>
      <c r="J218" s="32"/>
      <c r="K218" s="30">
        <v>260211007</v>
      </c>
      <c r="L218" s="30">
        <v>41</v>
      </c>
      <c r="M218" s="30">
        <f>L218-D218</f>
        <v>37</v>
      </c>
      <c r="N218" s="19">
        <v>46061</v>
      </c>
      <c r="O218" s="21">
        <f t="shared" si="26"/>
        <v>46425</v>
      </c>
    </row>
    <row r="219" spans="1:15" ht="20.149999999999999" hidden="1" customHeight="1" x14ac:dyDescent="0.3">
      <c r="A219" s="29">
        <v>46065</v>
      </c>
      <c r="B219" s="29">
        <v>46066</v>
      </c>
      <c r="C219" s="30" t="s">
        <v>322</v>
      </c>
      <c r="D219" s="30">
        <v>4</v>
      </c>
      <c r="E219" s="30">
        <f t="shared" si="27"/>
        <v>780</v>
      </c>
      <c r="F219" s="37" t="s">
        <v>274</v>
      </c>
      <c r="G219" s="30" t="s">
        <v>325</v>
      </c>
      <c r="H219" s="32">
        <f>H218-E219</f>
        <v>31980</v>
      </c>
      <c r="I219" s="70" t="s">
        <v>12</v>
      </c>
      <c r="J219" s="32"/>
      <c r="K219" s="30">
        <v>260211007</v>
      </c>
      <c r="L219" s="30">
        <v>41</v>
      </c>
      <c r="M219" s="30">
        <f>L219-D219</f>
        <v>37</v>
      </c>
      <c r="N219" s="19">
        <v>46062</v>
      </c>
      <c r="O219" s="21">
        <f t="shared" si="26"/>
        <v>46426</v>
      </c>
    </row>
    <row r="220" spans="1:15" ht="20.149999999999999" hidden="1" customHeight="1" x14ac:dyDescent="0.3">
      <c r="A220" s="29">
        <v>46065</v>
      </c>
      <c r="B220" s="29">
        <v>46066</v>
      </c>
      <c r="C220" s="30" t="s">
        <v>323</v>
      </c>
      <c r="D220" s="30">
        <v>4</v>
      </c>
      <c r="E220" s="30">
        <f t="shared" si="27"/>
        <v>780</v>
      </c>
      <c r="F220" s="37" t="s">
        <v>274</v>
      </c>
      <c r="G220" s="30" t="s">
        <v>325</v>
      </c>
      <c r="H220" s="32">
        <f>H219-E220</f>
        <v>31200</v>
      </c>
      <c r="I220" s="70" t="s">
        <v>12</v>
      </c>
      <c r="J220" s="32"/>
      <c r="K220" s="30">
        <v>260211007</v>
      </c>
      <c r="L220" s="30">
        <v>41</v>
      </c>
      <c r="M220" s="30">
        <f>L220-D220</f>
        <v>37</v>
      </c>
      <c r="N220" s="19">
        <v>46063</v>
      </c>
      <c r="O220" s="21">
        <f t="shared" si="26"/>
        <v>46427</v>
      </c>
    </row>
    <row r="221" spans="1:15" ht="20.149999999999999" hidden="1" customHeight="1" x14ac:dyDescent="0.2">
      <c r="A221" s="103">
        <v>46065</v>
      </c>
      <c r="B221" s="103">
        <v>46066</v>
      </c>
      <c r="C221" s="104" t="s">
        <v>324</v>
      </c>
      <c r="D221" s="104">
        <v>12</v>
      </c>
      <c r="E221" s="104">
        <f t="shared" si="27"/>
        <v>2340</v>
      </c>
      <c r="F221" s="105" t="s">
        <v>30</v>
      </c>
      <c r="G221" s="105" t="s">
        <v>143</v>
      </c>
      <c r="H221" s="106">
        <f>H185-E221</f>
        <v>10140</v>
      </c>
      <c r="I221" s="106"/>
      <c r="J221" s="106" t="s">
        <v>308</v>
      </c>
      <c r="K221" s="104">
        <v>260211008</v>
      </c>
      <c r="L221" s="104"/>
      <c r="M221" s="104">
        <f>M209-D221</f>
        <v>0</v>
      </c>
      <c r="N221" s="19">
        <v>46046</v>
      </c>
      <c r="O221" s="21">
        <f t="shared" si="26"/>
        <v>46410</v>
      </c>
    </row>
    <row r="222" spans="1:15" ht="20.149999999999999" hidden="1" customHeight="1" x14ac:dyDescent="0.2">
      <c r="A222" s="40">
        <v>46065</v>
      </c>
      <c r="B222" s="40">
        <v>46066</v>
      </c>
      <c r="C222" s="41" t="s">
        <v>320</v>
      </c>
      <c r="D222" s="41">
        <v>12</v>
      </c>
      <c r="E222" s="41">
        <f t="shared" si="27"/>
        <v>2340</v>
      </c>
      <c r="F222" s="60" t="s">
        <v>31</v>
      </c>
      <c r="G222" s="60" t="s">
        <v>87</v>
      </c>
      <c r="H222" s="42">
        <f>H186-E222</f>
        <v>31360</v>
      </c>
      <c r="I222" s="42"/>
      <c r="J222" s="42"/>
      <c r="K222" s="41">
        <v>260211009</v>
      </c>
      <c r="L222" s="41"/>
      <c r="M222" s="41">
        <f>M217-D222</f>
        <v>0</v>
      </c>
      <c r="N222" s="19">
        <v>46047</v>
      </c>
      <c r="O222" s="21">
        <f t="shared" si="26"/>
        <v>46411</v>
      </c>
    </row>
    <row r="223" spans="1:15" ht="20.149999999999999" hidden="1" customHeight="1" x14ac:dyDescent="0.25">
      <c r="A223" s="26">
        <v>46066</v>
      </c>
      <c r="B223" s="26">
        <v>46066</v>
      </c>
      <c r="C223" s="27" t="s">
        <v>331</v>
      </c>
      <c r="D223" s="27">
        <v>4</v>
      </c>
      <c r="E223" s="27">
        <f t="shared" si="27"/>
        <v>780</v>
      </c>
      <c r="F223" s="36" t="s">
        <v>29</v>
      </c>
      <c r="G223" s="36" t="s">
        <v>81</v>
      </c>
      <c r="H223" s="28">
        <f>H200-E223</f>
        <v>77380</v>
      </c>
      <c r="I223" s="28"/>
      <c r="J223" s="28"/>
      <c r="K223" s="27">
        <v>260212004</v>
      </c>
      <c r="L223" s="27"/>
      <c r="M223" s="27">
        <f>M182-D223</f>
        <v>34</v>
      </c>
      <c r="N223" s="19">
        <v>46050</v>
      </c>
      <c r="O223" s="21">
        <f t="shared" si="26"/>
        <v>46414</v>
      </c>
    </row>
    <row r="224" spans="1:15" ht="20.149999999999999" hidden="1" customHeight="1" x14ac:dyDescent="0.25">
      <c r="A224" s="22">
        <v>46066</v>
      </c>
      <c r="B224" s="22">
        <v>46066</v>
      </c>
      <c r="C224" s="23" t="s">
        <v>332</v>
      </c>
      <c r="D224" s="23">
        <v>3</v>
      </c>
      <c r="E224" s="23">
        <f t="shared" si="27"/>
        <v>585</v>
      </c>
      <c r="F224" s="38" t="s">
        <v>27</v>
      </c>
      <c r="G224" s="38" t="s">
        <v>361</v>
      </c>
      <c r="H224" s="25">
        <f>H201-E224</f>
        <v>15015</v>
      </c>
      <c r="I224" s="25"/>
      <c r="J224" s="25"/>
      <c r="K224" s="23">
        <v>260212005</v>
      </c>
      <c r="L224" s="23"/>
      <c r="M224" s="23">
        <f>M216-D224</f>
        <v>0</v>
      </c>
      <c r="N224" s="19">
        <v>46049</v>
      </c>
      <c r="O224" s="21">
        <f t="shared" si="26"/>
        <v>46413</v>
      </c>
    </row>
    <row r="225" spans="1:15" ht="20.149999999999999" hidden="1" customHeight="1" x14ac:dyDescent="0.25">
      <c r="A225" s="22">
        <v>46066</v>
      </c>
      <c r="B225" s="22">
        <v>46066</v>
      </c>
      <c r="C225" s="23" t="s">
        <v>331</v>
      </c>
      <c r="D225" s="23">
        <v>22</v>
      </c>
      <c r="E225" s="23">
        <f t="shared" si="27"/>
        <v>4290</v>
      </c>
      <c r="F225" s="38" t="s">
        <v>27</v>
      </c>
      <c r="G225" s="38" t="s">
        <v>190</v>
      </c>
      <c r="H225" s="25">
        <f>H224-E225</f>
        <v>10725</v>
      </c>
      <c r="I225" s="25"/>
      <c r="J225" s="25"/>
      <c r="K225" s="23">
        <v>260212005</v>
      </c>
      <c r="L225" s="23"/>
      <c r="M225" s="23">
        <f>M223-D225</f>
        <v>12</v>
      </c>
      <c r="N225" s="19">
        <v>46050</v>
      </c>
      <c r="O225" s="21">
        <f t="shared" si="26"/>
        <v>46414</v>
      </c>
    </row>
    <row r="226" spans="1:15" ht="20.149999999999999" hidden="1" customHeight="1" x14ac:dyDescent="0.25">
      <c r="A226" s="22">
        <v>46066</v>
      </c>
      <c r="B226" s="22">
        <v>46066</v>
      </c>
      <c r="C226" s="23" t="s">
        <v>333</v>
      </c>
      <c r="D226" s="23">
        <v>7</v>
      </c>
      <c r="E226" s="23">
        <f t="shared" si="27"/>
        <v>1365</v>
      </c>
      <c r="F226" s="38" t="s">
        <v>27</v>
      </c>
      <c r="G226" s="38" t="s">
        <v>190</v>
      </c>
      <c r="H226" s="25">
        <f>H225-E226</f>
        <v>9360</v>
      </c>
      <c r="I226" s="25"/>
      <c r="J226" s="25"/>
      <c r="K226" s="23">
        <v>260212005</v>
      </c>
      <c r="L226" s="23"/>
      <c r="M226" s="23">
        <f>M183-D226</f>
        <v>30</v>
      </c>
      <c r="N226" s="19">
        <v>46051</v>
      </c>
      <c r="O226" s="21">
        <f t="shared" si="26"/>
        <v>46415</v>
      </c>
    </row>
    <row r="227" spans="1:15" ht="20.149999999999999" hidden="1" customHeight="1" x14ac:dyDescent="0.2">
      <c r="A227" s="29">
        <v>46066</v>
      </c>
      <c r="B227" s="29">
        <v>46066</v>
      </c>
      <c r="C227" s="30" t="s">
        <v>331</v>
      </c>
      <c r="D227" s="30">
        <v>12</v>
      </c>
      <c r="E227" s="30">
        <f t="shared" si="27"/>
        <v>2340</v>
      </c>
      <c r="F227" s="37" t="s">
        <v>26</v>
      </c>
      <c r="G227" s="37" t="s">
        <v>359</v>
      </c>
      <c r="H227" s="32">
        <f>H203-E227</f>
        <v>4680</v>
      </c>
      <c r="I227" s="32"/>
      <c r="J227" s="32"/>
      <c r="K227" s="30">
        <v>260212006</v>
      </c>
      <c r="L227" s="30"/>
      <c r="M227" s="30">
        <f>M225-D227</f>
        <v>0</v>
      </c>
      <c r="N227" s="19">
        <v>46050</v>
      </c>
      <c r="O227" s="21">
        <f t="shared" ref="O227:O236" si="28">DATE(YEAR(N227)+1,MONTH(N227),DAY(N227))-1</f>
        <v>46414</v>
      </c>
    </row>
    <row r="228" spans="1:15" ht="20.149999999999999" hidden="1" customHeight="1" x14ac:dyDescent="0.2">
      <c r="A228" s="33">
        <v>46066</v>
      </c>
      <c r="B228" s="131">
        <v>46069</v>
      </c>
      <c r="C228" s="34" t="s">
        <v>333</v>
      </c>
      <c r="D228" s="34">
        <v>16</v>
      </c>
      <c r="E228" s="34">
        <f t="shared" si="27"/>
        <v>3120</v>
      </c>
      <c r="F228" s="39" t="s">
        <v>26</v>
      </c>
      <c r="G228" s="39" t="s">
        <v>359</v>
      </c>
      <c r="H228" s="35">
        <f>H227-E228</f>
        <v>1560</v>
      </c>
      <c r="I228" s="35"/>
      <c r="J228" s="35"/>
      <c r="K228" s="34">
        <v>260212007</v>
      </c>
      <c r="L228" s="34"/>
      <c r="M228" s="34">
        <f>M226-D228</f>
        <v>14</v>
      </c>
      <c r="N228" s="19">
        <v>46051</v>
      </c>
      <c r="O228" s="21">
        <f t="shared" si="28"/>
        <v>46415</v>
      </c>
    </row>
    <row r="229" spans="1:15" ht="20.149999999999999" hidden="1" customHeight="1" x14ac:dyDescent="0.25">
      <c r="A229" s="40">
        <v>46066</v>
      </c>
      <c r="B229" s="132">
        <v>46070</v>
      </c>
      <c r="C229" s="41" t="s">
        <v>342</v>
      </c>
      <c r="D229" s="41">
        <v>14</v>
      </c>
      <c r="E229" s="41">
        <f t="shared" si="27"/>
        <v>2730</v>
      </c>
      <c r="F229" s="60" t="s">
        <v>316</v>
      </c>
      <c r="G229" s="60" t="s">
        <v>363</v>
      </c>
      <c r="H229" s="42">
        <f>H212-E229</f>
        <v>10530</v>
      </c>
      <c r="I229" s="42"/>
      <c r="J229" s="42"/>
      <c r="K229" s="41">
        <v>260212009</v>
      </c>
      <c r="L229" s="41"/>
      <c r="M229" s="41">
        <f>M228-D229</f>
        <v>0</v>
      </c>
      <c r="N229" s="19">
        <v>46051</v>
      </c>
      <c r="O229" s="21">
        <f t="shared" si="28"/>
        <v>46415</v>
      </c>
    </row>
    <row r="230" spans="1:15" ht="20.149999999999999" hidden="1" customHeight="1" x14ac:dyDescent="0.25">
      <c r="A230" s="40">
        <v>46066</v>
      </c>
      <c r="B230" s="132">
        <v>46070</v>
      </c>
      <c r="C230" s="41" t="s">
        <v>343</v>
      </c>
      <c r="D230" s="41">
        <v>10</v>
      </c>
      <c r="E230" s="41">
        <f t="shared" si="27"/>
        <v>1950</v>
      </c>
      <c r="F230" s="60" t="s">
        <v>316</v>
      </c>
      <c r="G230" s="60" t="s">
        <v>355</v>
      </c>
      <c r="H230" s="42">
        <f>H229-E230</f>
        <v>8580</v>
      </c>
      <c r="I230" s="42"/>
      <c r="J230" s="42"/>
      <c r="K230" s="41">
        <v>260212009</v>
      </c>
      <c r="L230" s="41"/>
      <c r="M230" s="41">
        <f>M184-D230</f>
        <v>23</v>
      </c>
      <c r="N230" s="19">
        <v>46052</v>
      </c>
      <c r="O230" s="21">
        <f t="shared" si="28"/>
        <v>46416</v>
      </c>
    </row>
    <row r="231" spans="1:15" ht="20.149999999999999" hidden="1" customHeight="1" x14ac:dyDescent="0.25">
      <c r="A231" s="133">
        <v>46066</v>
      </c>
      <c r="B231" s="134">
        <v>46070</v>
      </c>
      <c r="C231" s="135" t="s">
        <v>344</v>
      </c>
      <c r="D231" s="135">
        <v>16</v>
      </c>
      <c r="E231" s="135">
        <f t="shared" si="27"/>
        <v>3120</v>
      </c>
      <c r="F231" s="136" t="s">
        <v>334</v>
      </c>
      <c r="G231" s="136" t="s">
        <v>356</v>
      </c>
      <c r="H231" s="137">
        <f>H213-E231</f>
        <v>21840</v>
      </c>
      <c r="I231" s="137"/>
      <c r="J231" s="137"/>
      <c r="K231" s="135">
        <v>260212010</v>
      </c>
      <c r="L231" s="135"/>
      <c r="M231" s="135">
        <f>M230-D231</f>
        <v>7</v>
      </c>
      <c r="N231" s="19">
        <v>46052</v>
      </c>
      <c r="O231" s="21">
        <f t="shared" si="28"/>
        <v>46416</v>
      </c>
    </row>
    <row r="232" spans="1:15" ht="20.149999999999999" hidden="1" customHeight="1" x14ac:dyDescent="0.3">
      <c r="A232" s="26">
        <v>46066</v>
      </c>
      <c r="B232" s="138">
        <v>46070</v>
      </c>
      <c r="C232" s="27" t="s">
        <v>345</v>
      </c>
      <c r="D232" s="27">
        <v>7</v>
      </c>
      <c r="E232" s="27">
        <f>D232*195</f>
        <v>1365</v>
      </c>
      <c r="F232" s="36" t="s">
        <v>315</v>
      </c>
      <c r="G232" s="27" t="s">
        <v>364</v>
      </c>
      <c r="H232" s="28">
        <f>H215-E232</f>
        <v>27495</v>
      </c>
      <c r="I232" s="28"/>
      <c r="J232" s="28"/>
      <c r="K232" s="27">
        <v>260212011</v>
      </c>
      <c r="L232" s="27"/>
      <c r="M232" s="27">
        <f>M231-D232</f>
        <v>0</v>
      </c>
      <c r="N232" s="19">
        <v>46052</v>
      </c>
      <c r="O232" s="21">
        <f t="shared" si="28"/>
        <v>46416</v>
      </c>
    </row>
    <row r="233" spans="1:15" ht="20.149999999999999" hidden="1" customHeight="1" x14ac:dyDescent="0.3">
      <c r="A233" s="26">
        <v>46066</v>
      </c>
      <c r="B233" s="138">
        <v>46070</v>
      </c>
      <c r="C233" s="27" t="s">
        <v>335</v>
      </c>
      <c r="D233" s="27">
        <v>13</v>
      </c>
      <c r="E233" s="27">
        <f>D233*195</f>
        <v>2535</v>
      </c>
      <c r="F233" s="36" t="s">
        <v>315</v>
      </c>
      <c r="G233" s="27" t="s">
        <v>357</v>
      </c>
      <c r="H233" s="28">
        <f>H232-E233</f>
        <v>24960</v>
      </c>
      <c r="I233" s="28"/>
      <c r="J233" s="28"/>
      <c r="K233" s="27">
        <v>260212011</v>
      </c>
      <c r="L233" s="27"/>
      <c r="M233" s="27">
        <f>M191-D233</f>
        <v>24</v>
      </c>
      <c r="N233" s="19">
        <v>46053</v>
      </c>
      <c r="O233" s="21">
        <f t="shared" si="28"/>
        <v>46417</v>
      </c>
    </row>
    <row r="234" spans="1:15" ht="20.149999999999999" hidden="1" customHeight="1" x14ac:dyDescent="0.3">
      <c r="A234" s="90">
        <v>46066</v>
      </c>
      <c r="B234" s="139">
        <v>46070</v>
      </c>
      <c r="C234" s="91" t="s">
        <v>335</v>
      </c>
      <c r="D234" s="91">
        <v>4</v>
      </c>
      <c r="E234" s="91">
        <f t="shared" si="27"/>
        <v>780</v>
      </c>
      <c r="F234" s="92" t="s">
        <v>274</v>
      </c>
      <c r="G234" s="91" t="s">
        <v>358</v>
      </c>
      <c r="H234" s="93">
        <f>H220-E234</f>
        <v>30420</v>
      </c>
      <c r="I234" s="93"/>
      <c r="J234" s="93"/>
      <c r="K234" s="91">
        <v>260212012</v>
      </c>
      <c r="L234" s="91"/>
      <c r="M234" s="91">
        <f>M233-D234</f>
        <v>20</v>
      </c>
      <c r="N234" s="19">
        <v>46053</v>
      </c>
      <c r="O234" s="21">
        <f t="shared" si="28"/>
        <v>46417</v>
      </c>
    </row>
    <row r="235" spans="1:15" ht="20.149999999999999" hidden="1" customHeight="1" x14ac:dyDescent="0.3">
      <c r="A235" s="90">
        <v>46066</v>
      </c>
      <c r="B235" s="139">
        <v>46070</v>
      </c>
      <c r="C235" s="91" t="s">
        <v>336</v>
      </c>
      <c r="D235" s="91">
        <v>4</v>
      </c>
      <c r="E235" s="91">
        <f t="shared" si="27"/>
        <v>780</v>
      </c>
      <c r="F235" s="92" t="s">
        <v>274</v>
      </c>
      <c r="G235" s="91" t="s">
        <v>325</v>
      </c>
      <c r="H235" s="93">
        <f>H234-E235</f>
        <v>29640</v>
      </c>
      <c r="I235" s="140" t="s">
        <v>12</v>
      </c>
      <c r="J235" s="93"/>
      <c r="K235" s="91">
        <v>260212012</v>
      </c>
      <c r="L235" s="91">
        <v>41</v>
      </c>
      <c r="M235" s="91">
        <f>L235-D235</f>
        <v>37</v>
      </c>
      <c r="N235" s="19">
        <v>46064</v>
      </c>
      <c r="O235" s="21">
        <f t="shared" si="28"/>
        <v>46428</v>
      </c>
    </row>
    <row r="236" spans="1:15" ht="20.149999999999999" hidden="1" customHeight="1" x14ac:dyDescent="0.3">
      <c r="A236" s="90">
        <v>46066</v>
      </c>
      <c r="B236" s="139">
        <v>46070</v>
      </c>
      <c r="C236" s="91" t="s">
        <v>346</v>
      </c>
      <c r="D236" s="91">
        <v>4</v>
      </c>
      <c r="E236" s="91">
        <f t="shared" si="27"/>
        <v>780</v>
      </c>
      <c r="F236" s="92" t="s">
        <v>274</v>
      </c>
      <c r="G236" s="91" t="s">
        <v>374</v>
      </c>
      <c r="H236" s="93">
        <f>H235-E236</f>
        <v>28860</v>
      </c>
      <c r="I236" s="140" t="s">
        <v>12</v>
      </c>
      <c r="J236" s="93"/>
      <c r="K236" s="91">
        <v>260212012</v>
      </c>
      <c r="L236" s="91">
        <v>41</v>
      </c>
      <c r="M236" s="91">
        <f>L236-D236</f>
        <v>37</v>
      </c>
      <c r="N236" s="19">
        <v>46065</v>
      </c>
      <c r="O236" s="21">
        <f t="shared" si="28"/>
        <v>46429</v>
      </c>
    </row>
    <row r="237" spans="1:15" ht="20.149999999999999" hidden="1" customHeight="1" x14ac:dyDescent="0.2">
      <c r="A237" s="29">
        <v>46066</v>
      </c>
      <c r="B237" s="130">
        <v>46072</v>
      </c>
      <c r="C237" s="30" t="s">
        <v>347</v>
      </c>
      <c r="D237" s="30">
        <v>4</v>
      </c>
      <c r="E237" s="30">
        <f t="shared" si="27"/>
        <v>780</v>
      </c>
      <c r="F237" s="37" t="s">
        <v>26</v>
      </c>
      <c r="G237" s="126" t="s">
        <v>362</v>
      </c>
      <c r="H237" s="32">
        <f>21840-E237</f>
        <v>21060</v>
      </c>
      <c r="I237" s="32"/>
      <c r="J237" s="32"/>
      <c r="K237" s="30">
        <v>260212008</v>
      </c>
      <c r="L237" s="30"/>
      <c r="M237" s="30">
        <f>M234-D237</f>
        <v>16</v>
      </c>
      <c r="N237" s="19">
        <v>46053</v>
      </c>
      <c r="O237" s="21">
        <f t="shared" ref="O237:O266" si="29">DATE(YEAR(N237)+1,MONTH(N237),DAY(N237))-1</f>
        <v>46417</v>
      </c>
    </row>
    <row r="238" spans="1:15" ht="20.149999999999999" hidden="1" customHeight="1" x14ac:dyDescent="0.2">
      <c r="A238" s="29">
        <v>46066</v>
      </c>
      <c r="B238" s="130">
        <v>46072</v>
      </c>
      <c r="C238" s="30" t="s">
        <v>348</v>
      </c>
      <c r="D238" s="30">
        <v>8</v>
      </c>
      <c r="E238" s="30">
        <f t="shared" si="27"/>
        <v>1560</v>
      </c>
      <c r="F238" s="37" t="s">
        <v>26</v>
      </c>
      <c r="G238" s="37" t="s">
        <v>359</v>
      </c>
      <c r="H238" s="32">
        <f>H228-E238</f>
        <v>0</v>
      </c>
      <c r="I238" s="32"/>
      <c r="J238" s="32"/>
      <c r="K238" s="30">
        <v>260212008</v>
      </c>
      <c r="L238" s="30"/>
      <c r="M238" s="30">
        <f>M192-D238</f>
        <v>30</v>
      </c>
      <c r="N238" s="19">
        <v>46054</v>
      </c>
      <c r="O238" s="21">
        <f t="shared" si="29"/>
        <v>46418</v>
      </c>
    </row>
    <row r="239" spans="1:15" ht="20.149999999999999" hidden="1" customHeight="1" x14ac:dyDescent="0.25">
      <c r="A239" s="26">
        <v>46066</v>
      </c>
      <c r="B239" s="141">
        <v>46073</v>
      </c>
      <c r="C239" s="27" t="s">
        <v>349</v>
      </c>
      <c r="D239" s="27">
        <v>2</v>
      </c>
      <c r="E239" s="27">
        <f t="shared" si="27"/>
        <v>390</v>
      </c>
      <c r="F239" s="36" t="s">
        <v>339</v>
      </c>
      <c r="G239" s="36" t="s">
        <v>360</v>
      </c>
      <c r="H239" s="28">
        <f>H208-E239</f>
        <v>7410</v>
      </c>
      <c r="I239" s="28"/>
      <c r="J239" s="28"/>
      <c r="K239" s="27">
        <v>260212013</v>
      </c>
      <c r="L239" s="27"/>
      <c r="M239" s="27">
        <f>M238-D239</f>
        <v>28</v>
      </c>
      <c r="N239" s="19">
        <v>46054</v>
      </c>
      <c r="O239" s="21">
        <f t="shared" si="29"/>
        <v>46418</v>
      </c>
    </row>
    <row r="240" spans="1:15" ht="20.149999999999999" hidden="1" customHeight="1" x14ac:dyDescent="0.25">
      <c r="A240" s="26">
        <v>46066</v>
      </c>
      <c r="B240" s="141">
        <v>46073</v>
      </c>
      <c r="C240" s="27" t="s">
        <v>337</v>
      </c>
      <c r="D240" s="27">
        <v>18</v>
      </c>
      <c r="E240" s="27">
        <f t="shared" si="27"/>
        <v>3510</v>
      </c>
      <c r="F240" s="36" t="s">
        <v>339</v>
      </c>
      <c r="G240" s="36" t="s">
        <v>360</v>
      </c>
      <c r="H240" s="28">
        <f>H239-E240</f>
        <v>3900</v>
      </c>
      <c r="I240" s="28"/>
      <c r="J240" s="28"/>
      <c r="K240" s="27">
        <v>260212013</v>
      </c>
      <c r="L240" s="27"/>
      <c r="M240" s="27">
        <f>M193-D240</f>
        <v>18</v>
      </c>
      <c r="N240" s="19">
        <v>46055</v>
      </c>
      <c r="O240" s="21">
        <f t="shared" si="29"/>
        <v>46419</v>
      </c>
    </row>
    <row r="241" spans="1:15" ht="20.149999999999999" hidden="1" customHeight="1" x14ac:dyDescent="0.25">
      <c r="A241" s="33">
        <v>46066</v>
      </c>
      <c r="B241" s="142">
        <v>46073</v>
      </c>
      <c r="C241" s="34" t="s">
        <v>350</v>
      </c>
      <c r="D241" s="34">
        <v>12</v>
      </c>
      <c r="E241" s="34">
        <f t="shared" si="27"/>
        <v>2340</v>
      </c>
      <c r="F241" s="39" t="s">
        <v>334</v>
      </c>
      <c r="G241" s="39" t="s">
        <v>365</v>
      </c>
      <c r="H241" s="35">
        <f>H231-E241</f>
        <v>19500</v>
      </c>
      <c r="I241" s="35"/>
      <c r="J241" s="35"/>
      <c r="K241" s="34">
        <v>260212014</v>
      </c>
      <c r="L241" s="34"/>
      <c r="M241" s="34">
        <f>M239-D241</f>
        <v>16</v>
      </c>
      <c r="N241" s="19">
        <v>46054</v>
      </c>
      <c r="O241" s="21">
        <f t="shared" si="29"/>
        <v>46418</v>
      </c>
    </row>
    <row r="242" spans="1:15" ht="20.149999999999999" hidden="1" customHeight="1" x14ac:dyDescent="0.3">
      <c r="A242" s="71">
        <v>46066</v>
      </c>
      <c r="B242" s="85">
        <v>46073</v>
      </c>
      <c r="C242" s="72" t="s">
        <v>351</v>
      </c>
      <c r="D242" s="72">
        <v>18</v>
      </c>
      <c r="E242" s="72">
        <f t="shared" si="27"/>
        <v>3510</v>
      </c>
      <c r="F242" s="73" t="s">
        <v>315</v>
      </c>
      <c r="G242" s="72" t="s">
        <v>357</v>
      </c>
      <c r="H242" s="74">
        <f>H233-E242</f>
        <v>21450</v>
      </c>
      <c r="I242" s="74"/>
      <c r="J242" s="74"/>
      <c r="K242" s="72">
        <v>260212015</v>
      </c>
      <c r="L242" s="72"/>
      <c r="M242" s="72">
        <f>M240-D242</f>
        <v>0</v>
      </c>
      <c r="N242" s="19">
        <v>46055</v>
      </c>
      <c r="O242" s="21">
        <f t="shared" si="29"/>
        <v>46419</v>
      </c>
    </row>
    <row r="243" spans="1:15" ht="20.149999999999999" hidden="1" customHeight="1" x14ac:dyDescent="0.3">
      <c r="A243" s="71">
        <v>46066</v>
      </c>
      <c r="B243" s="85">
        <v>46073</v>
      </c>
      <c r="C243" s="72" t="s">
        <v>352</v>
      </c>
      <c r="D243" s="72">
        <v>2</v>
      </c>
      <c r="E243" s="72">
        <f t="shared" si="27"/>
        <v>390</v>
      </c>
      <c r="F243" s="73" t="s">
        <v>315</v>
      </c>
      <c r="G243" s="72" t="s">
        <v>185</v>
      </c>
      <c r="H243" s="74">
        <f>H242-E243</f>
        <v>21060</v>
      </c>
      <c r="I243" s="74"/>
      <c r="J243" s="74" t="s">
        <v>369</v>
      </c>
      <c r="K243" s="72">
        <v>260212015</v>
      </c>
      <c r="L243" s="72"/>
      <c r="M243" s="72">
        <f>M198-D243</f>
        <v>19</v>
      </c>
      <c r="N243" s="19">
        <v>46056</v>
      </c>
      <c r="O243" s="21">
        <f t="shared" si="29"/>
        <v>46420</v>
      </c>
    </row>
    <row r="244" spans="1:15" ht="20.149999999999999" hidden="1" customHeight="1" x14ac:dyDescent="0.3">
      <c r="A244" s="22">
        <v>46066</v>
      </c>
      <c r="B244" s="143">
        <v>46073</v>
      </c>
      <c r="C244" s="23" t="s">
        <v>338</v>
      </c>
      <c r="D244" s="23">
        <v>12</v>
      </c>
      <c r="E244" s="23">
        <f t="shared" si="27"/>
        <v>2340</v>
      </c>
      <c r="F244" s="38" t="s">
        <v>274</v>
      </c>
      <c r="G244" s="23" t="s">
        <v>366</v>
      </c>
      <c r="H244" s="25">
        <f>H236-E244</f>
        <v>26520</v>
      </c>
      <c r="I244" s="25"/>
      <c r="J244" s="25"/>
      <c r="K244" s="23">
        <v>260212016</v>
      </c>
      <c r="L244" s="23"/>
      <c r="M244" s="23">
        <f>M243-D244</f>
        <v>7</v>
      </c>
      <c r="N244" s="19">
        <v>46056</v>
      </c>
      <c r="O244" s="21">
        <f t="shared" si="29"/>
        <v>46420</v>
      </c>
    </row>
    <row r="245" spans="1:15" ht="20.149999999999999" hidden="1" customHeight="1" x14ac:dyDescent="0.2">
      <c r="A245" s="40">
        <v>46066</v>
      </c>
      <c r="B245" s="129">
        <v>46073</v>
      </c>
      <c r="C245" s="41" t="s">
        <v>335</v>
      </c>
      <c r="D245" s="41">
        <v>16</v>
      </c>
      <c r="E245" s="41">
        <f t="shared" si="27"/>
        <v>3120</v>
      </c>
      <c r="F245" s="60" t="s">
        <v>30</v>
      </c>
      <c r="G245" s="60" t="s">
        <v>367</v>
      </c>
      <c r="H245" s="42">
        <f>H221-E245</f>
        <v>7020</v>
      </c>
      <c r="I245" s="42"/>
      <c r="J245" s="42"/>
      <c r="K245" s="41">
        <v>260212017</v>
      </c>
      <c r="L245" s="41"/>
      <c r="M245" s="41">
        <f>M237-D245</f>
        <v>0</v>
      </c>
      <c r="N245" s="19">
        <v>46053</v>
      </c>
      <c r="O245" s="21">
        <f t="shared" si="29"/>
        <v>46417</v>
      </c>
    </row>
    <row r="246" spans="1:15" ht="20.149999999999999" hidden="1" customHeight="1" x14ac:dyDescent="0.2">
      <c r="A246" s="29">
        <v>46066</v>
      </c>
      <c r="B246" s="87">
        <v>46073</v>
      </c>
      <c r="C246" s="30" t="s">
        <v>353</v>
      </c>
      <c r="D246" s="30">
        <v>16</v>
      </c>
      <c r="E246" s="30">
        <f t="shared" si="27"/>
        <v>3120</v>
      </c>
      <c r="F246" s="37" t="s">
        <v>31</v>
      </c>
      <c r="G246" s="37" t="s">
        <v>368</v>
      </c>
      <c r="H246" s="32">
        <f>H222-E246</f>
        <v>28240</v>
      </c>
      <c r="I246" s="32"/>
      <c r="J246" s="32"/>
      <c r="K246" s="30">
        <v>260212018</v>
      </c>
      <c r="L246" s="30"/>
      <c r="M246" s="30">
        <f>M241-D246</f>
        <v>0</v>
      </c>
      <c r="N246" s="19">
        <v>46054</v>
      </c>
      <c r="O246" s="21">
        <f t="shared" si="29"/>
        <v>46418</v>
      </c>
    </row>
    <row r="247" spans="1:15" ht="20.149999999999999" hidden="1" customHeight="1" x14ac:dyDescent="0.3">
      <c r="A247" s="26">
        <v>46066</v>
      </c>
      <c r="B247" s="26">
        <v>46076</v>
      </c>
      <c r="C247" s="27" t="s">
        <v>338</v>
      </c>
      <c r="D247" s="27">
        <v>7</v>
      </c>
      <c r="E247" s="27">
        <f>D247*195</f>
        <v>1365</v>
      </c>
      <c r="F247" s="36" t="s">
        <v>315</v>
      </c>
      <c r="G247" s="27" t="s">
        <v>357</v>
      </c>
      <c r="H247" s="147">
        <f>H243-E247</f>
        <v>19695</v>
      </c>
      <c r="I247" s="28"/>
      <c r="J247" s="28"/>
      <c r="K247" s="27">
        <v>260212019</v>
      </c>
      <c r="L247" s="27"/>
      <c r="M247" s="27">
        <f>M244-D247</f>
        <v>0</v>
      </c>
      <c r="N247" s="19">
        <v>46056</v>
      </c>
      <c r="O247" s="21">
        <f t="shared" si="29"/>
        <v>46420</v>
      </c>
    </row>
    <row r="248" spans="1:15" ht="20.149999999999999" hidden="1" customHeight="1" x14ac:dyDescent="0.3">
      <c r="A248" s="26">
        <v>46066</v>
      </c>
      <c r="B248" s="26">
        <v>46076</v>
      </c>
      <c r="C248" s="27" t="s">
        <v>340</v>
      </c>
      <c r="D248" s="27">
        <v>5</v>
      </c>
      <c r="E248" s="27">
        <f t="shared" si="27"/>
        <v>975</v>
      </c>
      <c r="F248" s="36" t="s">
        <v>315</v>
      </c>
      <c r="G248" s="27" t="s">
        <v>357</v>
      </c>
      <c r="H248" s="28">
        <f>H247-E248</f>
        <v>18720</v>
      </c>
      <c r="I248" s="28"/>
      <c r="J248" s="28"/>
      <c r="K248" s="27">
        <v>260212019</v>
      </c>
      <c r="L248" s="27"/>
      <c r="M248" s="27">
        <f>M199-D248</f>
        <v>12</v>
      </c>
      <c r="N248" s="19">
        <v>46057</v>
      </c>
      <c r="O248" s="21">
        <f t="shared" si="29"/>
        <v>46421</v>
      </c>
    </row>
    <row r="249" spans="1:15" ht="20.149999999999999" hidden="1" customHeight="1" x14ac:dyDescent="0.2">
      <c r="A249" s="40">
        <v>46076</v>
      </c>
      <c r="B249" s="40">
        <v>46076</v>
      </c>
      <c r="C249" s="41" t="s">
        <v>312</v>
      </c>
      <c r="D249" s="41">
        <v>8</v>
      </c>
      <c r="E249" s="41">
        <f t="shared" si="27"/>
        <v>1560</v>
      </c>
      <c r="F249" s="60" t="s">
        <v>26</v>
      </c>
      <c r="G249" s="60" t="s">
        <v>362</v>
      </c>
      <c r="H249" s="42">
        <f>H237-E249</f>
        <v>19500</v>
      </c>
      <c r="I249" s="42"/>
      <c r="J249" s="42"/>
      <c r="K249" s="41">
        <v>260223001</v>
      </c>
      <c r="L249" s="41"/>
      <c r="M249" s="41">
        <f>M210-D249</f>
        <v>29</v>
      </c>
      <c r="N249" s="19">
        <v>46058</v>
      </c>
      <c r="O249" s="21">
        <f t="shared" si="29"/>
        <v>46422</v>
      </c>
    </row>
    <row r="250" spans="1:15" ht="20.149999999999999" hidden="1" customHeight="1" x14ac:dyDescent="0.2">
      <c r="A250" s="40">
        <v>46076</v>
      </c>
      <c r="B250" s="40">
        <v>46076</v>
      </c>
      <c r="C250" s="41" t="s">
        <v>313</v>
      </c>
      <c r="D250" s="41">
        <v>8</v>
      </c>
      <c r="E250" s="41">
        <f t="shared" si="27"/>
        <v>1560</v>
      </c>
      <c r="F250" s="60" t="s">
        <v>26</v>
      </c>
      <c r="G250" s="60" t="s">
        <v>362</v>
      </c>
      <c r="H250" s="42">
        <f>H249-E250</f>
        <v>17940</v>
      </c>
      <c r="I250" s="42"/>
      <c r="J250" s="42"/>
      <c r="K250" s="41">
        <v>260223001</v>
      </c>
      <c r="L250" s="41"/>
      <c r="M250" s="41">
        <f>M211-D250</f>
        <v>29</v>
      </c>
      <c r="N250" s="19">
        <v>46059</v>
      </c>
      <c r="O250" s="21">
        <f t="shared" si="29"/>
        <v>46423</v>
      </c>
    </row>
    <row r="251" spans="1:15" ht="20.149999999999999" hidden="1" customHeight="1" x14ac:dyDescent="0.25">
      <c r="A251" s="33">
        <v>46076</v>
      </c>
      <c r="B251" s="33">
        <v>46077</v>
      </c>
      <c r="C251" s="34" t="s">
        <v>370</v>
      </c>
      <c r="D251" s="34">
        <v>12</v>
      </c>
      <c r="E251" s="34">
        <f t="shared" si="27"/>
        <v>2340</v>
      </c>
      <c r="F251" s="39" t="s">
        <v>373</v>
      </c>
      <c r="G251" s="39" t="s">
        <v>375</v>
      </c>
      <c r="H251" s="35">
        <f>H216-E251</f>
        <v>192200</v>
      </c>
      <c r="I251" s="35"/>
      <c r="J251" s="35"/>
      <c r="K251" s="34">
        <v>260213001</v>
      </c>
      <c r="L251" s="34"/>
      <c r="M251" s="34">
        <f>M248-D251</f>
        <v>0</v>
      </c>
      <c r="N251" s="19">
        <v>46057</v>
      </c>
      <c r="O251" s="21">
        <f t="shared" si="29"/>
        <v>46421</v>
      </c>
    </row>
    <row r="252" spans="1:15" ht="20.149999999999999" hidden="1" customHeight="1" x14ac:dyDescent="0.3">
      <c r="A252" s="29">
        <v>46076</v>
      </c>
      <c r="B252" s="29">
        <v>46077</v>
      </c>
      <c r="C252" s="30" t="s">
        <v>371</v>
      </c>
      <c r="D252" s="30">
        <v>4</v>
      </c>
      <c r="E252" s="30">
        <f t="shared" si="27"/>
        <v>780</v>
      </c>
      <c r="F252" s="37" t="s">
        <v>274</v>
      </c>
      <c r="G252" s="30" t="s">
        <v>366</v>
      </c>
      <c r="H252" s="32">
        <f>H244-E252</f>
        <v>25740</v>
      </c>
      <c r="I252" s="70" t="s">
        <v>12</v>
      </c>
      <c r="J252" s="32"/>
      <c r="K252" s="30">
        <v>260213002</v>
      </c>
      <c r="L252" s="30">
        <v>42</v>
      </c>
      <c r="M252" s="30">
        <f>L252-D252</f>
        <v>38</v>
      </c>
      <c r="N252" s="19">
        <v>46066</v>
      </c>
      <c r="O252" s="21">
        <f t="shared" si="29"/>
        <v>46430</v>
      </c>
    </row>
    <row r="253" spans="1:15" ht="20.149999999999999" hidden="1" customHeight="1" x14ac:dyDescent="0.3">
      <c r="A253" s="29">
        <v>46076</v>
      </c>
      <c r="B253" s="29">
        <v>46077</v>
      </c>
      <c r="C253" s="30" t="s">
        <v>372</v>
      </c>
      <c r="D253" s="30">
        <v>4</v>
      </c>
      <c r="E253" s="30">
        <f t="shared" si="27"/>
        <v>780</v>
      </c>
      <c r="F253" s="37" t="s">
        <v>274</v>
      </c>
      <c r="G253" s="30" t="s">
        <v>325</v>
      </c>
      <c r="H253" s="32">
        <f>H252-E253</f>
        <v>24960</v>
      </c>
      <c r="I253" s="70" t="s">
        <v>12</v>
      </c>
      <c r="J253" s="32"/>
      <c r="K253" s="30">
        <v>260213002</v>
      </c>
      <c r="L253" s="30">
        <v>41</v>
      </c>
      <c r="M253" s="30">
        <f>L253-D253</f>
        <v>37</v>
      </c>
      <c r="N253" s="19">
        <v>46067</v>
      </c>
      <c r="O253" s="21">
        <f t="shared" si="29"/>
        <v>46431</v>
      </c>
    </row>
    <row r="254" spans="1:15" ht="20.149999999999999" hidden="1" customHeight="1" x14ac:dyDescent="0.25">
      <c r="A254" s="22">
        <v>46077</v>
      </c>
      <c r="B254" s="22">
        <v>46077</v>
      </c>
      <c r="C254" s="23" t="s">
        <v>377</v>
      </c>
      <c r="D254" s="23">
        <v>8</v>
      </c>
      <c r="E254" s="23">
        <f t="shared" si="27"/>
        <v>1560</v>
      </c>
      <c r="F254" s="38" t="s">
        <v>29</v>
      </c>
      <c r="G254" s="38" t="s">
        <v>81</v>
      </c>
      <c r="H254" s="25">
        <f>H223-E254</f>
        <v>75820</v>
      </c>
      <c r="I254" s="25"/>
      <c r="J254" s="25"/>
      <c r="K254" s="23">
        <v>260223006</v>
      </c>
      <c r="L254" s="23"/>
      <c r="M254" s="23">
        <f>M249-D254</f>
        <v>21</v>
      </c>
      <c r="N254" s="19">
        <v>46058</v>
      </c>
      <c r="O254" s="21">
        <f t="shared" si="29"/>
        <v>46422</v>
      </c>
    </row>
    <row r="255" spans="1:15" ht="20.149999999999999" hidden="1" customHeight="1" x14ac:dyDescent="0.25">
      <c r="A255" s="26">
        <v>46077</v>
      </c>
      <c r="B255" s="26">
        <v>46077</v>
      </c>
      <c r="C255" s="27" t="s">
        <v>378</v>
      </c>
      <c r="D255" s="27">
        <v>5</v>
      </c>
      <c r="E255" s="27">
        <f t="shared" si="27"/>
        <v>975</v>
      </c>
      <c r="F255" s="36" t="s">
        <v>27</v>
      </c>
      <c r="G255" s="36" t="s">
        <v>383</v>
      </c>
      <c r="H255" s="28">
        <f>H226-E255</f>
        <v>8385</v>
      </c>
      <c r="I255" s="28"/>
      <c r="J255" s="28"/>
      <c r="K255" s="27">
        <v>260223008</v>
      </c>
      <c r="L255" s="27"/>
      <c r="M255" s="27">
        <f>M254-D255</f>
        <v>16</v>
      </c>
      <c r="N255" s="19">
        <v>46058</v>
      </c>
      <c r="O255" s="21">
        <f t="shared" si="29"/>
        <v>46422</v>
      </c>
    </row>
    <row r="256" spans="1:15" ht="20.149999999999999" hidden="1" customHeight="1" x14ac:dyDescent="0.25">
      <c r="A256" s="26">
        <v>46077</v>
      </c>
      <c r="B256" s="26">
        <v>46077</v>
      </c>
      <c r="C256" s="27" t="s">
        <v>313</v>
      </c>
      <c r="D256" s="27">
        <v>15</v>
      </c>
      <c r="E256" s="27">
        <f t="shared" si="27"/>
        <v>2925</v>
      </c>
      <c r="F256" s="36" t="s">
        <v>27</v>
      </c>
      <c r="G256" s="36" t="s">
        <v>190</v>
      </c>
      <c r="H256" s="28">
        <f>H255-E256</f>
        <v>5460</v>
      </c>
      <c r="I256" s="28"/>
      <c r="J256" s="28"/>
      <c r="K256" s="27">
        <v>260223008</v>
      </c>
      <c r="L256" s="27"/>
      <c r="M256" s="27">
        <f>M250-D256</f>
        <v>14</v>
      </c>
      <c r="N256" s="19">
        <v>46059</v>
      </c>
      <c r="O256" s="21">
        <f t="shared" si="29"/>
        <v>46423</v>
      </c>
    </row>
    <row r="257" spans="1:15" ht="20.149999999999999" hidden="1" customHeight="1" x14ac:dyDescent="0.3">
      <c r="A257" s="33">
        <v>46077</v>
      </c>
      <c r="B257" s="33">
        <v>46078</v>
      </c>
      <c r="C257" s="34" t="s">
        <v>313</v>
      </c>
      <c r="D257" s="34">
        <v>2</v>
      </c>
      <c r="E257" s="34">
        <f t="shared" si="27"/>
        <v>390</v>
      </c>
      <c r="F257" s="39" t="s">
        <v>315</v>
      </c>
      <c r="G257" s="34" t="s">
        <v>185</v>
      </c>
      <c r="H257" s="35">
        <f>H248-E257</f>
        <v>18330</v>
      </c>
      <c r="I257" s="35"/>
      <c r="J257" s="35"/>
      <c r="K257" s="34">
        <v>260223009</v>
      </c>
      <c r="L257" s="34"/>
      <c r="M257" s="34">
        <f>M256-D257</f>
        <v>12</v>
      </c>
      <c r="N257" s="19">
        <v>46059</v>
      </c>
      <c r="O257" s="21">
        <f t="shared" si="29"/>
        <v>46423</v>
      </c>
    </row>
    <row r="258" spans="1:15" ht="20.149999999999999" hidden="1" customHeight="1" x14ac:dyDescent="0.3">
      <c r="A258" s="33">
        <v>46077</v>
      </c>
      <c r="B258" s="33">
        <v>46078</v>
      </c>
      <c r="C258" s="34" t="s">
        <v>379</v>
      </c>
      <c r="D258" s="34">
        <v>18</v>
      </c>
      <c r="E258" s="34">
        <f t="shared" si="27"/>
        <v>3510</v>
      </c>
      <c r="F258" s="39" t="s">
        <v>315</v>
      </c>
      <c r="G258" s="34" t="s">
        <v>185</v>
      </c>
      <c r="H258" s="35">
        <f>H257-E258</f>
        <v>14820</v>
      </c>
      <c r="I258" s="35"/>
      <c r="J258" s="35"/>
      <c r="K258" s="34">
        <v>260223009</v>
      </c>
      <c r="L258" s="34"/>
      <c r="M258" s="34">
        <f>M212-D258</f>
        <v>20</v>
      </c>
      <c r="N258" s="19">
        <v>46060</v>
      </c>
      <c r="O258" s="21">
        <f t="shared" si="29"/>
        <v>46424</v>
      </c>
    </row>
    <row r="259" spans="1:15" ht="20.149999999999999" hidden="1" customHeight="1" x14ac:dyDescent="0.25">
      <c r="A259" s="40">
        <v>46078</v>
      </c>
      <c r="B259" s="40">
        <v>46079</v>
      </c>
      <c r="C259" s="41" t="s">
        <v>379</v>
      </c>
      <c r="D259" s="41">
        <v>12</v>
      </c>
      <c r="E259" s="41">
        <f>D259*195</f>
        <v>2340</v>
      </c>
      <c r="F259" s="60" t="s">
        <v>384</v>
      </c>
      <c r="G259" s="60" t="s">
        <v>169</v>
      </c>
      <c r="H259" s="42">
        <f>H230-E259</f>
        <v>6240</v>
      </c>
      <c r="I259" s="42"/>
      <c r="J259" s="42"/>
      <c r="K259" s="41">
        <v>260224001</v>
      </c>
      <c r="L259" s="41"/>
      <c r="M259" s="41">
        <f>M258-D259</f>
        <v>8</v>
      </c>
      <c r="N259" s="19">
        <v>46060</v>
      </c>
      <c r="O259" s="21">
        <f t="shared" si="29"/>
        <v>46424</v>
      </c>
    </row>
    <row r="260" spans="1:15" ht="20.149999999999999" hidden="1" customHeight="1" x14ac:dyDescent="0.25">
      <c r="A260" s="71">
        <v>46078</v>
      </c>
      <c r="B260" s="71">
        <v>46079</v>
      </c>
      <c r="C260" s="72" t="s">
        <v>379</v>
      </c>
      <c r="D260" s="72">
        <v>8</v>
      </c>
      <c r="E260" s="72">
        <f t="shared" ref="E260:E271" si="30">D260*195</f>
        <v>1560</v>
      </c>
      <c r="F260" s="73" t="s">
        <v>386</v>
      </c>
      <c r="G260" s="73" t="s">
        <v>130</v>
      </c>
      <c r="H260" s="74">
        <f>H240-E260</f>
        <v>2340</v>
      </c>
      <c r="I260" s="74"/>
      <c r="J260" s="74"/>
      <c r="K260" s="72">
        <v>260224002</v>
      </c>
      <c r="L260" s="72"/>
      <c r="M260" s="72">
        <f>M259-D260</f>
        <v>0</v>
      </c>
      <c r="N260" s="19">
        <v>46060</v>
      </c>
      <c r="O260" s="21">
        <f t="shared" si="29"/>
        <v>46424</v>
      </c>
    </row>
    <row r="261" spans="1:15" ht="20.149999999999999" hidden="1" customHeight="1" x14ac:dyDescent="0.25">
      <c r="A261" s="71">
        <v>46078</v>
      </c>
      <c r="B261" s="71">
        <v>46079</v>
      </c>
      <c r="C261" s="72" t="s">
        <v>385</v>
      </c>
      <c r="D261" s="72">
        <v>4</v>
      </c>
      <c r="E261" s="72">
        <f t="shared" si="30"/>
        <v>780</v>
      </c>
      <c r="F261" s="73" t="s">
        <v>386</v>
      </c>
      <c r="G261" s="73" t="s">
        <v>130</v>
      </c>
      <c r="H261" s="74">
        <f>H260-E261</f>
        <v>1560</v>
      </c>
      <c r="I261" s="74"/>
      <c r="J261" s="74"/>
      <c r="K261" s="72">
        <v>260224002</v>
      </c>
      <c r="L261" s="72"/>
      <c r="M261" s="72">
        <f>M218-D261</f>
        <v>33</v>
      </c>
      <c r="N261" s="19">
        <v>46061</v>
      </c>
      <c r="O261" s="21">
        <f t="shared" si="29"/>
        <v>46425</v>
      </c>
    </row>
    <row r="262" spans="1:15" ht="20.149999999999999" hidden="1" customHeight="1" x14ac:dyDescent="0.25">
      <c r="A262" s="29">
        <v>46078</v>
      </c>
      <c r="B262" s="29">
        <v>46079</v>
      </c>
      <c r="C262" s="30" t="s">
        <v>312</v>
      </c>
      <c r="D262" s="30">
        <v>4</v>
      </c>
      <c r="E262" s="30">
        <f t="shared" si="30"/>
        <v>780</v>
      </c>
      <c r="F262" s="37" t="s">
        <v>387</v>
      </c>
      <c r="G262" s="37" t="s">
        <v>296</v>
      </c>
      <c r="H262" s="32">
        <f>H241-E262</f>
        <v>18720</v>
      </c>
      <c r="I262" s="32"/>
      <c r="J262" s="32"/>
      <c r="K262" s="30">
        <v>260224003</v>
      </c>
      <c r="L262" s="30"/>
      <c r="M262" s="30">
        <f>M255-D262</f>
        <v>12</v>
      </c>
      <c r="N262" s="19">
        <v>46058</v>
      </c>
      <c r="O262" s="21">
        <f t="shared" si="29"/>
        <v>46422</v>
      </c>
    </row>
    <row r="263" spans="1:15" ht="20.149999999999999" hidden="1" customHeight="1" x14ac:dyDescent="0.25">
      <c r="A263" s="108">
        <v>46078</v>
      </c>
      <c r="B263" s="108">
        <v>46079</v>
      </c>
      <c r="C263" s="109" t="s">
        <v>385</v>
      </c>
      <c r="D263" s="109">
        <v>12</v>
      </c>
      <c r="E263" s="109">
        <f t="shared" si="30"/>
        <v>2340</v>
      </c>
      <c r="F263" s="110" t="s">
        <v>388</v>
      </c>
      <c r="G263" s="110" t="s">
        <v>392</v>
      </c>
      <c r="H263" s="111">
        <f>H251-E263</f>
        <v>189860</v>
      </c>
      <c r="I263" s="111"/>
      <c r="J263" s="111"/>
      <c r="K263" s="109">
        <v>260224004</v>
      </c>
      <c r="L263" s="109"/>
      <c r="M263" s="109">
        <f>M261-D263</f>
        <v>21</v>
      </c>
      <c r="N263" s="19">
        <v>46061</v>
      </c>
      <c r="O263" s="21">
        <f t="shared" si="29"/>
        <v>46425</v>
      </c>
    </row>
    <row r="264" spans="1:15" ht="20.149999999999999" hidden="1" customHeight="1" x14ac:dyDescent="0.3">
      <c r="A264" s="26">
        <v>46078</v>
      </c>
      <c r="B264" s="26">
        <v>46079</v>
      </c>
      <c r="C264" s="27" t="s">
        <v>313</v>
      </c>
      <c r="D264" s="27">
        <v>4</v>
      </c>
      <c r="E264" s="27">
        <f t="shared" si="30"/>
        <v>780</v>
      </c>
      <c r="F264" s="36" t="s">
        <v>274</v>
      </c>
      <c r="G264" s="27" t="s">
        <v>393</v>
      </c>
      <c r="H264" s="28">
        <f>H253-E264</f>
        <v>24180</v>
      </c>
      <c r="I264" s="28"/>
      <c r="J264" s="28"/>
      <c r="K264" s="27">
        <v>260224005</v>
      </c>
      <c r="L264" s="27"/>
      <c r="M264" s="27">
        <f>M257-D264</f>
        <v>8</v>
      </c>
      <c r="N264" s="19">
        <v>46059</v>
      </c>
      <c r="O264" s="21">
        <f t="shared" si="29"/>
        <v>46423</v>
      </c>
    </row>
    <row r="265" spans="1:15" ht="20.149999999999999" hidden="1" customHeight="1" x14ac:dyDescent="0.3">
      <c r="A265" s="26">
        <v>46078</v>
      </c>
      <c r="B265" s="26">
        <v>46079</v>
      </c>
      <c r="C265" s="27" t="s">
        <v>389</v>
      </c>
      <c r="D265" s="27">
        <v>4</v>
      </c>
      <c r="E265" s="27">
        <f t="shared" si="30"/>
        <v>780</v>
      </c>
      <c r="F265" s="36" t="s">
        <v>274</v>
      </c>
      <c r="G265" s="27" t="s">
        <v>325</v>
      </c>
      <c r="H265" s="28">
        <f>H264-E265</f>
        <v>23400</v>
      </c>
      <c r="I265" s="61" t="s">
        <v>12</v>
      </c>
      <c r="J265" s="28"/>
      <c r="K265" s="27">
        <v>260224005</v>
      </c>
      <c r="L265" s="27">
        <v>42</v>
      </c>
      <c r="M265" s="27">
        <f>L265-D265</f>
        <v>38</v>
      </c>
      <c r="N265" s="19">
        <v>46068</v>
      </c>
      <c r="O265" s="21">
        <f t="shared" si="29"/>
        <v>46432</v>
      </c>
    </row>
    <row r="266" spans="1:15" ht="20.149999999999999" hidden="1" customHeight="1" x14ac:dyDescent="0.3">
      <c r="A266" s="26">
        <v>46078</v>
      </c>
      <c r="B266" s="26">
        <v>46079</v>
      </c>
      <c r="C266" s="27" t="s">
        <v>390</v>
      </c>
      <c r="D266" s="27">
        <v>4</v>
      </c>
      <c r="E266" s="27">
        <f t="shared" si="30"/>
        <v>780</v>
      </c>
      <c r="F266" s="36" t="s">
        <v>274</v>
      </c>
      <c r="G266" s="27" t="s">
        <v>325</v>
      </c>
      <c r="H266" s="28">
        <f>H265-E266</f>
        <v>22620</v>
      </c>
      <c r="I266" s="61" t="s">
        <v>12</v>
      </c>
      <c r="J266" s="28" t="s">
        <v>479</v>
      </c>
      <c r="K266" s="27">
        <v>260224005</v>
      </c>
      <c r="L266" s="27">
        <v>41</v>
      </c>
      <c r="M266" s="27">
        <f>L266-16-D266</f>
        <v>21</v>
      </c>
      <c r="N266" s="19">
        <v>46069</v>
      </c>
      <c r="O266" s="21">
        <f t="shared" si="29"/>
        <v>46433</v>
      </c>
    </row>
    <row r="267" spans="1:15" ht="20.149999999999999" hidden="1" customHeight="1" x14ac:dyDescent="0.2">
      <c r="A267" s="22">
        <v>46078</v>
      </c>
      <c r="B267" s="22">
        <v>46079</v>
      </c>
      <c r="C267" s="23" t="s">
        <v>312</v>
      </c>
      <c r="D267" s="23">
        <v>12</v>
      </c>
      <c r="E267" s="23">
        <f t="shared" si="30"/>
        <v>2340</v>
      </c>
      <c r="F267" s="38" t="s">
        <v>30</v>
      </c>
      <c r="G267" s="38" t="s">
        <v>143</v>
      </c>
      <c r="H267" s="25">
        <f>H245-E267</f>
        <v>4680</v>
      </c>
      <c r="I267" s="25"/>
      <c r="J267" s="25"/>
      <c r="K267" s="23">
        <v>260224006</v>
      </c>
      <c r="L267" s="23"/>
      <c r="M267" s="23">
        <f>M262-D267</f>
        <v>0</v>
      </c>
      <c r="N267" s="19">
        <v>46058</v>
      </c>
      <c r="O267" s="21">
        <f t="shared" ref="O267:O279" si="31">DATE(YEAR(N267)+1,MONTH(N267),DAY(N267))-1</f>
        <v>46422</v>
      </c>
    </row>
    <row r="268" spans="1:15" ht="20.149999999999999" hidden="1" customHeight="1" x14ac:dyDescent="0.2">
      <c r="A268" s="103">
        <v>46078</v>
      </c>
      <c r="B268" s="103">
        <v>46079</v>
      </c>
      <c r="C268" s="104" t="s">
        <v>313</v>
      </c>
      <c r="D268" s="104">
        <v>8</v>
      </c>
      <c r="E268" s="104">
        <f t="shared" si="30"/>
        <v>1560</v>
      </c>
      <c r="F268" s="105" t="s">
        <v>31</v>
      </c>
      <c r="G268" s="105" t="s">
        <v>87</v>
      </c>
      <c r="H268" s="106">
        <f>H246-E268</f>
        <v>26680</v>
      </c>
      <c r="I268" s="106"/>
      <c r="J268" s="106"/>
      <c r="K268" s="104">
        <v>260224007</v>
      </c>
      <c r="L268" s="104"/>
      <c r="M268" s="104">
        <f>M264-D268</f>
        <v>0</v>
      </c>
      <c r="N268" s="19">
        <v>46059</v>
      </c>
      <c r="O268" s="21">
        <f t="shared" si="31"/>
        <v>46423</v>
      </c>
    </row>
    <row r="269" spans="1:15" ht="20.149999999999999" hidden="1" customHeight="1" x14ac:dyDescent="0.2">
      <c r="A269" s="26">
        <v>46079</v>
      </c>
      <c r="B269" s="26">
        <v>46079</v>
      </c>
      <c r="C269" s="27" t="s">
        <v>385</v>
      </c>
      <c r="D269" s="27">
        <v>12</v>
      </c>
      <c r="E269" s="27">
        <f t="shared" si="30"/>
        <v>2340</v>
      </c>
      <c r="F269" s="36" t="s">
        <v>26</v>
      </c>
      <c r="G269" s="36" t="s">
        <v>362</v>
      </c>
      <c r="H269" s="28">
        <f>H250-E269</f>
        <v>15600</v>
      </c>
      <c r="I269" s="28"/>
      <c r="J269" s="28"/>
      <c r="K269" s="27">
        <v>260225004</v>
      </c>
      <c r="L269" s="27"/>
      <c r="M269" s="27">
        <f>M263-D269</f>
        <v>9</v>
      </c>
      <c r="N269" s="19">
        <v>46061</v>
      </c>
      <c r="O269" s="21">
        <f t="shared" si="31"/>
        <v>46425</v>
      </c>
    </row>
    <row r="270" spans="1:15" ht="20.149999999999999" hidden="1" customHeight="1" x14ac:dyDescent="0.3">
      <c r="A270" s="40">
        <v>46079</v>
      </c>
      <c r="B270" s="129">
        <v>46080</v>
      </c>
      <c r="C270" s="41" t="s">
        <v>385</v>
      </c>
      <c r="D270" s="41">
        <v>9</v>
      </c>
      <c r="E270" s="41">
        <f t="shared" si="30"/>
        <v>1755</v>
      </c>
      <c r="F270" s="60" t="s">
        <v>315</v>
      </c>
      <c r="G270" s="41" t="s">
        <v>397</v>
      </c>
      <c r="H270" s="42">
        <f>H258-E270</f>
        <v>13065</v>
      </c>
      <c r="I270" s="42"/>
      <c r="J270" s="42"/>
      <c r="K270" s="41">
        <v>260225005</v>
      </c>
      <c r="L270" s="41"/>
      <c r="M270" s="41">
        <f>M269-D270</f>
        <v>0</v>
      </c>
      <c r="N270" s="19">
        <v>46061</v>
      </c>
      <c r="O270" s="21">
        <f t="shared" si="31"/>
        <v>46425</v>
      </c>
    </row>
    <row r="271" spans="1:15" ht="20.149999999999999" hidden="1" customHeight="1" x14ac:dyDescent="0.3">
      <c r="A271" s="40">
        <v>46079</v>
      </c>
      <c r="B271" s="129">
        <v>46080</v>
      </c>
      <c r="C271" s="41" t="s">
        <v>322</v>
      </c>
      <c r="D271" s="41">
        <v>7</v>
      </c>
      <c r="E271" s="41">
        <f t="shared" si="30"/>
        <v>1365</v>
      </c>
      <c r="F271" s="60" t="s">
        <v>315</v>
      </c>
      <c r="G271" s="41" t="s">
        <v>185</v>
      </c>
      <c r="H271" s="42">
        <f>H270-E271</f>
        <v>11700</v>
      </c>
      <c r="I271" s="42"/>
      <c r="J271" s="42"/>
      <c r="K271" s="41">
        <v>260225005</v>
      </c>
      <c r="L271" s="41"/>
      <c r="M271" s="41">
        <f>M219-D271</f>
        <v>30</v>
      </c>
      <c r="N271" s="19">
        <v>46062</v>
      </c>
      <c r="O271" s="21">
        <f t="shared" si="31"/>
        <v>46426</v>
      </c>
    </row>
    <row r="272" spans="1:15" ht="20.149999999999999" hidden="1" customHeight="1" x14ac:dyDescent="0.3">
      <c r="A272" s="29">
        <v>46079</v>
      </c>
      <c r="B272" s="29">
        <v>46083</v>
      </c>
      <c r="C272" s="30" t="s">
        <v>322</v>
      </c>
      <c r="D272" s="30">
        <v>12</v>
      </c>
      <c r="E272" s="30">
        <f t="shared" ref="E272:E335" si="32">D272*195</f>
        <v>2340</v>
      </c>
      <c r="F272" s="37" t="s">
        <v>315</v>
      </c>
      <c r="G272" s="30" t="s">
        <v>396</v>
      </c>
      <c r="H272" s="32">
        <f>H271-E272</f>
        <v>9360</v>
      </c>
      <c r="I272" s="32"/>
      <c r="J272" s="32"/>
      <c r="K272" s="30">
        <v>260225006</v>
      </c>
      <c r="L272" s="30"/>
      <c r="M272" s="30">
        <f>M271-D272</f>
        <v>18</v>
      </c>
      <c r="N272" s="19">
        <v>46062</v>
      </c>
      <c r="O272" s="21">
        <f t="shared" si="31"/>
        <v>46426</v>
      </c>
    </row>
    <row r="273" spans="1:15" ht="20.149999999999999" hidden="1" customHeight="1" x14ac:dyDescent="0.2">
      <c r="A273" s="33">
        <v>46083</v>
      </c>
      <c r="B273" s="33">
        <v>46083</v>
      </c>
      <c r="C273" s="34" t="s">
        <v>400</v>
      </c>
      <c r="D273" s="34">
        <v>12</v>
      </c>
      <c r="E273" s="34">
        <f t="shared" si="32"/>
        <v>2340</v>
      </c>
      <c r="F273" s="39" t="s">
        <v>26</v>
      </c>
      <c r="G273" s="39" t="s">
        <v>362</v>
      </c>
      <c r="H273" s="35">
        <f>H269-E273</f>
        <v>13260</v>
      </c>
      <c r="I273" s="35"/>
      <c r="J273" s="35"/>
      <c r="K273" s="34">
        <v>260226008</v>
      </c>
      <c r="L273" s="34"/>
      <c r="M273" s="34">
        <f>M272-D273</f>
        <v>6</v>
      </c>
      <c r="N273" s="19">
        <v>46062</v>
      </c>
      <c r="O273" s="21">
        <f t="shared" si="31"/>
        <v>46426</v>
      </c>
    </row>
    <row r="274" spans="1:15" ht="20.149999999999999" hidden="1" customHeight="1" x14ac:dyDescent="0.25">
      <c r="A274" s="26">
        <v>46083</v>
      </c>
      <c r="B274" s="26">
        <v>46084</v>
      </c>
      <c r="C274" s="27" t="s">
        <v>401</v>
      </c>
      <c r="D274" s="27">
        <v>4</v>
      </c>
      <c r="E274" s="27">
        <f t="shared" si="32"/>
        <v>780</v>
      </c>
      <c r="F274" s="36" t="s">
        <v>404</v>
      </c>
      <c r="G274" s="36" t="s">
        <v>412</v>
      </c>
      <c r="H274" s="28">
        <f>H259-E274</f>
        <v>5460</v>
      </c>
      <c r="I274" s="61" t="s">
        <v>12</v>
      </c>
      <c r="J274" s="28" t="s">
        <v>481</v>
      </c>
      <c r="K274" s="27">
        <v>260226009</v>
      </c>
      <c r="L274" s="27">
        <f>41-20</f>
        <v>21</v>
      </c>
      <c r="M274" s="27">
        <f t="shared" ref="M274:M279" si="33">L274-D274</f>
        <v>17</v>
      </c>
      <c r="N274" s="19">
        <v>46071</v>
      </c>
      <c r="O274" s="21">
        <f t="shared" si="31"/>
        <v>46435</v>
      </c>
    </row>
    <row r="275" spans="1:15" ht="20.149999999999999" hidden="1" customHeight="1" x14ac:dyDescent="0.25">
      <c r="A275" s="26">
        <v>46083</v>
      </c>
      <c r="B275" s="26">
        <v>46084</v>
      </c>
      <c r="C275" s="27" t="s">
        <v>402</v>
      </c>
      <c r="D275" s="27">
        <v>4</v>
      </c>
      <c r="E275" s="27">
        <f t="shared" si="32"/>
        <v>780</v>
      </c>
      <c r="F275" s="36" t="s">
        <v>404</v>
      </c>
      <c r="G275" s="36" t="s">
        <v>169</v>
      </c>
      <c r="H275" s="28">
        <f>H274-E275</f>
        <v>4680</v>
      </c>
      <c r="I275" s="61" t="s">
        <v>12</v>
      </c>
      <c r="J275" s="28" t="s">
        <v>482</v>
      </c>
      <c r="K275" s="27">
        <v>260226009</v>
      </c>
      <c r="L275" s="27">
        <f>42-16</f>
        <v>26</v>
      </c>
      <c r="M275" s="27">
        <f t="shared" si="33"/>
        <v>22</v>
      </c>
      <c r="N275" s="19">
        <v>46072</v>
      </c>
      <c r="O275" s="21">
        <f t="shared" si="31"/>
        <v>46436</v>
      </c>
    </row>
    <row r="276" spans="1:15" ht="20.149999999999999" hidden="1" customHeight="1" x14ac:dyDescent="0.25">
      <c r="A276" s="26">
        <v>46083</v>
      </c>
      <c r="B276" s="26">
        <v>46084</v>
      </c>
      <c r="C276" s="27" t="s">
        <v>403</v>
      </c>
      <c r="D276" s="27">
        <v>4</v>
      </c>
      <c r="E276" s="27">
        <f t="shared" si="32"/>
        <v>780</v>
      </c>
      <c r="F276" s="36" t="s">
        <v>404</v>
      </c>
      <c r="G276" s="36" t="s">
        <v>169</v>
      </c>
      <c r="H276" s="28">
        <f>H275-E276</f>
        <v>3900</v>
      </c>
      <c r="I276" s="61" t="s">
        <v>12</v>
      </c>
      <c r="J276" s="28" t="s">
        <v>481</v>
      </c>
      <c r="K276" s="27">
        <v>260226009</v>
      </c>
      <c r="L276" s="27">
        <f>41-20</f>
        <v>21</v>
      </c>
      <c r="M276" s="27">
        <f t="shared" si="33"/>
        <v>17</v>
      </c>
      <c r="N276" s="19">
        <v>46073</v>
      </c>
      <c r="O276" s="21">
        <f t="shared" si="31"/>
        <v>46437</v>
      </c>
    </row>
    <row r="277" spans="1:15" ht="20.149999999999999" hidden="1" customHeight="1" x14ac:dyDescent="0.25">
      <c r="A277" s="40">
        <v>46083</v>
      </c>
      <c r="B277" s="40">
        <v>46084</v>
      </c>
      <c r="C277" s="41" t="s">
        <v>405</v>
      </c>
      <c r="D277" s="41">
        <v>4</v>
      </c>
      <c r="E277" s="41">
        <f t="shared" si="32"/>
        <v>780</v>
      </c>
      <c r="F277" s="60" t="s">
        <v>408</v>
      </c>
      <c r="G277" s="41" t="s">
        <v>358</v>
      </c>
      <c r="H277" s="42">
        <f>H266-E277</f>
        <v>21840</v>
      </c>
      <c r="I277" s="121" t="s">
        <v>12</v>
      </c>
      <c r="J277" s="42"/>
      <c r="K277" s="41">
        <v>260229010</v>
      </c>
      <c r="L277" s="41">
        <v>41</v>
      </c>
      <c r="M277" s="41">
        <f t="shared" si="33"/>
        <v>37</v>
      </c>
      <c r="N277" s="19">
        <v>46074</v>
      </c>
      <c r="O277" s="21">
        <f t="shared" si="31"/>
        <v>46438</v>
      </c>
    </row>
    <row r="278" spans="1:15" ht="20.149999999999999" hidden="1" customHeight="1" x14ac:dyDescent="0.25">
      <c r="A278" s="40">
        <v>46083</v>
      </c>
      <c r="B278" s="40">
        <v>46084</v>
      </c>
      <c r="C278" s="41" t="s">
        <v>406</v>
      </c>
      <c r="D278" s="41">
        <v>4</v>
      </c>
      <c r="E278" s="41">
        <f t="shared" si="32"/>
        <v>780</v>
      </c>
      <c r="F278" s="60" t="s">
        <v>408</v>
      </c>
      <c r="G278" s="41" t="s">
        <v>325</v>
      </c>
      <c r="H278" s="42">
        <f>H277-E278</f>
        <v>21060</v>
      </c>
      <c r="I278" s="121" t="s">
        <v>12</v>
      </c>
      <c r="J278" s="42"/>
      <c r="K278" s="41">
        <v>260229010</v>
      </c>
      <c r="L278" s="41">
        <v>42</v>
      </c>
      <c r="M278" s="41">
        <f t="shared" si="33"/>
        <v>38</v>
      </c>
      <c r="N278" s="19">
        <v>46075</v>
      </c>
      <c r="O278" s="21">
        <f t="shared" si="31"/>
        <v>46439</v>
      </c>
    </row>
    <row r="279" spans="1:15" ht="20.149999999999999" hidden="1" customHeight="1" x14ac:dyDescent="0.25">
      <c r="A279" s="40">
        <v>46083</v>
      </c>
      <c r="B279" s="40">
        <v>46084</v>
      </c>
      <c r="C279" s="41" t="s">
        <v>407</v>
      </c>
      <c r="D279" s="41">
        <v>4</v>
      </c>
      <c r="E279" s="41">
        <f t="shared" si="32"/>
        <v>780</v>
      </c>
      <c r="F279" s="60" t="s">
        <v>408</v>
      </c>
      <c r="G279" s="41" t="s">
        <v>325</v>
      </c>
      <c r="H279" s="42">
        <f>H278-E279</f>
        <v>20280</v>
      </c>
      <c r="I279" s="121" t="s">
        <v>12</v>
      </c>
      <c r="J279" s="42"/>
      <c r="K279" s="41">
        <v>260229010</v>
      </c>
      <c r="L279" s="41">
        <v>41</v>
      </c>
      <c r="M279" s="41">
        <f t="shared" si="33"/>
        <v>37</v>
      </c>
      <c r="N279" s="19">
        <v>46077</v>
      </c>
      <c r="O279" s="21">
        <f t="shared" si="31"/>
        <v>46441</v>
      </c>
    </row>
    <row r="280" spans="1:15" ht="20.149999999999999" hidden="1" customHeight="1" x14ac:dyDescent="0.25">
      <c r="A280" s="26">
        <v>46084</v>
      </c>
      <c r="B280" s="26">
        <v>46084</v>
      </c>
      <c r="C280" s="27" t="s">
        <v>322</v>
      </c>
      <c r="D280" s="27">
        <v>4</v>
      </c>
      <c r="E280" s="27">
        <f t="shared" si="32"/>
        <v>780</v>
      </c>
      <c r="F280" s="36" t="s">
        <v>29</v>
      </c>
      <c r="G280" s="36" t="s">
        <v>419</v>
      </c>
      <c r="H280" s="28">
        <f>H254-E280</f>
        <v>75040</v>
      </c>
      <c r="I280" s="28"/>
      <c r="J280" s="28"/>
      <c r="K280" s="27">
        <v>260302004</v>
      </c>
      <c r="L280" s="27"/>
      <c r="M280" s="27">
        <f>M273-D280</f>
        <v>2</v>
      </c>
      <c r="N280" s="19">
        <v>46062</v>
      </c>
      <c r="O280" s="21">
        <f t="shared" ref="O280:O286" si="34">DATE(YEAR(N280)+1,MONTH(N280),DAY(N280))-1</f>
        <v>46426</v>
      </c>
    </row>
    <row r="281" spans="1:15" ht="20.149999999999999" hidden="1" customHeight="1" x14ac:dyDescent="0.25">
      <c r="A281" s="33">
        <v>46084</v>
      </c>
      <c r="B281" s="33">
        <v>46084</v>
      </c>
      <c r="C281" s="34" t="s">
        <v>416</v>
      </c>
      <c r="D281" s="34">
        <v>2</v>
      </c>
      <c r="E281" s="34">
        <f t="shared" si="32"/>
        <v>390</v>
      </c>
      <c r="F281" s="39" t="s">
        <v>27</v>
      </c>
      <c r="G281" s="39" t="s">
        <v>190</v>
      </c>
      <c r="H281" s="35">
        <f>H256-E281</f>
        <v>5070</v>
      </c>
      <c r="I281" s="35"/>
      <c r="J281" s="35"/>
      <c r="K281" s="34">
        <v>260302005</v>
      </c>
      <c r="L281" s="34"/>
      <c r="M281" s="34">
        <f>M280-D281</f>
        <v>0</v>
      </c>
      <c r="N281" s="19">
        <v>46062</v>
      </c>
      <c r="O281" s="21">
        <f t="shared" si="34"/>
        <v>46426</v>
      </c>
    </row>
    <row r="282" spans="1:15" ht="20.149999999999999" hidden="1" customHeight="1" x14ac:dyDescent="0.25">
      <c r="A282" s="33">
        <v>46084</v>
      </c>
      <c r="B282" s="33">
        <v>46084</v>
      </c>
      <c r="C282" s="34" t="s">
        <v>417</v>
      </c>
      <c r="D282" s="34">
        <v>6</v>
      </c>
      <c r="E282" s="34">
        <f t="shared" si="32"/>
        <v>1170</v>
      </c>
      <c r="F282" s="39" t="s">
        <v>27</v>
      </c>
      <c r="G282" s="39" t="s">
        <v>190</v>
      </c>
      <c r="H282" s="35">
        <f>H281-E282</f>
        <v>3900</v>
      </c>
      <c r="I282" s="35"/>
      <c r="J282" s="35"/>
      <c r="K282" s="34">
        <v>260302005</v>
      </c>
      <c r="L282" s="34"/>
      <c r="M282" s="34">
        <f>M220-D282</f>
        <v>31</v>
      </c>
      <c r="N282" s="19">
        <v>46063</v>
      </c>
      <c r="O282" s="21">
        <f t="shared" si="34"/>
        <v>46427</v>
      </c>
    </row>
    <row r="283" spans="1:15" ht="20.149999999999999" hidden="1" customHeight="1" x14ac:dyDescent="0.2">
      <c r="A283" s="29">
        <v>46084</v>
      </c>
      <c r="B283" s="29">
        <v>46084</v>
      </c>
      <c r="C283" s="30" t="s">
        <v>417</v>
      </c>
      <c r="D283" s="30">
        <v>4</v>
      </c>
      <c r="E283" s="30">
        <f t="shared" si="32"/>
        <v>780</v>
      </c>
      <c r="F283" s="37" t="s">
        <v>26</v>
      </c>
      <c r="G283" s="37" t="s">
        <v>362</v>
      </c>
      <c r="H283" s="32">
        <f>H273-E283</f>
        <v>12480</v>
      </c>
      <c r="I283" s="32"/>
      <c r="J283" s="32"/>
      <c r="K283" s="30">
        <v>260302006</v>
      </c>
      <c r="L283" s="30"/>
      <c r="M283" s="30">
        <f>M282-D283</f>
        <v>27</v>
      </c>
      <c r="N283" s="19">
        <v>46063</v>
      </c>
      <c r="O283" s="21">
        <f t="shared" si="34"/>
        <v>46427</v>
      </c>
    </row>
    <row r="284" spans="1:15" ht="20.149999999999999" hidden="1" customHeight="1" x14ac:dyDescent="0.2">
      <c r="A284" s="29">
        <v>46084</v>
      </c>
      <c r="B284" s="29">
        <v>46084</v>
      </c>
      <c r="C284" s="30" t="s">
        <v>336</v>
      </c>
      <c r="D284" s="30">
        <v>4</v>
      </c>
      <c r="E284" s="30">
        <f>D284*195</f>
        <v>780</v>
      </c>
      <c r="F284" s="37" t="s">
        <v>26</v>
      </c>
      <c r="G284" s="37" t="s">
        <v>362</v>
      </c>
      <c r="H284" s="32">
        <f>H283-E284</f>
        <v>11700</v>
      </c>
      <c r="I284" s="32"/>
      <c r="J284" s="32"/>
      <c r="K284" s="30">
        <v>260302006</v>
      </c>
      <c r="L284" s="30"/>
      <c r="M284" s="30">
        <f>M235-D284</f>
        <v>33</v>
      </c>
      <c r="N284" s="19">
        <v>46064</v>
      </c>
      <c r="O284" s="21">
        <f t="shared" si="34"/>
        <v>46428</v>
      </c>
    </row>
    <row r="285" spans="1:15" ht="20.149999999999999" hidden="1" customHeight="1" x14ac:dyDescent="0.3">
      <c r="A285" s="40">
        <v>46084</v>
      </c>
      <c r="B285" s="40">
        <v>46085</v>
      </c>
      <c r="C285" s="41" t="s">
        <v>417</v>
      </c>
      <c r="D285" s="41">
        <v>15</v>
      </c>
      <c r="E285" s="41">
        <f t="shared" si="32"/>
        <v>2925</v>
      </c>
      <c r="F285" s="60" t="s">
        <v>315</v>
      </c>
      <c r="G285" s="41" t="s">
        <v>420</v>
      </c>
      <c r="H285" s="42">
        <f>H272-E285</f>
        <v>6435</v>
      </c>
      <c r="I285" s="42"/>
      <c r="J285" s="42"/>
      <c r="K285" s="41">
        <v>260302007</v>
      </c>
      <c r="L285" s="41"/>
      <c r="M285" s="41">
        <f>M283-D285</f>
        <v>12</v>
      </c>
      <c r="N285" s="19">
        <v>46063</v>
      </c>
      <c r="O285" s="21">
        <f t="shared" si="34"/>
        <v>46427</v>
      </c>
    </row>
    <row r="286" spans="1:15" ht="20.149999999999999" hidden="1" customHeight="1" x14ac:dyDescent="0.3">
      <c r="A286" s="40">
        <v>46084</v>
      </c>
      <c r="B286" s="40">
        <v>46085</v>
      </c>
      <c r="C286" s="41" t="s">
        <v>336</v>
      </c>
      <c r="D286" s="41">
        <v>5</v>
      </c>
      <c r="E286" s="41">
        <f t="shared" si="32"/>
        <v>975</v>
      </c>
      <c r="F286" s="60" t="s">
        <v>315</v>
      </c>
      <c r="G286" s="41" t="s">
        <v>185</v>
      </c>
      <c r="H286" s="42">
        <f>H285-E286</f>
        <v>5460</v>
      </c>
      <c r="I286" s="42"/>
      <c r="J286" s="42"/>
      <c r="K286" s="41">
        <v>260302007</v>
      </c>
      <c r="L286" s="41"/>
      <c r="M286" s="41">
        <f>M284-D286</f>
        <v>28</v>
      </c>
      <c r="N286" s="19">
        <v>46064</v>
      </c>
      <c r="O286" s="21">
        <f t="shared" si="34"/>
        <v>46428</v>
      </c>
    </row>
    <row r="287" spans="1:15" ht="20.149999999999999" hidden="1" customHeight="1" x14ac:dyDescent="0.2">
      <c r="A287" s="103">
        <v>46084</v>
      </c>
      <c r="B287" s="103">
        <v>46085</v>
      </c>
      <c r="C287" s="104" t="s">
        <v>417</v>
      </c>
      <c r="D287" s="104">
        <v>12</v>
      </c>
      <c r="E287" s="104">
        <f t="shared" si="32"/>
        <v>2340</v>
      </c>
      <c r="F287" s="105" t="s">
        <v>30</v>
      </c>
      <c r="G287" s="105" t="s">
        <v>421</v>
      </c>
      <c r="H287" s="106">
        <f>H267-E287</f>
        <v>2340</v>
      </c>
      <c r="I287" s="106"/>
      <c r="J287" s="106"/>
      <c r="K287" s="104">
        <v>260302008</v>
      </c>
      <c r="L287" s="104"/>
      <c r="M287" s="104">
        <f>M285-D287</f>
        <v>0</v>
      </c>
      <c r="N287" s="19">
        <v>46063</v>
      </c>
      <c r="O287" s="21">
        <f t="shared" ref="O287:O332" si="35">DATE(YEAR(N287)+1,MONTH(N287),DAY(N287))-1</f>
        <v>46427</v>
      </c>
    </row>
    <row r="288" spans="1:15" ht="20.149999999999999" hidden="1" customHeight="1" x14ac:dyDescent="0.2">
      <c r="A288" s="22">
        <v>46084</v>
      </c>
      <c r="B288" s="22">
        <v>46085</v>
      </c>
      <c r="C288" s="23" t="s">
        <v>418</v>
      </c>
      <c r="D288" s="23">
        <v>12</v>
      </c>
      <c r="E288" s="23">
        <f t="shared" si="32"/>
        <v>2340</v>
      </c>
      <c r="F288" s="38" t="s">
        <v>31</v>
      </c>
      <c r="G288" s="38" t="s">
        <v>87</v>
      </c>
      <c r="H288" s="25">
        <f>H268-E288</f>
        <v>24340</v>
      </c>
      <c r="I288" s="25"/>
      <c r="J288" s="25"/>
      <c r="K288" s="23">
        <v>260302009</v>
      </c>
      <c r="L288" s="23"/>
      <c r="M288" s="23">
        <f>M286-D288</f>
        <v>16</v>
      </c>
      <c r="N288" s="19">
        <v>46064</v>
      </c>
      <c r="O288" s="21">
        <f t="shared" si="35"/>
        <v>46428</v>
      </c>
    </row>
    <row r="289" spans="1:15" ht="20.149999999999999" hidden="1" customHeight="1" x14ac:dyDescent="0.25">
      <c r="A289" s="33">
        <v>46085</v>
      </c>
      <c r="B289" s="33">
        <v>46086</v>
      </c>
      <c r="C289" s="34" t="s">
        <v>422</v>
      </c>
      <c r="D289" s="34">
        <v>8</v>
      </c>
      <c r="E289" s="34">
        <f t="shared" si="32"/>
        <v>1560</v>
      </c>
      <c r="F289" s="39" t="s">
        <v>307</v>
      </c>
      <c r="G289" s="39" t="s">
        <v>130</v>
      </c>
      <c r="H289" s="35">
        <f>H261-E289</f>
        <v>0</v>
      </c>
      <c r="I289" s="35"/>
      <c r="J289" s="35"/>
      <c r="K289" s="34">
        <v>260303002</v>
      </c>
      <c r="L289" s="34"/>
      <c r="M289" s="34">
        <f>M288-D289</f>
        <v>8</v>
      </c>
      <c r="N289" s="19">
        <v>46064</v>
      </c>
      <c r="O289" s="21">
        <f t="shared" si="35"/>
        <v>46428</v>
      </c>
    </row>
    <row r="290" spans="1:15" ht="20.149999999999999" hidden="1" customHeight="1" x14ac:dyDescent="0.25">
      <c r="A290" s="33">
        <v>46085</v>
      </c>
      <c r="B290" s="33">
        <v>46086</v>
      </c>
      <c r="C290" s="34" t="s">
        <v>422</v>
      </c>
      <c r="D290" s="34">
        <v>8</v>
      </c>
      <c r="E290" s="34">
        <f t="shared" si="32"/>
        <v>1560</v>
      </c>
      <c r="F290" s="39" t="s">
        <v>307</v>
      </c>
      <c r="G290" s="145" t="s">
        <v>423</v>
      </c>
      <c r="H290" s="35">
        <f>32760-E290</f>
        <v>31200</v>
      </c>
      <c r="I290" s="35"/>
      <c r="J290" s="35"/>
      <c r="K290" s="34">
        <v>260303002</v>
      </c>
      <c r="L290" s="34"/>
      <c r="M290" s="34">
        <f>M289-D290</f>
        <v>0</v>
      </c>
      <c r="N290" s="19">
        <v>46064</v>
      </c>
      <c r="O290" s="21">
        <f t="shared" si="35"/>
        <v>46428</v>
      </c>
    </row>
    <row r="291" spans="1:15" ht="20.149999999999999" hidden="1" customHeight="1" x14ac:dyDescent="0.25">
      <c r="A291" s="33">
        <v>46085</v>
      </c>
      <c r="B291" s="33">
        <v>46086</v>
      </c>
      <c r="C291" s="34" t="s">
        <v>346</v>
      </c>
      <c r="D291" s="34">
        <v>4</v>
      </c>
      <c r="E291" s="34">
        <f t="shared" si="32"/>
        <v>780</v>
      </c>
      <c r="F291" s="39" t="s">
        <v>307</v>
      </c>
      <c r="G291" s="145" t="s">
        <v>425</v>
      </c>
      <c r="H291" s="35">
        <f>H290-E291</f>
        <v>30420</v>
      </c>
      <c r="I291" s="35"/>
      <c r="J291" s="35"/>
      <c r="K291" s="34">
        <v>260303002</v>
      </c>
      <c r="L291" s="34"/>
      <c r="M291" s="34">
        <f>M236-D291</f>
        <v>33</v>
      </c>
      <c r="N291" s="19">
        <v>46065</v>
      </c>
      <c r="O291" s="21">
        <f t="shared" si="35"/>
        <v>46429</v>
      </c>
    </row>
    <row r="292" spans="1:15" ht="20.149999999999999" hidden="1" customHeight="1" x14ac:dyDescent="0.2">
      <c r="A292" s="29">
        <v>46086</v>
      </c>
      <c r="B292" s="29">
        <v>46086</v>
      </c>
      <c r="C292" s="30" t="s">
        <v>346</v>
      </c>
      <c r="D292" s="30">
        <v>12</v>
      </c>
      <c r="E292" s="30">
        <f t="shared" si="32"/>
        <v>2340</v>
      </c>
      <c r="F292" s="37" t="s">
        <v>26</v>
      </c>
      <c r="G292" s="37" t="s">
        <v>362</v>
      </c>
      <c r="H292" s="32">
        <f>H284-E292</f>
        <v>9360</v>
      </c>
      <c r="I292" s="32"/>
      <c r="J292" s="32"/>
      <c r="K292" s="30">
        <v>260304003</v>
      </c>
      <c r="L292" s="30"/>
      <c r="M292" s="30">
        <f>M291-D292</f>
        <v>21</v>
      </c>
      <c r="N292" s="19">
        <v>46065</v>
      </c>
      <c r="O292" s="21">
        <f t="shared" si="35"/>
        <v>46429</v>
      </c>
    </row>
    <row r="293" spans="1:15" ht="20.149999999999999" hidden="1" customHeight="1" x14ac:dyDescent="0.25">
      <c r="A293" s="40">
        <v>46086</v>
      </c>
      <c r="B293" s="40">
        <v>46087</v>
      </c>
      <c r="C293" s="41" t="s">
        <v>429</v>
      </c>
      <c r="D293" s="41">
        <v>12</v>
      </c>
      <c r="E293" s="41">
        <f t="shared" si="32"/>
        <v>2340</v>
      </c>
      <c r="F293" s="60" t="s">
        <v>267</v>
      </c>
      <c r="G293" s="60" t="s">
        <v>198</v>
      </c>
      <c r="H293" s="42">
        <f>H276-E293</f>
        <v>1560</v>
      </c>
      <c r="I293" s="42"/>
      <c r="J293" s="42"/>
      <c r="K293" s="41">
        <v>260304004</v>
      </c>
      <c r="L293" s="41"/>
      <c r="M293" s="41">
        <f>M292-D293</f>
        <v>9</v>
      </c>
      <c r="N293" s="19">
        <v>46065</v>
      </c>
      <c r="O293" s="21">
        <f t="shared" si="35"/>
        <v>46429</v>
      </c>
    </row>
    <row r="294" spans="1:15" ht="20.149999999999999" hidden="1" customHeight="1" x14ac:dyDescent="0.3">
      <c r="A294" s="26">
        <v>46086</v>
      </c>
      <c r="B294" s="26">
        <v>46087</v>
      </c>
      <c r="C294" s="27" t="s">
        <v>430</v>
      </c>
      <c r="D294" s="27">
        <v>9</v>
      </c>
      <c r="E294" s="27">
        <f t="shared" si="32"/>
        <v>1755</v>
      </c>
      <c r="F294" s="36" t="s">
        <v>315</v>
      </c>
      <c r="G294" s="27" t="s">
        <v>185</v>
      </c>
      <c r="H294" s="28">
        <f>H286-E294</f>
        <v>3705</v>
      </c>
      <c r="I294" s="28"/>
      <c r="J294" s="28"/>
      <c r="K294" s="27">
        <v>260304005</v>
      </c>
      <c r="L294" s="27"/>
      <c r="M294" s="27">
        <f>M293-D294</f>
        <v>0</v>
      </c>
      <c r="N294" s="19">
        <v>46065</v>
      </c>
      <c r="O294" s="21">
        <f t="shared" si="35"/>
        <v>46429</v>
      </c>
    </row>
    <row r="295" spans="1:15" ht="20.149999999999999" hidden="1" customHeight="1" x14ac:dyDescent="0.3">
      <c r="A295" s="26">
        <v>46086</v>
      </c>
      <c r="B295" s="26">
        <v>46087</v>
      </c>
      <c r="C295" s="27" t="s">
        <v>431</v>
      </c>
      <c r="D295" s="27">
        <v>7</v>
      </c>
      <c r="E295" s="27">
        <f t="shared" si="32"/>
        <v>1365</v>
      </c>
      <c r="F295" s="36" t="s">
        <v>315</v>
      </c>
      <c r="G295" s="27" t="s">
        <v>185</v>
      </c>
      <c r="H295" s="28">
        <f>H294-E295</f>
        <v>2340</v>
      </c>
      <c r="I295" s="28"/>
      <c r="J295" s="28"/>
      <c r="K295" s="27">
        <v>260304005</v>
      </c>
      <c r="L295" s="27"/>
      <c r="M295" s="27">
        <f>M252-D295</f>
        <v>31</v>
      </c>
      <c r="N295" s="19">
        <v>46066</v>
      </c>
      <c r="O295" s="21">
        <f t="shared" si="35"/>
        <v>46430</v>
      </c>
    </row>
    <row r="296" spans="1:15" ht="20.149999999999999" hidden="1" customHeight="1" x14ac:dyDescent="0.25">
      <c r="A296" s="22">
        <v>46086</v>
      </c>
      <c r="B296" s="22">
        <v>46087</v>
      </c>
      <c r="C296" s="23" t="s">
        <v>432</v>
      </c>
      <c r="D296" s="23">
        <v>12</v>
      </c>
      <c r="E296" s="23">
        <f t="shared" si="32"/>
        <v>2340</v>
      </c>
      <c r="F296" s="38" t="s">
        <v>295</v>
      </c>
      <c r="G296" s="23" t="s">
        <v>325</v>
      </c>
      <c r="H296" s="25">
        <f>H279-E296</f>
        <v>17940</v>
      </c>
      <c r="I296" s="25"/>
      <c r="J296" s="25"/>
      <c r="K296" s="23">
        <v>260304006</v>
      </c>
      <c r="L296" s="23"/>
      <c r="M296" s="23">
        <f>M295-D296</f>
        <v>19</v>
      </c>
      <c r="N296" s="19">
        <v>46066</v>
      </c>
      <c r="O296" s="21">
        <f t="shared" si="35"/>
        <v>46430</v>
      </c>
    </row>
    <row r="297" spans="1:15" ht="20.149999999999999" hidden="1" customHeight="1" x14ac:dyDescent="0.25">
      <c r="A297" s="29">
        <v>46087</v>
      </c>
      <c r="B297" s="29">
        <v>46087</v>
      </c>
      <c r="C297" s="30" t="s">
        <v>436</v>
      </c>
      <c r="D297" s="30">
        <v>8</v>
      </c>
      <c r="E297" s="30">
        <f t="shared" si="32"/>
        <v>1560</v>
      </c>
      <c r="F297" s="37" t="s">
        <v>27</v>
      </c>
      <c r="G297" s="37" t="s">
        <v>190</v>
      </c>
      <c r="H297" s="32">
        <f>H282-E297</f>
        <v>2340</v>
      </c>
      <c r="I297" s="32"/>
      <c r="J297" s="32"/>
      <c r="K297" s="30">
        <v>260305005</v>
      </c>
      <c r="L297" s="30"/>
      <c r="M297" s="30">
        <f>M296-D297</f>
        <v>11</v>
      </c>
      <c r="N297" s="19">
        <v>46066</v>
      </c>
      <c r="O297" s="21">
        <f t="shared" si="35"/>
        <v>46430</v>
      </c>
    </row>
    <row r="298" spans="1:15" ht="20.149999999999999" hidden="1" customHeight="1" x14ac:dyDescent="0.2">
      <c r="A298" s="33">
        <v>46087</v>
      </c>
      <c r="B298" s="33">
        <v>46087</v>
      </c>
      <c r="C298" s="34" t="s">
        <v>372</v>
      </c>
      <c r="D298" s="34">
        <v>8</v>
      </c>
      <c r="E298" s="34">
        <f t="shared" si="32"/>
        <v>1560</v>
      </c>
      <c r="F298" s="39" t="s">
        <v>26</v>
      </c>
      <c r="G298" s="39" t="s">
        <v>440</v>
      </c>
      <c r="H298" s="35">
        <f>H292-E298</f>
        <v>7800</v>
      </c>
      <c r="I298" s="35"/>
      <c r="J298" s="35"/>
      <c r="K298" s="34">
        <v>260305006</v>
      </c>
      <c r="L298" s="34"/>
      <c r="M298" s="34">
        <f>M253-D298</f>
        <v>29</v>
      </c>
      <c r="N298" s="19">
        <v>46067</v>
      </c>
      <c r="O298" s="21">
        <f t="shared" si="35"/>
        <v>46431</v>
      </c>
    </row>
    <row r="299" spans="1:15" ht="20.149999999999999" hidden="1" customHeight="1" x14ac:dyDescent="0.3">
      <c r="A299" s="40">
        <v>46087</v>
      </c>
      <c r="B299" s="86">
        <v>46090</v>
      </c>
      <c r="C299" s="41" t="s">
        <v>437</v>
      </c>
      <c r="D299" s="41">
        <v>11</v>
      </c>
      <c r="E299" s="41">
        <f t="shared" si="32"/>
        <v>2145</v>
      </c>
      <c r="F299" s="60" t="s">
        <v>315</v>
      </c>
      <c r="G299" s="41" t="s">
        <v>185</v>
      </c>
      <c r="H299" s="42">
        <f>H295-E299</f>
        <v>195</v>
      </c>
      <c r="I299" s="42"/>
      <c r="J299" s="42"/>
      <c r="K299" s="41">
        <v>260305007</v>
      </c>
      <c r="L299" s="41"/>
      <c r="M299" s="41">
        <f>M297-D299</f>
        <v>0</v>
      </c>
      <c r="N299" s="19">
        <v>46066</v>
      </c>
      <c r="O299" s="21">
        <f t="shared" si="35"/>
        <v>46430</v>
      </c>
    </row>
    <row r="300" spans="1:15" ht="20.149999999999999" hidden="1" customHeight="1" x14ac:dyDescent="0.3">
      <c r="A300" s="40">
        <v>46087</v>
      </c>
      <c r="B300" s="86">
        <v>46090</v>
      </c>
      <c r="C300" s="41" t="s">
        <v>372</v>
      </c>
      <c r="D300" s="60">
        <v>1</v>
      </c>
      <c r="E300" s="41">
        <f t="shared" si="32"/>
        <v>195</v>
      </c>
      <c r="F300" s="60" t="s">
        <v>315</v>
      </c>
      <c r="G300" s="41" t="s">
        <v>185</v>
      </c>
      <c r="H300" s="42">
        <f>H299-E300</f>
        <v>0</v>
      </c>
      <c r="I300" s="42"/>
      <c r="J300" s="42"/>
      <c r="K300" s="41">
        <v>260305007</v>
      </c>
      <c r="L300" s="41"/>
      <c r="M300" s="41">
        <f>M298-D300</f>
        <v>28</v>
      </c>
      <c r="N300" s="19">
        <v>46067</v>
      </c>
      <c r="O300" s="21">
        <f t="shared" si="35"/>
        <v>46431</v>
      </c>
    </row>
    <row r="301" spans="1:15" ht="20.149999999999999" hidden="1" customHeight="1" x14ac:dyDescent="0.3">
      <c r="A301" s="40">
        <v>46087</v>
      </c>
      <c r="B301" s="86">
        <v>46090</v>
      </c>
      <c r="C301" s="41" t="s">
        <v>372</v>
      </c>
      <c r="D301" s="41">
        <v>4</v>
      </c>
      <c r="E301" s="41">
        <f t="shared" si="32"/>
        <v>780</v>
      </c>
      <c r="F301" s="60" t="s">
        <v>315</v>
      </c>
      <c r="G301" s="146" t="s">
        <v>441</v>
      </c>
      <c r="H301" s="42">
        <f>59280-E301</f>
        <v>58500</v>
      </c>
      <c r="I301" s="42"/>
      <c r="J301" s="42"/>
      <c r="K301" s="41" t="s">
        <v>443</v>
      </c>
      <c r="L301" s="41"/>
      <c r="M301" s="41">
        <f>M300-D301</f>
        <v>24</v>
      </c>
      <c r="N301" s="19">
        <v>46067</v>
      </c>
      <c r="O301" s="21">
        <f t="shared" si="35"/>
        <v>46431</v>
      </c>
    </row>
    <row r="302" spans="1:15" ht="20.149999999999999" hidden="1" customHeight="1" x14ac:dyDescent="0.2">
      <c r="A302" s="26">
        <v>46090</v>
      </c>
      <c r="B302" s="26">
        <v>46090</v>
      </c>
      <c r="C302" s="27" t="s">
        <v>389</v>
      </c>
      <c r="D302" s="27">
        <v>8</v>
      </c>
      <c r="E302" s="27">
        <f t="shared" si="32"/>
        <v>1560</v>
      </c>
      <c r="F302" s="36" t="s">
        <v>26</v>
      </c>
      <c r="G302" s="36" t="s">
        <v>362</v>
      </c>
      <c r="H302" s="28">
        <f>H298-E302</f>
        <v>6240</v>
      </c>
      <c r="I302" s="28"/>
      <c r="J302" s="28"/>
      <c r="K302" s="27">
        <v>260306003</v>
      </c>
      <c r="L302" s="27"/>
      <c r="M302" s="27">
        <f>M265-D302</f>
        <v>30</v>
      </c>
      <c r="N302" s="19">
        <v>46068</v>
      </c>
      <c r="O302" s="21">
        <f t="shared" si="35"/>
        <v>46432</v>
      </c>
    </row>
    <row r="303" spans="1:15" ht="20.149999999999999" hidden="1" customHeight="1" x14ac:dyDescent="0.25">
      <c r="A303" s="22">
        <v>46090</v>
      </c>
      <c r="B303" s="22">
        <v>46091</v>
      </c>
      <c r="C303" s="23" t="s">
        <v>449</v>
      </c>
      <c r="D303" s="23">
        <v>4</v>
      </c>
      <c r="E303" s="23">
        <f t="shared" si="32"/>
        <v>780</v>
      </c>
      <c r="F303" s="38" t="s">
        <v>267</v>
      </c>
      <c r="G303" s="38" t="s">
        <v>169</v>
      </c>
      <c r="H303" s="25">
        <f>H293-E303</f>
        <v>780</v>
      </c>
      <c r="I303" s="25"/>
      <c r="J303" s="25"/>
      <c r="K303" s="23">
        <v>260306005</v>
      </c>
      <c r="L303" s="23"/>
      <c r="M303" s="23">
        <f>M301-D303</f>
        <v>20</v>
      </c>
      <c r="N303" s="19">
        <v>46067</v>
      </c>
      <c r="O303" s="21">
        <f t="shared" si="35"/>
        <v>46431</v>
      </c>
    </row>
    <row r="304" spans="1:15" ht="20.149999999999999" hidden="1" customHeight="1" x14ac:dyDescent="0.25">
      <c r="A304" s="22">
        <v>46090</v>
      </c>
      <c r="B304" s="22">
        <v>46091</v>
      </c>
      <c r="C304" s="23" t="s">
        <v>450</v>
      </c>
      <c r="D304" s="23">
        <v>4</v>
      </c>
      <c r="E304" s="23">
        <f t="shared" si="32"/>
        <v>780</v>
      </c>
      <c r="F304" s="38" t="s">
        <v>267</v>
      </c>
      <c r="G304" s="38" t="s">
        <v>169</v>
      </c>
      <c r="H304" s="25">
        <f>H303-E304</f>
        <v>0</v>
      </c>
      <c r="I304" s="43" t="s">
        <v>12</v>
      </c>
      <c r="J304" s="25"/>
      <c r="K304" s="23">
        <v>260306005</v>
      </c>
      <c r="L304" s="23">
        <v>41</v>
      </c>
      <c r="M304" s="23">
        <f t="shared" ref="M304:M309" si="36">L304-D304</f>
        <v>37</v>
      </c>
      <c r="N304" s="19">
        <v>46078</v>
      </c>
      <c r="O304" s="21">
        <f t="shared" si="35"/>
        <v>46442</v>
      </c>
    </row>
    <row r="305" spans="1:15" ht="20.149999999999999" hidden="1" customHeight="1" x14ac:dyDescent="0.25">
      <c r="A305" s="22">
        <v>46090</v>
      </c>
      <c r="B305" s="22">
        <v>46091</v>
      </c>
      <c r="C305" s="23" t="s">
        <v>445</v>
      </c>
      <c r="D305" s="23">
        <v>4</v>
      </c>
      <c r="E305" s="23">
        <f t="shared" si="32"/>
        <v>780</v>
      </c>
      <c r="F305" s="38" t="s">
        <v>267</v>
      </c>
      <c r="G305" s="148" t="s">
        <v>460</v>
      </c>
      <c r="H305" s="25">
        <f>30420-E305</f>
        <v>29640</v>
      </c>
      <c r="I305" s="43" t="s">
        <v>12</v>
      </c>
      <c r="J305" s="25"/>
      <c r="K305" s="23" t="s">
        <v>464</v>
      </c>
      <c r="L305" s="23">
        <v>41</v>
      </c>
      <c r="M305" s="23">
        <f t="shared" si="36"/>
        <v>37</v>
      </c>
      <c r="N305" s="19">
        <v>46079</v>
      </c>
      <c r="O305" s="21">
        <f t="shared" si="35"/>
        <v>46443</v>
      </c>
    </row>
    <row r="306" spans="1:15" ht="20.149999999999999" hidden="1" customHeight="1" x14ac:dyDescent="0.2">
      <c r="A306" s="29">
        <v>46090</v>
      </c>
      <c r="B306" s="29">
        <v>46091</v>
      </c>
      <c r="C306" s="30" t="s">
        <v>451</v>
      </c>
      <c r="D306" s="30">
        <v>4</v>
      </c>
      <c r="E306" s="30">
        <f t="shared" si="32"/>
        <v>780</v>
      </c>
      <c r="F306" s="30" t="s">
        <v>446</v>
      </c>
      <c r="G306" s="30" t="s">
        <v>461</v>
      </c>
      <c r="H306" s="32">
        <f>H296-E306</f>
        <v>17160</v>
      </c>
      <c r="I306" s="70" t="s">
        <v>22</v>
      </c>
      <c r="J306" s="32"/>
      <c r="K306" s="30">
        <v>260306006</v>
      </c>
      <c r="L306" s="30">
        <v>42</v>
      </c>
      <c r="M306" s="30">
        <f t="shared" si="36"/>
        <v>38</v>
      </c>
      <c r="N306" s="19">
        <v>46080</v>
      </c>
      <c r="O306" s="21">
        <f t="shared" si="35"/>
        <v>46444</v>
      </c>
    </row>
    <row r="307" spans="1:15" ht="20.149999999999999" hidden="1" customHeight="1" x14ac:dyDescent="0.2">
      <c r="A307" s="29">
        <v>46090</v>
      </c>
      <c r="B307" s="29">
        <v>46091</v>
      </c>
      <c r="C307" s="30" t="s">
        <v>452</v>
      </c>
      <c r="D307" s="30">
        <v>4</v>
      </c>
      <c r="E307" s="30">
        <f t="shared" si="32"/>
        <v>780</v>
      </c>
      <c r="F307" s="30" t="s">
        <v>446</v>
      </c>
      <c r="G307" s="30" t="s">
        <v>325</v>
      </c>
      <c r="H307" s="32">
        <f>H306-E307</f>
        <v>16380</v>
      </c>
      <c r="I307" s="70" t="s">
        <v>22</v>
      </c>
      <c r="J307" s="32" t="s">
        <v>480</v>
      </c>
      <c r="K307" s="30">
        <v>260306006</v>
      </c>
      <c r="L307" s="30">
        <f>41-16</f>
        <v>25</v>
      </c>
      <c r="M307" s="30">
        <f t="shared" si="36"/>
        <v>21</v>
      </c>
      <c r="N307" s="19">
        <v>46081</v>
      </c>
      <c r="O307" s="21">
        <f t="shared" si="35"/>
        <v>46445</v>
      </c>
    </row>
    <row r="308" spans="1:15" ht="20.149999999999999" hidden="1" customHeight="1" x14ac:dyDescent="0.2">
      <c r="A308" s="29">
        <v>46090</v>
      </c>
      <c r="B308" s="29">
        <v>46091</v>
      </c>
      <c r="C308" s="30" t="s">
        <v>447</v>
      </c>
      <c r="D308" s="30">
        <v>4</v>
      </c>
      <c r="E308" s="30">
        <f t="shared" si="32"/>
        <v>780</v>
      </c>
      <c r="F308" s="30" t="s">
        <v>446</v>
      </c>
      <c r="G308" s="30" t="s">
        <v>325</v>
      </c>
      <c r="H308" s="32">
        <f>H307-E308</f>
        <v>15600</v>
      </c>
      <c r="I308" s="70" t="s">
        <v>22</v>
      </c>
      <c r="J308" s="32" t="s">
        <v>481</v>
      </c>
      <c r="K308" s="30">
        <v>260306006</v>
      </c>
      <c r="L308" s="30">
        <f>41-20</f>
        <v>21</v>
      </c>
      <c r="M308" s="30">
        <f t="shared" si="36"/>
        <v>17</v>
      </c>
      <c r="N308" s="19">
        <v>46082</v>
      </c>
      <c r="O308" s="21">
        <f t="shared" si="35"/>
        <v>46446</v>
      </c>
    </row>
    <row r="309" spans="1:15" ht="20.149999999999999" hidden="1" customHeight="1" x14ac:dyDescent="0.2">
      <c r="A309" s="29">
        <v>46090</v>
      </c>
      <c r="B309" s="29">
        <v>46091</v>
      </c>
      <c r="C309" s="30" t="s">
        <v>453</v>
      </c>
      <c r="D309" s="30">
        <v>4</v>
      </c>
      <c r="E309" s="30">
        <f t="shared" si="32"/>
        <v>780</v>
      </c>
      <c r="F309" s="30" t="s">
        <v>446</v>
      </c>
      <c r="G309" s="30" t="s">
        <v>325</v>
      </c>
      <c r="H309" s="32">
        <f>H308-E309</f>
        <v>14820</v>
      </c>
      <c r="I309" s="70" t="s">
        <v>22</v>
      </c>
      <c r="J309" s="32"/>
      <c r="K309" s="30">
        <v>260306006</v>
      </c>
      <c r="L309" s="30">
        <v>42</v>
      </c>
      <c r="M309" s="30">
        <f t="shared" si="36"/>
        <v>38</v>
      </c>
      <c r="N309" s="19">
        <v>46083</v>
      </c>
      <c r="O309" s="21">
        <f t="shared" si="35"/>
        <v>46447</v>
      </c>
    </row>
    <row r="310" spans="1:15" ht="20.149999999999999" hidden="1" customHeight="1" x14ac:dyDescent="0.2">
      <c r="A310" s="33">
        <v>46090</v>
      </c>
      <c r="B310" s="33">
        <v>46091</v>
      </c>
      <c r="C310" s="34" t="s">
        <v>454</v>
      </c>
      <c r="D310" s="39">
        <v>12</v>
      </c>
      <c r="E310" s="34">
        <f t="shared" si="32"/>
        <v>2340</v>
      </c>
      <c r="F310" s="39" t="s">
        <v>30</v>
      </c>
      <c r="G310" s="39" t="s">
        <v>465</v>
      </c>
      <c r="H310" s="35">
        <f>H287-E310</f>
        <v>0</v>
      </c>
      <c r="I310" s="35"/>
      <c r="J310" s="35"/>
      <c r="K310" s="34">
        <v>260306007</v>
      </c>
      <c r="L310" s="34"/>
      <c r="M310" s="34">
        <f>M303-D310</f>
        <v>8</v>
      </c>
      <c r="N310" s="19">
        <v>46067</v>
      </c>
      <c r="O310" s="21">
        <f t="shared" si="35"/>
        <v>46431</v>
      </c>
    </row>
    <row r="311" spans="1:15" ht="20.149999999999999" hidden="1" customHeight="1" x14ac:dyDescent="0.2">
      <c r="A311" s="33">
        <v>46090</v>
      </c>
      <c r="B311" s="33">
        <v>46091</v>
      </c>
      <c r="C311" s="34" t="s">
        <v>454</v>
      </c>
      <c r="D311" s="119">
        <v>8</v>
      </c>
      <c r="E311" s="34">
        <f t="shared" si="32"/>
        <v>1560</v>
      </c>
      <c r="F311" s="39" t="s">
        <v>30</v>
      </c>
      <c r="G311" s="145" t="s">
        <v>484</v>
      </c>
      <c r="H311" s="35">
        <f>19500-E311</f>
        <v>17940</v>
      </c>
      <c r="I311" s="35"/>
      <c r="J311" s="35"/>
      <c r="K311" s="34" t="s">
        <v>466</v>
      </c>
      <c r="L311" s="34"/>
      <c r="M311" s="34">
        <f>M310-D311</f>
        <v>0</v>
      </c>
      <c r="N311" s="19">
        <v>46067</v>
      </c>
      <c r="O311" s="21">
        <f t="shared" si="35"/>
        <v>46431</v>
      </c>
    </row>
    <row r="312" spans="1:15" ht="20.149999999999999" hidden="1" customHeight="1" x14ac:dyDescent="0.2">
      <c r="A312" s="40">
        <v>46090</v>
      </c>
      <c r="B312" s="40">
        <v>46091</v>
      </c>
      <c r="C312" s="41" t="s">
        <v>455</v>
      </c>
      <c r="D312" s="41">
        <v>12</v>
      </c>
      <c r="E312" s="41">
        <f t="shared" si="32"/>
        <v>2340</v>
      </c>
      <c r="F312" s="60" t="s">
        <v>448</v>
      </c>
      <c r="G312" s="60" t="s">
        <v>463</v>
      </c>
      <c r="H312" s="42">
        <f>H288-E312</f>
        <v>22000</v>
      </c>
      <c r="I312" s="42"/>
      <c r="J312" s="42"/>
      <c r="K312" s="41">
        <v>260306008</v>
      </c>
      <c r="L312" s="41"/>
      <c r="M312" s="41">
        <f>M302-D312</f>
        <v>18</v>
      </c>
      <c r="N312" s="19">
        <v>46068</v>
      </c>
      <c r="O312" s="21">
        <f t="shared" si="35"/>
        <v>46432</v>
      </c>
    </row>
    <row r="313" spans="1:15" ht="20.149999999999999" hidden="1" customHeight="1" x14ac:dyDescent="0.25">
      <c r="A313" s="26">
        <v>46090</v>
      </c>
      <c r="B313" s="26">
        <v>46091</v>
      </c>
      <c r="C313" s="27" t="s">
        <v>456</v>
      </c>
      <c r="D313" s="27">
        <v>12</v>
      </c>
      <c r="E313" s="27">
        <f t="shared" si="32"/>
        <v>2340</v>
      </c>
      <c r="F313" s="149" t="s">
        <v>444</v>
      </c>
      <c r="G313" s="149" t="s">
        <v>462</v>
      </c>
      <c r="H313" s="28">
        <f>7020-E313</f>
        <v>4680</v>
      </c>
      <c r="I313" s="28"/>
      <c r="J313" s="147" t="s">
        <v>457</v>
      </c>
      <c r="K313" s="27" t="s">
        <v>483</v>
      </c>
      <c r="L313" s="27"/>
      <c r="M313" s="27">
        <f>M277-D313</f>
        <v>25</v>
      </c>
      <c r="N313" s="19">
        <v>46074</v>
      </c>
      <c r="O313" s="21">
        <f t="shared" si="35"/>
        <v>46438</v>
      </c>
    </row>
    <row r="314" spans="1:15" ht="20.149999999999999" hidden="1" customHeight="1" x14ac:dyDescent="0.25">
      <c r="A314" s="22">
        <v>46091</v>
      </c>
      <c r="B314" s="22">
        <v>46091</v>
      </c>
      <c r="C314" s="23" t="s">
        <v>389</v>
      </c>
      <c r="D314" s="23">
        <v>4</v>
      </c>
      <c r="E314" s="23">
        <f t="shared" si="32"/>
        <v>780</v>
      </c>
      <c r="F314" s="38" t="s">
        <v>29</v>
      </c>
      <c r="G314" s="38" t="s">
        <v>81</v>
      </c>
      <c r="H314" s="25">
        <f>H280-E314</f>
        <v>74260</v>
      </c>
      <c r="I314" s="25"/>
      <c r="J314" s="25"/>
      <c r="K314" s="23">
        <v>260309003</v>
      </c>
      <c r="L314" s="23"/>
      <c r="M314" s="23">
        <f>M312-D314</f>
        <v>14</v>
      </c>
      <c r="N314" s="19">
        <v>46068</v>
      </c>
      <c r="O314" s="21">
        <f t="shared" si="35"/>
        <v>46432</v>
      </c>
    </row>
    <row r="315" spans="1:15" ht="20.149999999999999" hidden="1" customHeight="1" x14ac:dyDescent="0.25">
      <c r="A315" s="33">
        <v>46091</v>
      </c>
      <c r="B315" s="33">
        <v>46091</v>
      </c>
      <c r="C315" s="34" t="s">
        <v>469</v>
      </c>
      <c r="D315" s="34">
        <v>8</v>
      </c>
      <c r="E315" s="34">
        <f t="shared" si="32"/>
        <v>1560</v>
      </c>
      <c r="F315" s="39" t="s">
        <v>27</v>
      </c>
      <c r="G315" s="39" t="s">
        <v>475</v>
      </c>
      <c r="H315" s="35">
        <f>H297-E315</f>
        <v>780</v>
      </c>
      <c r="I315" s="35"/>
      <c r="J315" s="35"/>
      <c r="K315" s="34">
        <v>260309004</v>
      </c>
      <c r="L315" s="34"/>
      <c r="M315" s="34">
        <f>M314-D315</f>
        <v>6</v>
      </c>
      <c r="N315" s="19">
        <v>46068</v>
      </c>
      <c r="O315" s="21">
        <f t="shared" si="35"/>
        <v>46432</v>
      </c>
    </row>
    <row r="316" spans="1:15" ht="20.149999999999999" hidden="1" customHeight="1" x14ac:dyDescent="0.2">
      <c r="A316" s="29">
        <v>46091</v>
      </c>
      <c r="B316" s="29">
        <v>46091</v>
      </c>
      <c r="C316" s="30" t="s">
        <v>470</v>
      </c>
      <c r="D316" s="30">
        <v>8</v>
      </c>
      <c r="E316" s="30">
        <f t="shared" si="32"/>
        <v>1560</v>
      </c>
      <c r="F316" s="37" t="s">
        <v>26</v>
      </c>
      <c r="G316" s="37" t="s">
        <v>476</v>
      </c>
      <c r="H316" s="32">
        <f>H302-E316</f>
        <v>4680</v>
      </c>
      <c r="I316" s="32"/>
      <c r="J316" s="32"/>
      <c r="K316" s="30">
        <v>260309005</v>
      </c>
      <c r="L316" s="30"/>
      <c r="M316" s="30">
        <f>M313-D316</f>
        <v>17</v>
      </c>
      <c r="N316" s="19">
        <v>46074</v>
      </c>
      <c r="O316" s="21">
        <f t="shared" si="35"/>
        <v>46438</v>
      </c>
    </row>
    <row r="317" spans="1:15" ht="20.149999999999999" hidden="1" customHeight="1" x14ac:dyDescent="0.2">
      <c r="A317" s="29">
        <v>46091</v>
      </c>
      <c r="B317" s="29">
        <v>46091</v>
      </c>
      <c r="C317" s="30" t="s">
        <v>406</v>
      </c>
      <c r="D317" s="30">
        <v>4</v>
      </c>
      <c r="E317" s="30">
        <f t="shared" si="32"/>
        <v>780</v>
      </c>
      <c r="F317" s="37" t="s">
        <v>26</v>
      </c>
      <c r="G317" s="37" t="s">
        <v>472</v>
      </c>
      <c r="H317" s="32">
        <f>H316-E317</f>
        <v>3900</v>
      </c>
      <c r="I317" s="32"/>
      <c r="J317" s="32"/>
      <c r="K317" s="30">
        <v>260309005</v>
      </c>
      <c r="L317" s="30"/>
      <c r="M317" s="30">
        <f>M278-D317</f>
        <v>34</v>
      </c>
      <c r="N317" s="19">
        <v>46075</v>
      </c>
      <c r="O317" s="21">
        <f t="shared" si="35"/>
        <v>46439</v>
      </c>
    </row>
    <row r="318" spans="1:15" ht="20.149999999999999" hidden="1" customHeight="1" x14ac:dyDescent="0.3">
      <c r="A318" s="40">
        <v>46091</v>
      </c>
      <c r="B318" s="40">
        <v>46092</v>
      </c>
      <c r="C318" s="41" t="s">
        <v>389</v>
      </c>
      <c r="D318" s="41">
        <v>6</v>
      </c>
      <c r="E318" s="41">
        <f t="shared" si="32"/>
        <v>1170</v>
      </c>
      <c r="F318" s="60" t="s">
        <v>315</v>
      </c>
      <c r="G318" s="60" t="s">
        <v>477</v>
      </c>
      <c r="H318" s="42">
        <f>H301-E318</f>
        <v>57330</v>
      </c>
      <c r="I318" s="42"/>
      <c r="J318" s="42"/>
      <c r="K318" s="41">
        <v>260309006</v>
      </c>
      <c r="L318" s="41"/>
      <c r="M318" s="41">
        <f>M315-D318</f>
        <v>0</v>
      </c>
      <c r="N318" s="19">
        <v>46068</v>
      </c>
      <c r="O318" s="21">
        <f t="shared" si="35"/>
        <v>46432</v>
      </c>
    </row>
    <row r="319" spans="1:15" ht="20.149999999999999" hidden="1" customHeight="1" x14ac:dyDescent="0.3">
      <c r="A319" s="40">
        <v>46091</v>
      </c>
      <c r="B319" s="40">
        <v>46092</v>
      </c>
      <c r="C319" s="41" t="s">
        <v>471</v>
      </c>
      <c r="D319" s="41">
        <v>2</v>
      </c>
      <c r="E319" s="41">
        <f t="shared" si="32"/>
        <v>390</v>
      </c>
      <c r="F319" s="60" t="s">
        <v>315</v>
      </c>
      <c r="G319" s="60" t="s">
        <v>473</v>
      </c>
      <c r="H319" s="42">
        <f>H318-E319</f>
        <v>56940</v>
      </c>
      <c r="I319" s="42"/>
      <c r="J319" s="42"/>
      <c r="K319" s="41">
        <v>260309006</v>
      </c>
      <c r="L319" s="41"/>
      <c r="M319" s="41">
        <f>M266-D319</f>
        <v>19</v>
      </c>
      <c r="N319" s="19">
        <v>46069</v>
      </c>
      <c r="O319" s="21">
        <f t="shared" si="35"/>
        <v>46433</v>
      </c>
    </row>
    <row r="320" spans="1:15" ht="20.149999999999999" hidden="1" customHeight="1" x14ac:dyDescent="0.25">
      <c r="A320" s="22">
        <v>46092</v>
      </c>
      <c r="B320" s="22">
        <v>46093</v>
      </c>
      <c r="C320" s="23" t="s">
        <v>390</v>
      </c>
      <c r="D320" s="23">
        <v>11</v>
      </c>
      <c r="E320" s="23">
        <f t="shared" si="32"/>
        <v>2145</v>
      </c>
      <c r="F320" s="38" t="s">
        <v>307</v>
      </c>
      <c r="G320" s="38" t="s">
        <v>423</v>
      </c>
      <c r="H320" s="25">
        <f>H291-E320</f>
        <v>28275</v>
      </c>
      <c r="I320" s="25"/>
      <c r="J320" s="25"/>
      <c r="K320" s="23">
        <v>260310004</v>
      </c>
      <c r="L320" s="23"/>
      <c r="M320" s="23">
        <f>M319-D320</f>
        <v>8</v>
      </c>
      <c r="N320" s="19">
        <v>46069</v>
      </c>
      <c r="O320" s="21">
        <f t="shared" si="35"/>
        <v>46433</v>
      </c>
    </row>
    <row r="321" spans="1:15" ht="20.149999999999999" hidden="1" customHeight="1" x14ac:dyDescent="0.25">
      <c r="A321" s="22">
        <v>46092</v>
      </c>
      <c r="B321" s="22">
        <v>46093</v>
      </c>
      <c r="C321" s="23" t="s">
        <v>486</v>
      </c>
      <c r="D321" s="23">
        <v>13</v>
      </c>
      <c r="E321" s="23">
        <f t="shared" si="32"/>
        <v>2535</v>
      </c>
      <c r="F321" s="38" t="s">
        <v>307</v>
      </c>
      <c r="G321" s="38" t="s">
        <v>485</v>
      </c>
      <c r="H321" s="25">
        <f>H320-E321</f>
        <v>25740</v>
      </c>
      <c r="I321" s="25"/>
      <c r="J321" s="25"/>
      <c r="K321" s="23">
        <v>260310004</v>
      </c>
      <c r="L321" s="23"/>
      <c r="M321" s="23">
        <f>M274-D321</f>
        <v>4</v>
      </c>
      <c r="N321" s="19">
        <v>46071</v>
      </c>
      <c r="O321" s="21">
        <f t="shared" si="35"/>
        <v>46435</v>
      </c>
    </row>
    <row r="322" spans="1:15" ht="20.149999999999999" hidden="1" customHeight="1" x14ac:dyDescent="0.25">
      <c r="A322" s="26">
        <v>46093</v>
      </c>
      <c r="B322" s="26">
        <v>46094</v>
      </c>
      <c r="C322" s="27" t="s">
        <v>390</v>
      </c>
      <c r="D322" s="27">
        <v>8</v>
      </c>
      <c r="E322" s="27">
        <f t="shared" si="32"/>
        <v>1560</v>
      </c>
      <c r="F322" s="36" t="s">
        <v>267</v>
      </c>
      <c r="G322" s="36" t="s">
        <v>460</v>
      </c>
      <c r="H322" s="28">
        <f>H305-E322</f>
        <v>28080</v>
      </c>
      <c r="I322" s="28"/>
      <c r="J322" s="28"/>
      <c r="K322" s="27">
        <v>260311003</v>
      </c>
      <c r="L322" s="27"/>
      <c r="M322" s="27">
        <f>M320-D322</f>
        <v>0</v>
      </c>
      <c r="N322" s="19">
        <v>46069</v>
      </c>
      <c r="O322" s="21">
        <f t="shared" si="35"/>
        <v>46433</v>
      </c>
    </row>
    <row r="323" spans="1:15" ht="20.149999999999999" hidden="1" customHeight="1" x14ac:dyDescent="0.3">
      <c r="A323" s="33">
        <v>46093</v>
      </c>
      <c r="B323" s="33">
        <v>46094</v>
      </c>
      <c r="C323" s="34" t="s">
        <v>401</v>
      </c>
      <c r="D323" s="34">
        <v>4</v>
      </c>
      <c r="E323" s="34">
        <f t="shared" si="32"/>
        <v>780</v>
      </c>
      <c r="F323" s="39" t="s">
        <v>315</v>
      </c>
      <c r="G323" s="39" t="s">
        <v>498</v>
      </c>
      <c r="H323" s="35">
        <f>H319-E323</f>
        <v>56160</v>
      </c>
      <c r="I323" s="35"/>
      <c r="J323" s="35"/>
      <c r="K323" s="34">
        <v>260311004</v>
      </c>
      <c r="L323" s="34"/>
      <c r="M323" s="34">
        <f>M321-D323</f>
        <v>0</v>
      </c>
      <c r="N323" s="19">
        <v>46071</v>
      </c>
      <c r="O323" s="21">
        <f t="shared" si="35"/>
        <v>46435</v>
      </c>
    </row>
    <row r="324" spans="1:15" ht="20.149999999999999" hidden="1" customHeight="1" x14ac:dyDescent="0.3">
      <c r="A324" s="33">
        <v>46093</v>
      </c>
      <c r="B324" s="33">
        <v>46094</v>
      </c>
      <c r="C324" s="34" t="s">
        <v>491</v>
      </c>
      <c r="D324" s="34">
        <v>16</v>
      </c>
      <c r="E324" s="34">
        <f t="shared" si="32"/>
        <v>3120</v>
      </c>
      <c r="F324" s="39" t="s">
        <v>315</v>
      </c>
      <c r="G324" s="39" t="s">
        <v>495</v>
      </c>
      <c r="H324" s="35">
        <f>H323-E324</f>
        <v>53040</v>
      </c>
      <c r="I324" s="35"/>
      <c r="J324" s="35"/>
      <c r="K324" s="34">
        <v>260311004</v>
      </c>
      <c r="L324" s="34"/>
      <c r="M324" s="34">
        <f>M275-D324</f>
        <v>6</v>
      </c>
      <c r="N324" s="19">
        <v>46072</v>
      </c>
      <c r="O324" s="21">
        <f t="shared" si="35"/>
        <v>46436</v>
      </c>
    </row>
    <row r="325" spans="1:15" ht="20.149999999999999" hidden="1" customHeight="1" x14ac:dyDescent="0.2">
      <c r="A325" s="40">
        <v>46093</v>
      </c>
      <c r="B325" s="40">
        <v>46094</v>
      </c>
      <c r="C325" s="41" t="s">
        <v>492</v>
      </c>
      <c r="D325" s="41">
        <v>6</v>
      </c>
      <c r="E325" s="41">
        <f t="shared" si="32"/>
        <v>1170</v>
      </c>
      <c r="F325" s="41" t="s">
        <v>446</v>
      </c>
      <c r="G325" s="41" t="s">
        <v>496</v>
      </c>
      <c r="H325" s="42">
        <f>H309-E325</f>
        <v>13650</v>
      </c>
      <c r="I325" s="42"/>
      <c r="J325" s="42"/>
      <c r="K325" s="41" t="s">
        <v>499</v>
      </c>
      <c r="L325" s="41"/>
      <c r="M325" s="41">
        <f>M324-D325</f>
        <v>0</v>
      </c>
      <c r="N325" s="19">
        <v>46072</v>
      </c>
      <c r="O325" s="21">
        <f t="shared" si="35"/>
        <v>46436</v>
      </c>
    </row>
    <row r="326" spans="1:15" ht="20.149999999999999" hidden="1" customHeight="1" x14ac:dyDescent="0.2">
      <c r="A326" s="40">
        <v>46093</v>
      </c>
      <c r="B326" s="40">
        <v>46094</v>
      </c>
      <c r="C326" s="41" t="s">
        <v>403</v>
      </c>
      <c r="D326" s="41">
        <v>6</v>
      </c>
      <c r="E326" s="41">
        <f t="shared" si="32"/>
        <v>1170</v>
      </c>
      <c r="F326" s="41" t="s">
        <v>446</v>
      </c>
      <c r="G326" s="41" t="s">
        <v>497</v>
      </c>
      <c r="H326" s="42">
        <f>H325-E326</f>
        <v>12480</v>
      </c>
      <c r="I326" s="42"/>
      <c r="J326" s="42"/>
      <c r="K326" s="41" t="s">
        <v>499</v>
      </c>
      <c r="L326" s="41"/>
      <c r="M326" s="41">
        <f>M276-D326</f>
        <v>11</v>
      </c>
      <c r="N326" s="19">
        <v>46073</v>
      </c>
      <c r="O326" s="21">
        <f t="shared" si="35"/>
        <v>46437</v>
      </c>
    </row>
    <row r="327" spans="1:15" ht="20.149999999999999" hidden="1" customHeight="1" x14ac:dyDescent="0.25">
      <c r="A327" s="29">
        <v>46094</v>
      </c>
      <c r="B327" s="29">
        <v>46094</v>
      </c>
      <c r="C327" s="30" t="s">
        <v>403</v>
      </c>
      <c r="D327" s="30">
        <v>4</v>
      </c>
      <c r="E327" s="30">
        <f t="shared" si="32"/>
        <v>780</v>
      </c>
      <c r="F327" s="37" t="s">
        <v>29</v>
      </c>
      <c r="G327" s="37" t="s">
        <v>509</v>
      </c>
      <c r="H327" s="32">
        <f>H314-E327</f>
        <v>73480</v>
      </c>
      <c r="I327" s="32"/>
      <c r="J327" s="32"/>
      <c r="K327" s="30">
        <v>260312004</v>
      </c>
      <c r="L327" s="30"/>
      <c r="M327" s="30">
        <f>M326-D327</f>
        <v>7</v>
      </c>
      <c r="N327" s="19">
        <v>46073</v>
      </c>
      <c r="O327" s="21">
        <f t="shared" si="35"/>
        <v>46437</v>
      </c>
    </row>
    <row r="328" spans="1:15" ht="20.149999999999999" hidden="1" customHeight="1" x14ac:dyDescent="0.25">
      <c r="A328" s="22">
        <v>46094</v>
      </c>
      <c r="B328" s="22">
        <v>46094</v>
      </c>
      <c r="C328" s="23" t="s">
        <v>403</v>
      </c>
      <c r="D328" s="23">
        <v>4</v>
      </c>
      <c r="E328" s="23">
        <f t="shared" si="32"/>
        <v>780</v>
      </c>
      <c r="F328" s="38" t="s">
        <v>27</v>
      </c>
      <c r="G328" s="38" t="s">
        <v>361</v>
      </c>
      <c r="H328" s="25">
        <f>H315-E328</f>
        <v>0</v>
      </c>
      <c r="I328" s="25"/>
      <c r="J328" s="25"/>
      <c r="K328" s="23">
        <v>260312005</v>
      </c>
      <c r="L328" s="23"/>
      <c r="M328" s="23">
        <f>M327-D328</f>
        <v>3</v>
      </c>
      <c r="N328" s="19">
        <v>46073</v>
      </c>
      <c r="O328" s="21">
        <f t="shared" si="35"/>
        <v>46437</v>
      </c>
    </row>
    <row r="329" spans="1:15" ht="20.149999999999999" hidden="1" customHeight="1" x14ac:dyDescent="0.25">
      <c r="A329" s="22">
        <v>46094</v>
      </c>
      <c r="B329" s="22">
        <v>46094</v>
      </c>
      <c r="C329" s="23" t="s">
        <v>504</v>
      </c>
      <c r="D329" s="23">
        <v>4</v>
      </c>
      <c r="E329" s="23">
        <f t="shared" si="32"/>
        <v>780</v>
      </c>
      <c r="F329" s="38" t="s">
        <v>27</v>
      </c>
      <c r="G329" s="148" t="s">
        <v>511</v>
      </c>
      <c r="H329" s="25">
        <f>28080-E329</f>
        <v>27300</v>
      </c>
      <c r="I329" s="25"/>
      <c r="J329" s="25"/>
      <c r="K329" s="23" t="s">
        <v>510</v>
      </c>
      <c r="L329" s="23"/>
      <c r="M329" s="23">
        <f>M316-D329</f>
        <v>13</v>
      </c>
      <c r="N329" s="19">
        <v>46074</v>
      </c>
      <c r="O329" s="21">
        <f t="shared" si="35"/>
        <v>46438</v>
      </c>
    </row>
    <row r="330" spans="1:15" ht="20.149999999999999" hidden="1" customHeight="1" x14ac:dyDescent="0.2">
      <c r="A330" s="26">
        <v>46094</v>
      </c>
      <c r="B330" s="26">
        <v>46094</v>
      </c>
      <c r="C330" s="27" t="s">
        <v>505</v>
      </c>
      <c r="D330" s="27">
        <v>12</v>
      </c>
      <c r="E330" s="27">
        <f t="shared" si="32"/>
        <v>2340</v>
      </c>
      <c r="F330" s="36" t="s">
        <v>26</v>
      </c>
      <c r="G330" s="36" t="s">
        <v>440</v>
      </c>
      <c r="H330" s="28">
        <f>H317-E330</f>
        <v>1560</v>
      </c>
      <c r="I330" s="28"/>
      <c r="J330" s="28"/>
      <c r="K330" s="27">
        <v>260312006</v>
      </c>
      <c r="L330" s="27"/>
      <c r="M330" s="27">
        <f>M279-D330</f>
        <v>25</v>
      </c>
      <c r="N330" s="19">
        <v>46077</v>
      </c>
      <c r="O330" s="21">
        <f t="shared" si="35"/>
        <v>46441</v>
      </c>
    </row>
    <row r="331" spans="1:15" ht="20.149999999999999" hidden="1" customHeight="1" x14ac:dyDescent="0.3">
      <c r="A331" s="40">
        <v>46094</v>
      </c>
      <c r="B331" s="40">
        <v>46097</v>
      </c>
      <c r="C331" s="41" t="s">
        <v>403</v>
      </c>
      <c r="D331" s="41">
        <v>3</v>
      </c>
      <c r="E331" s="41">
        <f t="shared" si="32"/>
        <v>585</v>
      </c>
      <c r="F331" s="60" t="s">
        <v>315</v>
      </c>
      <c r="G331" s="60" t="s">
        <v>441</v>
      </c>
      <c r="H331" s="42">
        <f>H324-E331</f>
        <v>52455</v>
      </c>
      <c r="I331" s="42"/>
      <c r="J331" s="42"/>
      <c r="K331" s="41">
        <v>260312007</v>
      </c>
      <c r="L331" s="41"/>
      <c r="M331" s="41">
        <f>M328-D331</f>
        <v>0</v>
      </c>
      <c r="N331" s="19">
        <v>46073</v>
      </c>
      <c r="O331" s="21">
        <f t="shared" si="35"/>
        <v>46437</v>
      </c>
    </row>
    <row r="332" spans="1:15" ht="20.149999999999999" hidden="1" customHeight="1" x14ac:dyDescent="0.3">
      <c r="A332" s="40">
        <v>46094</v>
      </c>
      <c r="B332" s="40">
        <v>46097</v>
      </c>
      <c r="C332" s="41" t="s">
        <v>506</v>
      </c>
      <c r="D332" s="41">
        <v>13</v>
      </c>
      <c r="E332" s="41">
        <f t="shared" si="32"/>
        <v>2535</v>
      </c>
      <c r="F332" s="60" t="s">
        <v>315</v>
      </c>
      <c r="G332" s="60" t="s">
        <v>502</v>
      </c>
      <c r="H332" s="42">
        <f>H331-E332</f>
        <v>49920</v>
      </c>
      <c r="I332" s="42"/>
      <c r="J332" s="42"/>
      <c r="K332" s="41">
        <v>260312007</v>
      </c>
      <c r="L332" s="41"/>
      <c r="M332" s="41">
        <f>M329-D332</f>
        <v>0</v>
      </c>
      <c r="N332" s="19">
        <v>46074</v>
      </c>
      <c r="O332" s="21">
        <f t="shared" si="35"/>
        <v>46438</v>
      </c>
    </row>
    <row r="333" spans="1:15" ht="20.149999999999999" hidden="1" customHeight="1" x14ac:dyDescent="0.2">
      <c r="A333" s="33">
        <v>46097</v>
      </c>
      <c r="B333" s="33">
        <v>46097</v>
      </c>
      <c r="C333" s="34" t="s">
        <v>407</v>
      </c>
      <c r="D333" s="34">
        <v>8</v>
      </c>
      <c r="E333" s="34">
        <f t="shared" si="32"/>
        <v>1560</v>
      </c>
      <c r="F333" s="39" t="s">
        <v>26</v>
      </c>
      <c r="G333" s="39" t="s">
        <v>362</v>
      </c>
      <c r="H333" s="35">
        <f>H330-E333</f>
        <v>0</v>
      </c>
      <c r="I333" s="35"/>
      <c r="J333" s="35"/>
      <c r="K333" s="34">
        <v>260313001</v>
      </c>
      <c r="L333" s="34"/>
      <c r="M333" s="34">
        <f>M330-D333</f>
        <v>17</v>
      </c>
      <c r="N333" s="19">
        <v>46077</v>
      </c>
      <c r="O333" s="21">
        <f t="shared" ref="O333:O338" si="37">DATE(YEAR(N333)+1,MONTH(N333),DAY(N333))-1</f>
        <v>46441</v>
      </c>
    </row>
    <row r="334" spans="1:15" ht="20.149999999999999" hidden="1" customHeight="1" x14ac:dyDescent="0.25">
      <c r="A334" s="29">
        <v>46097</v>
      </c>
      <c r="B334" s="29">
        <v>46098</v>
      </c>
      <c r="C334" s="30" t="s">
        <v>513</v>
      </c>
      <c r="D334" s="30">
        <v>4</v>
      </c>
      <c r="E334" s="30">
        <f t="shared" si="32"/>
        <v>780</v>
      </c>
      <c r="F334" s="37" t="s">
        <v>267</v>
      </c>
      <c r="G334" s="37" t="s">
        <v>460</v>
      </c>
      <c r="H334" s="32">
        <f>H322-E334</f>
        <v>27300</v>
      </c>
      <c r="I334" s="70" t="s">
        <v>12</v>
      </c>
      <c r="J334" s="32"/>
      <c r="K334" s="30">
        <v>260313002</v>
      </c>
      <c r="L334" s="30">
        <f>41+1</f>
        <v>42</v>
      </c>
      <c r="M334" s="30">
        <f>L334-D334</f>
        <v>38</v>
      </c>
      <c r="N334" s="19">
        <v>46084</v>
      </c>
      <c r="O334" s="21">
        <f t="shared" si="37"/>
        <v>46448</v>
      </c>
    </row>
    <row r="335" spans="1:15" ht="20.149999999999999" hidden="1" customHeight="1" x14ac:dyDescent="0.25">
      <c r="A335" s="29">
        <v>46097</v>
      </c>
      <c r="B335" s="29">
        <v>46098</v>
      </c>
      <c r="C335" s="30" t="s">
        <v>514</v>
      </c>
      <c r="D335" s="30">
        <v>4</v>
      </c>
      <c r="E335" s="30">
        <f t="shared" si="32"/>
        <v>780</v>
      </c>
      <c r="F335" s="37" t="s">
        <v>267</v>
      </c>
      <c r="G335" s="37" t="s">
        <v>460</v>
      </c>
      <c r="H335" s="32">
        <f>H334-E335</f>
        <v>26520</v>
      </c>
      <c r="I335" s="70" t="s">
        <v>12</v>
      </c>
      <c r="J335" s="32" t="s">
        <v>534</v>
      </c>
      <c r="K335" s="30">
        <v>260313002</v>
      </c>
      <c r="L335" s="30">
        <f>42-16</f>
        <v>26</v>
      </c>
      <c r="M335" s="30">
        <f>L335-D335</f>
        <v>22</v>
      </c>
      <c r="N335" s="19">
        <v>46085</v>
      </c>
      <c r="O335" s="21">
        <f t="shared" si="37"/>
        <v>46449</v>
      </c>
    </row>
    <row r="336" spans="1:15" ht="20.149999999999999" hidden="1" customHeight="1" x14ac:dyDescent="0.25">
      <c r="A336" s="29">
        <v>46097</v>
      </c>
      <c r="B336" s="29">
        <v>46098</v>
      </c>
      <c r="C336" s="30" t="s">
        <v>515</v>
      </c>
      <c r="D336" s="30">
        <v>4</v>
      </c>
      <c r="E336" s="30">
        <f t="shared" ref="E336:E353" si="38">D336*195</f>
        <v>780</v>
      </c>
      <c r="F336" s="37" t="s">
        <v>267</v>
      </c>
      <c r="G336" s="37" t="s">
        <v>460</v>
      </c>
      <c r="H336" s="32">
        <f>H335-E336</f>
        <v>25740</v>
      </c>
      <c r="I336" s="70" t="s">
        <v>12</v>
      </c>
      <c r="J336" s="32" t="s">
        <v>535</v>
      </c>
      <c r="K336" s="30">
        <v>260313002</v>
      </c>
      <c r="L336" s="30">
        <f>41-20+1</f>
        <v>22</v>
      </c>
      <c r="M336" s="30">
        <f>L336-D336</f>
        <v>18</v>
      </c>
      <c r="N336" s="19">
        <v>46086</v>
      </c>
      <c r="O336" s="21">
        <f t="shared" si="37"/>
        <v>46450</v>
      </c>
    </row>
    <row r="337" spans="1:15" ht="20.149999999999999" hidden="1" customHeight="1" x14ac:dyDescent="0.2">
      <c r="A337" s="26">
        <v>46097</v>
      </c>
      <c r="B337" s="26">
        <v>46098</v>
      </c>
      <c r="C337" s="27" t="s">
        <v>516</v>
      </c>
      <c r="D337" s="27">
        <v>4</v>
      </c>
      <c r="E337" s="27">
        <f t="shared" si="38"/>
        <v>780</v>
      </c>
      <c r="F337" s="27" t="s">
        <v>446</v>
      </c>
      <c r="G337" s="27" t="s">
        <v>325</v>
      </c>
      <c r="H337" s="28">
        <f>H326-E337</f>
        <v>11700</v>
      </c>
      <c r="I337" s="61" t="s">
        <v>22</v>
      </c>
      <c r="J337" s="28"/>
      <c r="K337" s="27">
        <v>260313003</v>
      </c>
      <c r="L337" s="27">
        <v>41</v>
      </c>
      <c r="M337" s="27">
        <f>L337-D337</f>
        <v>37</v>
      </c>
      <c r="N337" s="19">
        <v>46087</v>
      </c>
      <c r="O337" s="21">
        <f t="shared" si="37"/>
        <v>46451</v>
      </c>
    </row>
    <row r="338" spans="1:15" ht="20.149999999999999" hidden="1" customHeight="1" x14ac:dyDescent="0.2">
      <c r="A338" s="26">
        <v>46097</v>
      </c>
      <c r="B338" s="26">
        <v>46098</v>
      </c>
      <c r="C338" s="27" t="s">
        <v>517</v>
      </c>
      <c r="D338" s="27">
        <v>4</v>
      </c>
      <c r="E338" s="27">
        <f t="shared" si="38"/>
        <v>780</v>
      </c>
      <c r="F338" s="27" t="s">
        <v>446</v>
      </c>
      <c r="G338" s="27" t="s">
        <v>325</v>
      </c>
      <c r="H338" s="28">
        <f>H337-E338</f>
        <v>10920</v>
      </c>
      <c r="I338" s="61" t="s">
        <v>22</v>
      </c>
      <c r="J338" s="28"/>
      <c r="K338" s="27">
        <v>260313003</v>
      </c>
      <c r="L338" s="27">
        <v>42</v>
      </c>
      <c r="M338" s="27">
        <f>L338-D338</f>
        <v>38</v>
      </c>
      <c r="N338" s="19">
        <v>46088</v>
      </c>
      <c r="O338" s="21">
        <f t="shared" si="37"/>
        <v>46452</v>
      </c>
    </row>
    <row r="339" spans="1:15" ht="20.149999999999999" hidden="1" customHeight="1" x14ac:dyDescent="0.2">
      <c r="A339" s="22">
        <v>46097</v>
      </c>
      <c r="B339" s="22">
        <v>46098</v>
      </c>
      <c r="C339" s="23" t="s">
        <v>406</v>
      </c>
      <c r="D339" s="23">
        <v>12</v>
      </c>
      <c r="E339" s="23">
        <f t="shared" si="38"/>
        <v>2340</v>
      </c>
      <c r="F339" s="38" t="s">
        <v>30</v>
      </c>
      <c r="G339" s="38" t="s">
        <v>484</v>
      </c>
      <c r="H339" s="25">
        <f>H311-E339</f>
        <v>15600</v>
      </c>
      <c r="I339" s="25"/>
      <c r="J339" s="25"/>
      <c r="K339" s="23">
        <v>260313004</v>
      </c>
      <c r="L339" s="23"/>
      <c r="M339" s="23">
        <f>M317-D339</f>
        <v>22</v>
      </c>
      <c r="N339" s="19">
        <v>46075</v>
      </c>
      <c r="O339" s="21">
        <f t="shared" ref="O339:O401" si="39">DATE(YEAR(N339)+1,MONTH(N339),DAY(N339))-1</f>
        <v>46439</v>
      </c>
    </row>
    <row r="340" spans="1:15" ht="20.149999999999999" hidden="1" customHeight="1" x14ac:dyDescent="0.2">
      <c r="A340" s="108">
        <v>46097</v>
      </c>
      <c r="B340" s="108">
        <v>46098</v>
      </c>
      <c r="C340" s="109" t="s">
        <v>407</v>
      </c>
      <c r="D340" s="109">
        <v>12</v>
      </c>
      <c r="E340" s="109">
        <f t="shared" si="38"/>
        <v>2340</v>
      </c>
      <c r="F340" s="110" t="s">
        <v>533</v>
      </c>
      <c r="G340" s="110" t="s">
        <v>87</v>
      </c>
      <c r="H340" s="111">
        <f>H312-E340</f>
        <v>19660</v>
      </c>
      <c r="I340" s="111"/>
      <c r="J340" s="111"/>
      <c r="K340" s="109">
        <v>260313005</v>
      </c>
      <c r="L340" s="109"/>
      <c r="M340" s="109">
        <f>M333-D340</f>
        <v>5</v>
      </c>
      <c r="N340" s="19">
        <v>46077</v>
      </c>
      <c r="O340" s="21">
        <f t="shared" si="39"/>
        <v>46441</v>
      </c>
    </row>
    <row r="341" spans="1:15" ht="20.149999999999999" hidden="1" customHeight="1" x14ac:dyDescent="0.25">
      <c r="A341" s="33">
        <v>46098</v>
      </c>
      <c r="B341" s="33">
        <v>46098</v>
      </c>
      <c r="C341" s="34" t="s">
        <v>520</v>
      </c>
      <c r="D341" s="34">
        <v>4</v>
      </c>
      <c r="E341" s="34">
        <f t="shared" si="38"/>
        <v>780</v>
      </c>
      <c r="F341" s="39" t="s">
        <v>29</v>
      </c>
      <c r="G341" s="39" t="s">
        <v>529</v>
      </c>
      <c r="H341" s="35">
        <f>H327-E341</f>
        <v>72700</v>
      </c>
      <c r="I341" s="35"/>
      <c r="J341" s="35"/>
      <c r="K341" s="34">
        <v>260316005</v>
      </c>
      <c r="L341" s="34"/>
      <c r="M341" s="34">
        <f>M339-D341</f>
        <v>18</v>
      </c>
      <c r="N341" s="19">
        <v>46075</v>
      </c>
      <c r="O341" s="21">
        <f t="shared" si="39"/>
        <v>46439</v>
      </c>
    </row>
    <row r="342" spans="1:15" ht="20.149999999999999" hidden="1" customHeight="1" x14ac:dyDescent="0.25">
      <c r="A342" s="29">
        <v>46098</v>
      </c>
      <c r="B342" s="29">
        <v>46098</v>
      </c>
      <c r="C342" s="30" t="s">
        <v>521</v>
      </c>
      <c r="D342" s="30">
        <v>7</v>
      </c>
      <c r="E342" s="30">
        <f t="shared" si="38"/>
        <v>1365</v>
      </c>
      <c r="F342" s="37" t="s">
        <v>27</v>
      </c>
      <c r="G342" s="37" t="s">
        <v>511</v>
      </c>
      <c r="H342" s="32">
        <f>H329-E342</f>
        <v>25935</v>
      </c>
      <c r="I342" s="32"/>
      <c r="J342" s="32"/>
      <c r="K342" s="30">
        <v>260316006</v>
      </c>
      <c r="L342" s="30"/>
      <c r="M342" s="30">
        <f>M341-D342</f>
        <v>11</v>
      </c>
      <c r="N342" s="19">
        <v>46075</v>
      </c>
      <c r="O342" s="21">
        <f t="shared" si="39"/>
        <v>46439</v>
      </c>
    </row>
    <row r="343" spans="1:15" ht="20.149999999999999" hidden="1" customHeight="1" x14ac:dyDescent="0.25">
      <c r="A343" s="29">
        <v>46098</v>
      </c>
      <c r="B343" s="29">
        <v>46098</v>
      </c>
      <c r="C343" s="30" t="s">
        <v>522</v>
      </c>
      <c r="D343" s="30">
        <v>5</v>
      </c>
      <c r="E343" s="30">
        <f t="shared" si="38"/>
        <v>975</v>
      </c>
      <c r="F343" s="37" t="s">
        <v>27</v>
      </c>
      <c r="G343" s="37" t="s">
        <v>518</v>
      </c>
      <c r="H343" s="32">
        <f>H342-E343</f>
        <v>24960</v>
      </c>
      <c r="I343" s="32"/>
      <c r="J343" s="32"/>
      <c r="K343" s="30">
        <v>260316006</v>
      </c>
      <c r="L343" s="30"/>
      <c r="M343" s="30">
        <f>M340-D343</f>
        <v>0</v>
      </c>
      <c r="N343" s="19">
        <v>46077</v>
      </c>
      <c r="O343" s="21">
        <f t="shared" si="39"/>
        <v>46441</v>
      </c>
    </row>
    <row r="344" spans="1:15" ht="20.149999999999999" hidden="1" customHeight="1" x14ac:dyDescent="0.2">
      <c r="A344" s="40">
        <v>46098</v>
      </c>
      <c r="B344" s="40">
        <v>46098</v>
      </c>
      <c r="C344" s="41" t="s">
        <v>523</v>
      </c>
      <c r="D344" s="41">
        <v>8</v>
      </c>
      <c r="E344" s="41">
        <f t="shared" si="38"/>
        <v>1560</v>
      </c>
      <c r="F344" s="60" t="s">
        <v>26</v>
      </c>
      <c r="G344" s="146" t="s">
        <v>530</v>
      </c>
      <c r="H344" s="42">
        <f>27300-E344</f>
        <v>25740</v>
      </c>
      <c r="I344" s="42"/>
      <c r="J344" s="42"/>
      <c r="K344" s="41">
        <v>260316007</v>
      </c>
      <c r="L344" s="41"/>
      <c r="M344" s="41">
        <f>M304-D344</f>
        <v>29</v>
      </c>
      <c r="N344" s="19">
        <v>46078</v>
      </c>
      <c r="O344" s="21">
        <f t="shared" si="39"/>
        <v>46442</v>
      </c>
    </row>
    <row r="345" spans="1:15" ht="20.149999999999999" hidden="1" customHeight="1" x14ac:dyDescent="0.2">
      <c r="A345" s="40">
        <v>46098</v>
      </c>
      <c r="B345" s="40">
        <v>46098</v>
      </c>
      <c r="C345" s="41" t="s">
        <v>524</v>
      </c>
      <c r="D345" s="41">
        <v>8</v>
      </c>
      <c r="E345" s="41">
        <f t="shared" si="38"/>
        <v>1560</v>
      </c>
      <c r="F345" s="60" t="s">
        <v>26</v>
      </c>
      <c r="G345" s="146" t="s">
        <v>519</v>
      </c>
      <c r="H345" s="42">
        <f>H344-E345</f>
        <v>24180</v>
      </c>
      <c r="I345" s="42"/>
      <c r="J345" s="42"/>
      <c r="K345" s="41">
        <v>260316007</v>
      </c>
      <c r="L345" s="41"/>
      <c r="M345" s="41">
        <f>M305-D345</f>
        <v>29</v>
      </c>
      <c r="N345" s="19">
        <v>46079</v>
      </c>
      <c r="O345" s="21">
        <f t="shared" si="39"/>
        <v>46443</v>
      </c>
    </row>
    <row r="346" spans="1:15" ht="20.149999999999999" hidden="1" customHeight="1" x14ac:dyDescent="0.3">
      <c r="A346" s="26">
        <v>46098</v>
      </c>
      <c r="B346" s="26">
        <v>46099</v>
      </c>
      <c r="C346" s="27" t="s">
        <v>520</v>
      </c>
      <c r="D346" s="27">
        <v>11</v>
      </c>
      <c r="E346" s="27">
        <f t="shared" si="38"/>
        <v>2145</v>
      </c>
      <c r="F346" s="36" t="s">
        <v>315</v>
      </c>
      <c r="G346" s="36" t="s">
        <v>531</v>
      </c>
      <c r="H346" s="28">
        <f>H332-E346</f>
        <v>47775</v>
      </c>
      <c r="I346" s="28"/>
      <c r="J346" s="28"/>
      <c r="K346" s="27">
        <v>260316008</v>
      </c>
      <c r="L346" s="27"/>
      <c r="M346" s="27">
        <f>M342-D346</f>
        <v>0</v>
      </c>
      <c r="N346" s="19">
        <v>46075</v>
      </c>
      <c r="O346" s="21">
        <f t="shared" si="39"/>
        <v>46439</v>
      </c>
    </row>
    <row r="347" spans="1:15" ht="20.149999999999999" hidden="1" customHeight="1" x14ac:dyDescent="0.3">
      <c r="A347" s="26">
        <v>46098</v>
      </c>
      <c r="B347" s="26">
        <v>46099</v>
      </c>
      <c r="C347" s="27" t="s">
        <v>525</v>
      </c>
      <c r="D347" s="27">
        <v>5</v>
      </c>
      <c r="E347" s="27">
        <f t="shared" si="38"/>
        <v>975</v>
      </c>
      <c r="F347" s="36" t="s">
        <v>315</v>
      </c>
      <c r="G347" s="36" t="s">
        <v>441</v>
      </c>
      <c r="H347" s="28">
        <f>H346-E347</f>
        <v>46800</v>
      </c>
      <c r="I347" s="28"/>
      <c r="J347" s="28"/>
      <c r="K347" s="27">
        <v>260316008</v>
      </c>
      <c r="L347" s="27"/>
      <c r="M347" s="27">
        <f>M344-D347</f>
        <v>24</v>
      </c>
      <c r="N347" s="19">
        <v>46078</v>
      </c>
      <c r="O347" s="21">
        <f t="shared" si="39"/>
        <v>46442</v>
      </c>
    </row>
    <row r="348" spans="1:15" ht="20.149999999999999" hidden="1" customHeight="1" x14ac:dyDescent="0.25">
      <c r="A348" s="33">
        <v>46099</v>
      </c>
      <c r="B348" s="33">
        <v>46100</v>
      </c>
      <c r="C348" s="34" t="s">
        <v>450</v>
      </c>
      <c r="D348" s="34">
        <v>8</v>
      </c>
      <c r="E348" s="34">
        <f t="shared" si="38"/>
        <v>1560</v>
      </c>
      <c r="F348" s="39" t="s">
        <v>307</v>
      </c>
      <c r="G348" s="39" t="s">
        <v>423</v>
      </c>
      <c r="H348" s="35">
        <f>H321-E348</f>
        <v>24180</v>
      </c>
      <c r="I348" s="35"/>
      <c r="J348" s="35"/>
      <c r="K348" s="34">
        <v>260317001</v>
      </c>
      <c r="L348" s="34"/>
      <c r="M348" s="34">
        <f>M347-D348</f>
        <v>16</v>
      </c>
      <c r="N348" s="19">
        <v>46078</v>
      </c>
      <c r="O348" s="21">
        <f t="shared" si="39"/>
        <v>46442</v>
      </c>
    </row>
    <row r="349" spans="1:15" ht="20.149999999999999" hidden="1" customHeight="1" x14ac:dyDescent="0.25">
      <c r="A349" s="33">
        <v>46099</v>
      </c>
      <c r="B349" s="33">
        <v>46100</v>
      </c>
      <c r="C349" s="34" t="s">
        <v>536</v>
      </c>
      <c r="D349" s="34">
        <v>16</v>
      </c>
      <c r="E349" s="34">
        <f t="shared" si="38"/>
        <v>3120</v>
      </c>
      <c r="F349" s="39" t="s">
        <v>307</v>
      </c>
      <c r="G349" s="39" t="s">
        <v>423</v>
      </c>
      <c r="H349" s="35">
        <f>H348-E349</f>
        <v>21060</v>
      </c>
      <c r="I349" s="35"/>
      <c r="J349" s="35"/>
      <c r="K349" s="34">
        <v>260317001</v>
      </c>
      <c r="L349" s="34"/>
      <c r="M349" s="34">
        <f>M345-D349</f>
        <v>13</v>
      </c>
      <c r="N349" s="19">
        <v>46079</v>
      </c>
      <c r="O349" s="21">
        <f t="shared" si="39"/>
        <v>46443</v>
      </c>
    </row>
    <row r="350" spans="1:15" ht="20.149999999999999" hidden="1" customHeight="1" x14ac:dyDescent="0.25">
      <c r="A350" s="22">
        <v>46100</v>
      </c>
      <c r="B350" s="22">
        <v>46101</v>
      </c>
      <c r="C350" s="23" t="s">
        <v>542</v>
      </c>
      <c r="D350" s="23">
        <v>1</v>
      </c>
      <c r="E350" s="23">
        <f t="shared" si="38"/>
        <v>195</v>
      </c>
      <c r="F350" s="38" t="s">
        <v>267</v>
      </c>
      <c r="G350" s="38" t="s">
        <v>460</v>
      </c>
      <c r="H350" s="25">
        <f>H336-E350</f>
        <v>25545</v>
      </c>
      <c r="I350" s="25"/>
      <c r="J350" s="25"/>
      <c r="K350" s="23">
        <v>260318003</v>
      </c>
      <c r="L350" s="23"/>
      <c r="M350" s="23">
        <f>M349-D350</f>
        <v>12</v>
      </c>
      <c r="N350" s="19">
        <v>46079</v>
      </c>
      <c r="O350" s="21">
        <f t="shared" si="39"/>
        <v>46443</v>
      </c>
    </row>
    <row r="351" spans="1:15" ht="20.149999999999999" hidden="1" customHeight="1" x14ac:dyDescent="0.25">
      <c r="A351" s="22">
        <v>46100</v>
      </c>
      <c r="B351" s="22">
        <v>46101</v>
      </c>
      <c r="C351" s="23" t="s">
        <v>451</v>
      </c>
      <c r="D351" s="23">
        <v>7</v>
      </c>
      <c r="E351" s="23">
        <f t="shared" si="38"/>
        <v>1365</v>
      </c>
      <c r="F351" s="38" t="s">
        <v>267</v>
      </c>
      <c r="G351" s="38" t="s">
        <v>539</v>
      </c>
      <c r="H351" s="25">
        <f>H350-E351</f>
        <v>24180</v>
      </c>
      <c r="I351" s="25"/>
      <c r="J351" s="25"/>
      <c r="K351" s="23">
        <v>260318003</v>
      </c>
      <c r="L351" s="23"/>
      <c r="M351" s="23">
        <f>M306-D351</f>
        <v>31</v>
      </c>
      <c r="N351" s="19">
        <v>46080</v>
      </c>
      <c r="O351" s="21">
        <f t="shared" si="39"/>
        <v>46444</v>
      </c>
    </row>
    <row r="352" spans="1:15" ht="20.149999999999999" hidden="1" customHeight="1" x14ac:dyDescent="0.3">
      <c r="A352" s="40">
        <v>46100</v>
      </c>
      <c r="B352" s="40">
        <v>46101</v>
      </c>
      <c r="C352" s="41" t="s">
        <v>451</v>
      </c>
      <c r="D352" s="41">
        <v>12</v>
      </c>
      <c r="E352" s="41">
        <f t="shared" si="38"/>
        <v>2340</v>
      </c>
      <c r="F352" s="60" t="s">
        <v>315</v>
      </c>
      <c r="G352" s="60" t="s">
        <v>545</v>
      </c>
      <c r="H352" s="42">
        <f>H347-E352</f>
        <v>44460</v>
      </c>
      <c r="I352" s="42"/>
      <c r="J352" s="42"/>
      <c r="K352" s="41">
        <v>260318004</v>
      </c>
      <c r="L352" s="41"/>
      <c r="M352" s="41">
        <f>M351-D352</f>
        <v>19</v>
      </c>
      <c r="N352" s="19">
        <v>46080</v>
      </c>
      <c r="O352" s="21">
        <f t="shared" si="39"/>
        <v>46444</v>
      </c>
    </row>
    <row r="353" spans="1:15" ht="20.149999999999999" hidden="1" customHeight="1" x14ac:dyDescent="0.2">
      <c r="A353" s="29">
        <v>46100</v>
      </c>
      <c r="B353" s="29">
        <v>46101</v>
      </c>
      <c r="C353" s="30" t="s">
        <v>451</v>
      </c>
      <c r="D353" s="30">
        <v>12</v>
      </c>
      <c r="E353" s="30">
        <f t="shared" si="38"/>
        <v>2340</v>
      </c>
      <c r="F353" s="30" t="s">
        <v>446</v>
      </c>
      <c r="G353" s="30" t="s">
        <v>546</v>
      </c>
      <c r="H353" s="32">
        <f>H338-E353</f>
        <v>8580</v>
      </c>
      <c r="I353" s="32"/>
      <c r="J353" s="32"/>
      <c r="K353" s="30">
        <v>260318005</v>
      </c>
      <c r="L353" s="30"/>
      <c r="M353" s="30">
        <f>M352-D353</f>
        <v>7</v>
      </c>
      <c r="N353" s="19">
        <v>46080</v>
      </c>
      <c r="O353" s="21">
        <f t="shared" si="39"/>
        <v>46444</v>
      </c>
    </row>
    <row r="354" spans="1:15" ht="20.149999999999999" hidden="1" customHeight="1" x14ac:dyDescent="0.2">
      <c r="A354" s="26">
        <v>46100</v>
      </c>
      <c r="B354" s="26">
        <v>46101</v>
      </c>
      <c r="C354" s="27" t="s">
        <v>543</v>
      </c>
      <c r="D354" s="27">
        <v>16</v>
      </c>
      <c r="E354" s="27">
        <f>D354*195</f>
        <v>3120</v>
      </c>
      <c r="F354" s="36" t="s">
        <v>30</v>
      </c>
      <c r="G354" s="36" t="s">
        <v>547</v>
      </c>
      <c r="H354" s="28">
        <f>H339-E354</f>
        <v>12480</v>
      </c>
      <c r="I354" s="28"/>
      <c r="J354" s="28"/>
      <c r="K354" s="27">
        <v>260318006</v>
      </c>
      <c r="L354" s="27"/>
      <c r="M354" s="27">
        <f>M348-D354</f>
        <v>0</v>
      </c>
      <c r="N354" s="19">
        <v>46078</v>
      </c>
      <c r="O354" s="21">
        <f t="shared" si="39"/>
        <v>46442</v>
      </c>
    </row>
    <row r="355" spans="1:15" ht="20.149999999999999" hidden="1" customHeight="1" x14ac:dyDescent="0.2">
      <c r="A355" s="108">
        <v>46100</v>
      </c>
      <c r="B355" s="108">
        <v>46101</v>
      </c>
      <c r="C355" s="109" t="s">
        <v>445</v>
      </c>
      <c r="D355" s="109">
        <v>12</v>
      </c>
      <c r="E355" s="109">
        <f>D355*195</f>
        <v>2340</v>
      </c>
      <c r="F355" s="110" t="s">
        <v>533</v>
      </c>
      <c r="G355" s="110" t="s">
        <v>548</v>
      </c>
      <c r="H355" s="111">
        <f>H340-E355</f>
        <v>17320</v>
      </c>
      <c r="I355" s="111"/>
      <c r="J355" s="111"/>
      <c r="K355" s="109">
        <v>260318007</v>
      </c>
      <c r="L355" s="109"/>
      <c r="M355" s="109">
        <f>M350-D355</f>
        <v>0</v>
      </c>
      <c r="N355" s="19">
        <v>46079</v>
      </c>
      <c r="O355" s="21">
        <f t="shared" si="39"/>
        <v>46443</v>
      </c>
    </row>
    <row r="356" spans="1:15" ht="20.149999999999999" hidden="1" customHeight="1" x14ac:dyDescent="0.25">
      <c r="A356" s="33">
        <v>46101</v>
      </c>
      <c r="B356" s="33">
        <v>46101</v>
      </c>
      <c r="C356" s="34" t="s">
        <v>553</v>
      </c>
      <c r="D356" s="34">
        <v>7</v>
      </c>
      <c r="E356" s="34">
        <f t="shared" ref="E356:E419" si="40">D356*195</f>
        <v>1365</v>
      </c>
      <c r="F356" s="39" t="s">
        <v>27</v>
      </c>
      <c r="G356" s="39" t="s">
        <v>511</v>
      </c>
      <c r="H356" s="35">
        <f>H343-E356</f>
        <v>23595</v>
      </c>
      <c r="I356" s="35"/>
      <c r="J356" s="35"/>
      <c r="K356" s="34">
        <v>260319003</v>
      </c>
      <c r="L356" s="34"/>
      <c r="M356" s="34">
        <f>M353-D356</f>
        <v>0</v>
      </c>
      <c r="N356" s="19">
        <v>46080</v>
      </c>
      <c r="O356" s="21">
        <f t="shared" si="39"/>
        <v>46444</v>
      </c>
    </row>
    <row r="357" spans="1:15" ht="20.149999999999999" hidden="1" customHeight="1" x14ac:dyDescent="0.25">
      <c r="A357" s="33">
        <v>46101</v>
      </c>
      <c r="B357" s="33">
        <v>46101</v>
      </c>
      <c r="C357" s="34" t="s">
        <v>452</v>
      </c>
      <c r="D357" s="34">
        <v>5</v>
      </c>
      <c r="E357" s="34">
        <f t="shared" si="40"/>
        <v>975</v>
      </c>
      <c r="F357" s="39" t="s">
        <v>741</v>
      </c>
      <c r="G357" s="39" t="s">
        <v>551</v>
      </c>
      <c r="H357" s="35">
        <f>H356-E357</f>
        <v>22620</v>
      </c>
      <c r="I357" s="35"/>
      <c r="J357" s="35"/>
      <c r="K357" s="34">
        <v>260319003</v>
      </c>
      <c r="L357" s="34"/>
      <c r="M357" s="34">
        <f>M307-D357</f>
        <v>16</v>
      </c>
      <c r="N357" s="19">
        <v>46081</v>
      </c>
      <c r="O357" s="21">
        <f t="shared" si="39"/>
        <v>46445</v>
      </c>
    </row>
    <row r="358" spans="1:15" ht="20.149999999999999" hidden="1" customHeight="1" x14ac:dyDescent="0.2">
      <c r="A358" s="29">
        <v>46101</v>
      </c>
      <c r="B358" s="29">
        <v>46101</v>
      </c>
      <c r="C358" s="30" t="s">
        <v>452</v>
      </c>
      <c r="D358" s="30">
        <v>12</v>
      </c>
      <c r="E358" s="30">
        <f t="shared" si="40"/>
        <v>2340</v>
      </c>
      <c r="F358" s="37" t="s">
        <v>26</v>
      </c>
      <c r="G358" s="37" t="s">
        <v>519</v>
      </c>
      <c r="H358" s="32">
        <f>H345-E358</f>
        <v>21840</v>
      </c>
      <c r="I358" s="32"/>
      <c r="J358" s="32"/>
      <c r="K358" s="30">
        <v>260319004</v>
      </c>
      <c r="L358" s="30"/>
      <c r="M358" s="30">
        <f>M357-D358</f>
        <v>4</v>
      </c>
      <c r="N358" s="19">
        <v>46081</v>
      </c>
      <c r="O358" s="21">
        <f t="shared" si="39"/>
        <v>46445</v>
      </c>
    </row>
    <row r="359" spans="1:15" ht="20.149999999999999" hidden="1" customHeight="1" x14ac:dyDescent="0.3">
      <c r="A359" s="22">
        <v>46101</v>
      </c>
      <c r="B359" s="22">
        <v>46104</v>
      </c>
      <c r="C359" s="23" t="s">
        <v>452</v>
      </c>
      <c r="D359" s="23">
        <v>4</v>
      </c>
      <c r="E359" s="23">
        <f t="shared" si="40"/>
        <v>780</v>
      </c>
      <c r="F359" s="38" t="s">
        <v>315</v>
      </c>
      <c r="G359" s="38" t="s">
        <v>555</v>
      </c>
      <c r="H359" s="25">
        <f>H352-E359</f>
        <v>43680</v>
      </c>
      <c r="I359" s="25"/>
      <c r="J359" s="25"/>
      <c r="K359" s="23">
        <v>260319005</v>
      </c>
      <c r="L359" s="23"/>
      <c r="M359" s="23">
        <f>M358-D359</f>
        <v>0</v>
      </c>
      <c r="N359" s="19">
        <v>46081</v>
      </c>
      <c r="O359" s="21">
        <f t="shared" si="39"/>
        <v>46445</v>
      </c>
    </row>
    <row r="360" spans="1:15" ht="20.149999999999999" hidden="1" customHeight="1" x14ac:dyDescent="0.3">
      <c r="A360" s="22">
        <v>46101</v>
      </c>
      <c r="B360" s="22">
        <v>46104</v>
      </c>
      <c r="C360" s="23" t="s">
        <v>447</v>
      </c>
      <c r="D360" s="23">
        <v>12</v>
      </c>
      <c r="E360" s="23">
        <f t="shared" si="40"/>
        <v>2340</v>
      </c>
      <c r="F360" s="38" t="s">
        <v>315</v>
      </c>
      <c r="G360" s="38" t="s">
        <v>441</v>
      </c>
      <c r="H360" s="25">
        <f>H359-E360</f>
        <v>41340</v>
      </c>
      <c r="I360" s="25"/>
      <c r="J360" s="25"/>
      <c r="K360" s="23">
        <v>260319005</v>
      </c>
      <c r="L360" s="23"/>
      <c r="M360" s="23">
        <f>M308-D360</f>
        <v>5</v>
      </c>
      <c r="N360" s="19">
        <v>46082</v>
      </c>
      <c r="O360" s="21">
        <f t="shared" si="39"/>
        <v>46446</v>
      </c>
    </row>
    <row r="361" spans="1:15" ht="20.149999999999999" hidden="1" customHeight="1" x14ac:dyDescent="0.2">
      <c r="A361" s="26">
        <v>46104</v>
      </c>
      <c r="B361" s="26">
        <v>46104</v>
      </c>
      <c r="C361" s="27" t="s">
        <v>565</v>
      </c>
      <c r="D361" s="27">
        <v>5</v>
      </c>
      <c r="E361" s="27">
        <f t="shared" si="40"/>
        <v>975</v>
      </c>
      <c r="F361" s="36" t="s">
        <v>26</v>
      </c>
      <c r="G361" s="36" t="s">
        <v>519</v>
      </c>
      <c r="H361" s="28">
        <f>H358-E361</f>
        <v>20865</v>
      </c>
      <c r="I361" s="28"/>
      <c r="J361" s="28"/>
      <c r="K361" s="27">
        <v>260320002</v>
      </c>
      <c r="L361" s="27"/>
      <c r="M361" s="27">
        <f>M360-D361</f>
        <v>0</v>
      </c>
      <c r="N361" s="19">
        <v>46082</v>
      </c>
      <c r="O361" s="21">
        <f t="shared" si="39"/>
        <v>46446</v>
      </c>
    </row>
    <row r="362" spans="1:15" ht="20.149999999999999" hidden="1" customHeight="1" x14ac:dyDescent="0.2">
      <c r="A362" s="26">
        <v>46104</v>
      </c>
      <c r="B362" s="26">
        <v>46104</v>
      </c>
      <c r="C362" s="27" t="s">
        <v>453</v>
      </c>
      <c r="D362" s="27">
        <v>7</v>
      </c>
      <c r="E362" s="27">
        <f t="shared" si="40"/>
        <v>1365</v>
      </c>
      <c r="F362" s="36" t="s">
        <v>26</v>
      </c>
      <c r="G362" s="36" t="s">
        <v>560</v>
      </c>
      <c r="H362" s="28">
        <f>H361-E362</f>
        <v>19500</v>
      </c>
      <c r="I362" s="28"/>
      <c r="J362" s="28"/>
      <c r="K362" s="27">
        <v>260320002</v>
      </c>
      <c r="L362" s="27"/>
      <c r="M362" s="27">
        <f>M309-D362</f>
        <v>31</v>
      </c>
      <c r="N362" s="19">
        <v>46083</v>
      </c>
      <c r="O362" s="21">
        <f t="shared" si="39"/>
        <v>46447</v>
      </c>
    </row>
    <row r="363" spans="1:15" ht="20.149999999999999" hidden="1" customHeight="1" x14ac:dyDescent="0.25">
      <c r="A363" s="108">
        <v>46104</v>
      </c>
      <c r="B363" s="108">
        <v>46105</v>
      </c>
      <c r="C363" s="109" t="s">
        <v>566</v>
      </c>
      <c r="D363" s="109">
        <v>4</v>
      </c>
      <c r="E363" s="109">
        <f t="shared" si="40"/>
        <v>780</v>
      </c>
      <c r="F363" s="110" t="s">
        <v>267</v>
      </c>
      <c r="G363" s="110" t="s">
        <v>570</v>
      </c>
      <c r="H363" s="111">
        <f>H351-E363</f>
        <v>23400</v>
      </c>
      <c r="I363" s="144" t="s">
        <v>12</v>
      </c>
      <c r="J363" s="111"/>
      <c r="K363" s="109">
        <v>260320003</v>
      </c>
      <c r="L363" s="109">
        <v>41</v>
      </c>
      <c r="M363" s="109">
        <f t="shared" ref="M363:M368" si="41">L363-D363</f>
        <v>37</v>
      </c>
      <c r="N363" s="19">
        <v>46089</v>
      </c>
      <c r="O363" s="21">
        <f t="shared" si="39"/>
        <v>46453</v>
      </c>
    </row>
    <row r="364" spans="1:15" ht="20.149999999999999" hidden="1" customHeight="1" x14ac:dyDescent="0.25">
      <c r="A364" s="108">
        <v>46104</v>
      </c>
      <c r="B364" s="108">
        <v>46105</v>
      </c>
      <c r="C364" s="109" t="s">
        <v>567</v>
      </c>
      <c r="D364" s="109">
        <v>4</v>
      </c>
      <c r="E364" s="109">
        <f t="shared" si="40"/>
        <v>780</v>
      </c>
      <c r="F364" s="110" t="s">
        <v>267</v>
      </c>
      <c r="G364" s="110" t="s">
        <v>561</v>
      </c>
      <c r="H364" s="111">
        <f>H363-E364</f>
        <v>22620</v>
      </c>
      <c r="I364" s="144" t="s">
        <v>12</v>
      </c>
      <c r="J364" s="111"/>
      <c r="K364" s="109">
        <v>260320003</v>
      </c>
      <c r="L364" s="109">
        <f>41+1</f>
        <v>42</v>
      </c>
      <c r="M364" s="109">
        <f t="shared" si="41"/>
        <v>38</v>
      </c>
      <c r="N364" s="19">
        <v>46091</v>
      </c>
      <c r="O364" s="21">
        <f t="shared" si="39"/>
        <v>46455</v>
      </c>
    </row>
    <row r="365" spans="1:15" ht="20.149999999999999" hidden="1" customHeight="1" x14ac:dyDescent="0.25">
      <c r="A365" s="108">
        <v>46104</v>
      </c>
      <c r="B365" s="108">
        <v>46105</v>
      </c>
      <c r="C365" s="109" t="s">
        <v>568</v>
      </c>
      <c r="D365" s="109">
        <v>4</v>
      </c>
      <c r="E365" s="109">
        <f t="shared" si="40"/>
        <v>780</v>
      </c>
      <c r="F365" s="110" t="s">
        <v>267</v>
      </c>
      <c r="G365" s="110" t="s">
        <v>460</v>
      </c>
      <c r="H365" s="111">
        <f>H364-E365</f>
        <v>21840</v>
      </c>
      <c r="I365" s="144" t="s">
        <v>12</v>
      </c>
      <c r="J365" s="111" t="s">
        <v>534</v>
      </c>
      <c r="K365" s="109">
        <v>260320003</v>
      </c>
      <c r="L365" s="109">
        <f>42-16</f>
        <v>26</v>
      </c>
      <c r="M365" s="109">
        <f t="shared" si="41"/>
        <v>22</v>
      </c>
      <c r="N365" s="19">
        <v>46092</v>
      </c>
      <c r="O365" s="21">
        <f t="shared" si="39"/>
        <v>46456</v>
      </c>
    </row>
    <row r="366" spans="1:15" ht="20.149999999999999" hidden="1" customHeight="1" x14ac:dyDescent="0.2">
      <c r="A366" s="33">
        <v>46104</v>
      </c>
      <c r="B366" s="33">
        <v>46105</v>
      </c>
      <c r="C366" s="34" t="s">
        <v>556</v>
      </c>
      <c r="D366" s="34">
        <v>4</v>
      </c>
      <c r="E366" s="34">
        <f t="shared" si="40"/>
        <v>780</v>
      </c>
      <c r="F366" s="34" t="s">
        <v>446</v>
      </c>
      <c r="G366" s="34" t="s">
        <v>325</v>
      </c>
      <c r="H366" s="35">
        <f>H353-E366</f>
        <v>7800</v>
      </c>
      <c r="I366" s="63" t="s">
        <v>12</v>
      </c>
      <c r="J366" s="35" t="s">
        <v>535</v>
      </c>
      <c r="K366" s="34">
        <v>260320004</v>
      </c>
      <c r="L366" s="34">
        <f>41-20</f>
        <v>21</v>
      </c>
      <c r="M366" s="34">
        <f t="shared" si="41"/>
        <v>17</v>
      </c>
      <c r="N366" s="19">
        <v>46093</v>
      </c>
      <c r="O366" s="21">
        <f t="shared" si="39"/>
        <v>46457</v>
      </c>
    </row>
    <row r="367" spans="1:15" ht="20.149999999999999" hidden="1" customHeight="1" x14ac:dyDescent="0.2">
      <c r="A367" s="33">
        <v>46104</v>
      </c>
      <c r="B367" s="33">
        <v>46105</v>
      </c>
      <c r="C367" s="34" t="s">
        <v>557</v>
      </c>
      <c r="D367" s="34">
        <v>4</v>
      </c>
      <c r="E367" s="34">
        <f t="shared" si="40"/>
        <v>780</v>
      </c>
      <c r="F367" s="34" t="s">
        <v>446</v>
      </c>
      <c r="G367" s="34" t="s">
        <v>562</v>
      </c>
      <c r="H367" s="35">
        <f>H366-E367</f>
        <v>7020</v>
      </c>
      <c r="I367" s="63" t="s">
        <v>12</v>
      </c>
      <c r="J367" s="35"/>
      <c r="K367" s="34">
        <v>260320004</v>
      </c>
      <c r="L367" s="34">
        <v>42</v>
      </c>
      <c r="M367" s="34">
        <f t="shared" si="41"/>
        <v>38</v>
      </c>
      <c r="N367" s="19">
        <v>46094</v>
      </c>
      <c r="O367" s="21">
        <f t="shared" si="39"/>
        <v>46458</v>
      </c>
    </row>
    <row r="368" spans="1:15" ht="20.149999999999999" hidden="1" customHeight="1" x14ac:dyDescent="0.2">
      <c r="A368" s="33">
        <v>46104</v>
      </c>
      <c r="B368" s="33">
        <v>46105</v>
      </c>
      <c r="C368" s="34" t="s">
        <v>558</v>
      </c>
      <c r="D368" s="34">
        <v>4</v>
      </c>
      <c r="E368" s="34">
        <f t="shared" si="40"/>
        <v>780</v>
      </c>
      <c r="F368" s="34" t="s">
        <v>446</v>
      </c>
      <c r="G368" s="34" t="s">
        <v>563</v>
      </c>
      <c r="H368" s="35">
        <f>H367-E368</f>
        <v>6240</v>
      </c>
      <c r="I368" s="63" t="s">
        <v>12</v>
      </c>
      <c r="J368" s="35"/>
      <c r="K368" s="34">
        <v>260320004</v>
      </c>
      <c r="L368" s="34">
        <f>41+1</f>
        <v>42</v>
      </c>
      <c r="M368" s="34">
        <f t="shared" si="41"/>
        <v>38</v>
      </c>
      <c r="N368" s="19">
        <v>46095</v>
      </c>
      <c r="O368" s="21">
        <f t="shared" si="39"/>
        <v>46459</v>
      </c>
    </row>
    <row r="369" spans="1:338" ht="20.149999999999999" hidden="1" customHeight="1" x14ac:dyDescent="0.25">
      <c r="A369" s="29">
        <v>46105</v>
      </c>
      <c r="B369" s="29">
        <v>46105</v>
      </c>
      <c r="C369" s="30" t="s">
        <v>453</v>
      </c>
      <c r="D369" s="30">
        <v>4</v>
      </c>
      <c r="E369" s="30">
        <f t="shared" si="40"/>
        <v>780</v>
      </c>
      <c r="F369" s="37" t="s">
        <v>29</v>
      </c>
      <c r="G369" s="37" t="s">
        <v>578</v>
      </c>
      <c r="H369" s="32">
        <f>H341-E369</f>
        <v>71920</v>
      </c>
      <c r="I369" s="32"/>
      <c r="J369" s="32"/>
      <c r="K369" s="30">
        <v>260323003</v>
      </c>
      <c r="L369" s="30"/>
      <c r="M369" s="30">
        <f>M362-D369</f>
        <v>27</v>
      </c>
      <c r="N369" s="19">
        <v>46083</v>
      </c>
      <c r="O369" s="21">
        <f t="shared" si="39"/>
        <v>46447</v>
      </c>
    </row>
    <row r="370" spans="1:338" ht="20.149999999999999" hidden="1" customHeight="1" x14ac:dyDescent="0.25">
      <c r="A370" s="26">
        <v>46105</v>
      </c>
      <c r="B370" s="26">
        <v>46105</v>
      </c>
      <c r="C370" s="27" t="s">
        <v>573</v>
      </c>
      <c r="D370" s="27">
        <v>8</v>
      </c>
      <c r="E370" s="27">
        <f t="shared" si="40"/>
        <v>1560</v>
      </c>
      <c r="F370" s="36" t="s">
        <v>27</v>
      </c>
      <c r="G370" s="36" t="s">
        <v>579</v>
      </c>
      <c r="H370" s="28">
        <f>H357-E370</f>
        <v>21060</v>
      </c>
      <c r="I370" s="28"/>
      <c r="J370" s="28"/>
      <c r="K370" s="27">
        <v>260323004</v>
      </c>
      <c r="L370" s="27"/>
      <c r="M370" s="27">
        <f>M369-D370</f>
        <v>19</v>
      </c>
      <c r="N370" s="19">
        <v>46083</v>
      </c>
      <c r="O370" s="21">
        <f t="shared" si="39"/>
        <v>46447</v>
      </c>
    </row>
    <row r="371" spans="1:338" ht="20.149999999999999" hidden="1" customHeight="1" x14ac:dyDescent="0.2">
      <c r="A371" s="40">
        <v>46105</v>
      </c>
      <c r="B371" s="40">
        <v>46105</v>
      </c>
      <c r="C371" s="41" t="s">
        <v>573</v>
      </c>
      <c r="D371" s="41">
        <v>7</v>
      </c>
      <c r="E371" s="41">
        <f t="shared" si="40"/>
        <v>1365</v>
      </c>
      <c r="F371" s="60" t="s">
        <v>26</v>
      </c>
      <c r="G371" s="60" t="s">
        <v>584</v>
      </c>
      <c r="H371" s="42">
        <f>H362-E371</f>
        <v>18135</v>
      </c>
      <c r="I371" s="42"/>
      <c r="J371" s="42"/>
      <c r="K371" s="41" t="s">
        <v>583</v>
      </c>
      <c r="L371" s="41"/>
      <c r="M371" s="41">
        <f>M370-D371</f>
        <v>12</v>
      </c>
      <c r="N371" s="19">
        <v>46083</v>
      </c>
      <c r="O371" s="21">
        <f t="shared" si="39"/>
        <v>46447</v>
      </c>
    </row>
    <row r="372" spans="1:338" ht="20.149999999999999" hidden="1" customHeight="1" x14ac:dyDescent="0.2">
      <c r="A372" s="40">
        <v>46105</v>
      </c>
      <c r="B372" s="40">
        <v>46105</v>
      </c>
      <c r="C372" s="41" t="s">
        <v>513</v>
      </c>
      <c r="D372" s="62">
        <v>9</v>
      </c>
      <c r="E372" s="41">
        <f t="shared" si="40"/>
        <v>1755</v>
      </c>
      <c r="F372" s="60" t="s">
        <v>26</v>
      </c>
      <c r="G372" s="60" t="s">
        <v>571</v>
      </c>
      <c r="H372" s="42">
        <f>H371-E372</f>
        <v>16380</v>
      </c>
      <c r="I372" s="42"/>
      <c r="J372" s="42"/>
      <c r="K372" s="41" t="s">
        <v>582</v>
      </c>
      <c r="L372" s="41"/>
      <c r="M372" s="41">
        <f>M334-D372</f>
        <v>29</v>
      </c>
      <c r="N372" s="19">
        <v>46084</v>
      </c>
      <c r="O372" s="21">
        <f t="shared" si="39"/>
        <v>46448</v>
      </c>
    </row>
    <row r="373" spans="1:338" ht="20.149999999999999" hidden="1" customHeight="1" x14ac:dyDescent="0.3">
      <c r="A373" s="22">
        <v>46105</v>
      </c>
      <c r="B373" s="22">
        <v>46106</v>
      </c>
      <c r="C373" s="23" t="s">
        <v>513</v>
      </c>
      <c r="D373" s="75">
        <v>16</v>
      </c>
      <c r="E373" s="23">
        <f t="shared" si="40"/>
        <v>3120</v>
      </c>
      <c r="F373" s="38" t="s">
        <v>315</v>
      </c>
      <c r="G373" s="38" t="s">
        <v>441</v>
      </c>
      <c r="H373" s="25">
        <f>H360-E373</f>
        <v>38220</v>
      </c>
      <c r="I373" s="25"/>
      <c r="J373" s="25"/>
      <c r="K373" s="23" t="s">
        <v>581</v>
      </c>
      <c r="L373" s="23"/>
      <c r="M373" s="23">
        <f>M372-D373</f>
        <v>13</v>
      </c>
      <c r="N373" s="19">
        <v>46084</v>
      </c>
      <c r="O373" s="21">
        <f t="shared" si="39"/>
        <v>46448</v>
      </c>
    </row>
    <row r="374" spans="1:338" ht="20.149999999999999" hidden="1" customHeight="1" x14ac:dyDescent="0.2">
      <c r="A374" s="33">
        <v>46105</v>
      </c>
      <c r="B374" s="33">
        <v>46106</v>
      </c>
      <c r="C374" s="34" t="s">
        <v>574</v>
      </c>
      <c r="D374" s="34">
        <v>12</v>
      </c>
      <c r="E374" s="34">
        <f t="shared" si="40"/>
        <v>2340</v>
      </c>
      <c r="F374" s="39" t="s">
        <v>30</v>
      </c>
      <c r="G374" s="39" t="s">
        <v>580</v>
      </c>
      <c r="H374" s="35">
        <f>H354-E374</f>
        <v>10140</v>
      </c>
      <c r="I374" s="35"/>
      <c r="J374" s="35"/>
      <c r="K374" s="34">
        <v>260323007</v>
      </c>
      <c r="L374" s="34"/>
      <c r="M374" s="34">
        <f>M371-D374</f>
        <v>0</v>
      </c>
      <c r="N374" s="19">
        <v>46083</v>
      </c>
      <c r="O374" s="21">
        <f t="shared" si="39"/>
        <v>46447</v>
      </c>
    </row>
    <row r="375" spans="1:338" ht="20.149999999999999" hidden="1" customHeight="1" x14ac:dyDescent="0.2">
      <c r="A375" s="103">
        <v>46105</v>
      </c>
      <c r="B375" s="103">
        <v>46106</v>
      </c>
      <c r="C375" s="104" t="s">
        <v>513</v>
      </c>
      <c r="D375" s="104">
        <v>12</v>
      </c>
      <c r="E375" s="104">
        <f t="shared" si="40"/>
        <v>2340</v>
      </c>
      <c r="F375" s="105" t="s">
        <v>31</v>
      </c>
      <c r="G375" s="105" t="s">
        <v>87</v>
      </c>
      <c r="H375" s="106">
        <f>H355-E375</f>
        <v>14980</v>
      </c>
      <c r="I375" s="106"/>
      <c r="J375" s="106"/>
      <c r="K375" s="104">
        <v>260323008</v>
      </c>
      <c r="L375" s="104"/>
      <c r="M375" s="104">
        <f>M373-D375</f>
        <v>1</v>
      </c>
      <c r="N375" s="19">
        <v>46084</v>
      </c>
      <c r="O375" s="21">
        <f t="shared" si="39"/>
        <v>46448</v>
      </c>
    </row>
    <row r="376" spans="1:338" ht="20.149999999999999" hidden="1" customHeight="1" x14ac:dyDescent="0.25">
      <c r="A376" s="29">
        <v>46106</v>
      </c>
      <c r="B376" s="29">
        <v>46107</v>
      </c>
      <c r="C376" s="30" t="s">
        <v>513</v>
      </c>
      <c r="D376" s="30">
        <v>1</v>
      </c>
      <c r="E376" s="30">
        <f t="shared" si="40"/>
        <v>195</v>
      </c>
      <c r="F376" s="37" t="s">
        <v>307</v>
      </c>
      <c r="G376" s="37" t="s">
        <v>423</v>
      </c>
      <c r="H376" s="32">
        <f>H349-E376</f>
        <v>20865</v>
      </c>
      <c r="I376" s="32"/>
      <c r="J376" s="32"/>
      <c r="K376" s="30">
        <v>260324004</v>
      </c>
      <c r="L376" s="30"/>
      <c r="M376" s="30">
        <f>M375-D376</f>
        <v>0</v>
      </c>
      <c r="N376" s="19">
        <v>46084</v>
      </c>
      <c r="O376" s="21">
        <f t="shared" si="39"/>
        <v>46448</v>
      </c>
    </row>
    <row r="377" spans="1:338" ht="20.149999999999999" hidden="1" customHeight="1" x14ac:dyDescent="0.25">
      <c r="A377" s="29">
        <v>46106</v>
      </c>
      <c r="B377" s="29">
        <v>46107</v>
      </c>
      <c r="C377" s="30" t="s">
        <v>514</v>
      </c>
      <c r="D377" s="30">
        <v>22</v>
      </c>
      <c r="E377" s="30">
        <f t="shared" si="40"/>
        <v>4290</v>
      </c>
      <c r="F377" s="37" t="s">
        <v>307</v>
      </c>
      <c r="G377" s="37" t="s">
        <v>585</v>
      </c>
      <c r="H377" s="32">
        <f>H376-E377</f>
        <v>16575</v>
      </c>
      <c r="I377" s="32"/>
      <c r="J377" s="32"/>
      <c r="K377" s="30">
        <v>260324004</v>
      </c>
      <c r="L377" s="30"/>
      <c r="M377" s="30">
        <f>M335-D377</f>
        <v>0</v>
      </c>
      <c r="N377" s="19">
        <v>46085</v>
      </c>
      <c r="O377" s="21">
        <f t="shared" si="39"/>
        <v>46449</v>
      </c>
    </row>
    <row r="378" spans="1:338" ht="20.149999999999999" hidden="1" customHeight="1" x14ac:dyDescent="0.25">
      <c r="A378" s="29">
        <v>46106</v>
      </c>
      <c r="B378" s="29">
        <v>46107</v>
      </c>
      <c r="C378" s="30" t="s">
        <v>515</v>
      </c>
      <c r="D378" s="30">
        <v>1</v>
      </c>
      <c r="E378" s="30">
        <f t="shared" si="40"/>
        <v>195</v>
      </c>
      <c r="F378" s="37" t="s">
        <v>307</v>
      </c>
      <c r="G378" s="37" t="s">
        <v>423</v>
      </c>
      <c r="H378" s="32">
        <f>H377-E378</f>
        <v>16380</v>
      </c>
      <c r="I378" s="32"/>
      <c r="J378" s="32"/>
      <c r="K378" s="30">
        <v>260324004</v>
      </c>
      <c r="L378" s="30"/>
      <c r="M378" s="30">
        <f>M336-D378</f>
        <v>17</v>
      </c>
      <c r="N378" s="19">
        <v>46086</v>
      </c>
      <c r="O378" s="21">
        <f t="shared" si="39"/>
        <v>46450</v>
      </c>
    </row>
    <row r="379" spans="1:338" ht="20.149999999999999" hidden="1" customHeight="1" x14ac:dyDescent="0.25">
      <c r="A379" s="26">
        <v>46107</v>
      </c>
      <c r="B379" s="26">
        <v>46108</v>
      </c>
      <c r="C379" s="27" t="s">
        <v>515</v>
      </c>
      <c r="D379" s="27">
        <v>5</v>
      </c>
      <c r="E379" s="27">
        <f t="shared" si="40"/>
        <v>975</v>
      </c>
      <c r="F379" s="36" t="s">
        <v>267</v>
      </c>
      <c r="G379" s="36" t="s">
        <v>592</v>
      </c>
      <c r="H379" s="28">
        <f>H365-E379</f>
        <v>20865</v>
      </c>
      <c r="I379" s="28"/>
      <c r="J379" s="28"/>
      <c r="K379" s="27">
        <v>260325006</v>
      </c>
      <c r="L379" s="27"/>
      <c r="M379" s="27">
        <f>M378-D379</f>
        <v>12</v>
      </c>
      <c r="N379" s="19">
        <v>46086</v>
      </c>
      <c r="O379" s="21">
        <f t="shared" si="39"/>
        <v>46450</v>
      </c>
    </row>
    <row r="380" spans="1:338" ht="20.149999999999999" hidden="1" customHeight="1" x14ac:dyDescent="0.25">
      <c r="A380" s="26">
        <v>46107</v>
      </c>
      <c r="B380" s="26">
        <v>46108</v>
      </c>
      <c r="C380" s="27" t="s">
        <v>589</v>
      </c>
      <c r="D380" s="27">
        <v>7</v>
      </c>
      <c r="E380" s="27">
        <f t="shared" si="40"/>
        <v>1365</v>
      </c>
      <c r="F380" s="36" t="s">
        <v>267</v>
      </c>
      <c r="G380" s="36" t="s">
        <v>460</v>
      </c>
      <c r="H380" s="28">
        <f>H379-E380</f>
        <v>19500</v>
      </c>
      <c r="I380" s="28"/>
      <c r="J380" s="28"/>
      <c r="K380" s="27">
        <v>260325006</v>
      </c>
      <c r="L380" s="27"/>
      <c r="M380" s="27">
        <f>M337-D380</f>
        <v>30</v>
      </c>
      <c r="N380" s="19">
        <v>46087</v>
      </c>
      <c r="O380" s="21">
        <f t="shared" si="39"/>
        <v>46451</v>
      </c>
    </row>
    <row r="381" spans="1:338" ht="20.149999999999999" hidden="1" customHeight="1" x14ac:dyDescent="0.3">
      <c r="A381" s="40">
        <v>46107</v>
      </c>
      <c r="B381" s="40">
        <v>46108</v>
      </c>
      <c r="C381" s="41" t="s">
        <v>590</v>
      </c>
      <c r="D381" s="41">
        <v>16</v>
      </c>
      <c r="E381" s="41">
        <f t="shared" si="40"/>
        <v>3120</v>
      </c>
      <c r="F381" s="60" t="s">
        <v>315</v>
      </c>
      <c r="G381" s="60" t="s">
        <v>593</v>
      </c>
      <c r="H381" s="42">
        <f>H373-E381</f>
        <v>35100</v>
      </c>
      <c r="I381" s="42"/>
      <c r="J381" s="42"/>
      <c r="K381" s="41">
        <v>260325007</v>
      </c>
      <c r="L381" s="41"/>
      <c r="M381" s="41">
        <f>M380-D381</f>
        <v>14</v>
      </c>
      <c r="N381" s="19">
        <v>46087</v>
      </c>
      <c r="O381" s="21">
        <f t="shared" si="39"/>
        <v>46451</v>
      </c>
    </row>
    <row r="382" spans="1:338" ht="20.149999999999999" hidden="1" customHeight="1" x14ac:dyDescent="0.2">
      <c r="A382" s="22">
        <v>46107</v>
      </c>
      <c r="B382" s="22">
        <v>46108</v>
      </c>
      <c r="C382" s="23" t="s">
        <v>515</v>
      </c>
      <c r="D382" s="23">
        <v>12</v>
      </c>
      <c r="E382" s="23">
        <f t="shared" si="40"/>
        <v>2340</v>
      </c>
      <c r="F382" s="23" t="s">
        <v>446</v>
      </c>
      <c r="G382" s="23" t="s">
        <v>594</v>
      </c>
      <c r="H382" s="25">
        <f>H368-E382</f>
        <v>3900</v>
      </c>
      <c r="I382" s="25"/>
      <c r="J382" s="25"/>
      <c r="K382" s="23">
        <v>260325008</v>
      </c>
      <c r="L382" s="23"/>
      <c r="M382" s="23">
        <f>M379-D382</f>
        <v>0</v>
      </c>
      <c r="N382" s="19">
        <v>46086</v>
      </c>
      <c r="O382" s="21">
        <f t="shared" si="39"/>
        <v>46450</v>
      </c>
    </row>
    <row r="383" spans="1:338" s="151" customFormat="1" ht="20.149999999999999" hidden="1" customHeight="1" x14ac:dyDescent="0.25">
      <c r="A383" s="33">
        <v>46108</v>
      </c>
      <c r="B383" s="33">
        <v>46108</v>
      </c>
      <c r="C383" s="34" t="s">
        <v>600</v>
      </c>
      <c r="D383" s="34">
        <v>4</v>
      </c>
      <c r="E383" s="34">
        <f t="shared" si="40"/>
        <v>780</v>
      </c>
      <c r="F383" s="39" t="s">
        <v>29</v>
      </c>
      <c r="G383" s="39" t="s">
        <v>603</v>
      </c>
      <c r="H383" s="35">
        <f>H369-E383</f>
        <v>71140</v>
      </c>
      <c r="I383" s="35"/>
      <c r="J383" s="35"/>
      <c r="K383" s="34">
        <v>260326004</v>
      </c>
      <c r="L383" s="34"/>
      <c r="M383" s="34">
        <f>M381-D383</f>
        <v>10</v>
      </c>
      <c r="N383" s="150">
        <v>46087</v>
      </c>
      <c r="O383" s="21">
        <f t="shared" si="39"/>
        <v>46451</v>
      </c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  <c r="AN383" s="50"/>
      <c r="AO383" s="50"/>
      <c r="AP383" s="50"/>
      <c r="AQ383" s="50"/>
      <c r="AR383" s="50"/>
      <c r="AS383" s="50"/>
      <c r="AT383" s="50"/>
      <c r="AU383" s="50"/>
      <c r="AV383" s="50"/>
      <c r="AW383" s="50"/>
      <c r="AX383" s="50"/>
      <c r="AY383" s="50"/>
      <c r="AZ383" s="50"/>
      <c r="BA383" s="50"/>
      <c r="BB383" s="50"/>
      <c r="BC383" s="50"/>
      <c r="BD383" s="50"/>
      <c r="BE383" s="50"/>
      <c r="BF383" s="50"/>
      <c r="BG383" s="50"/>
      <c r="BH383" s="50"/>
      <c r="BI383" s="50"/>
      <c r="BJ383" s="50"/>
      <c r="BK383" s="50"/>
      <c r="BL383" s="50"/>
      <c r="BM383" s="50"/>
      <c r="BN383" s="50"/>
      <c r="BO383" s="50"/>
      <c r="BP383" s="50"/>
      <c r="BQ383" s="50"/>
      <c r="BR383" s="50"/>
      <c r="BS383" s="50"/>
      <c r="BT383" s="50"/>
      <c r="BU383" s="50"/>
      <c r="BV383" s="50"/>
      <c r="BW383" s="50"/>
      <c r="BX383" s="50"/>
      <c r="BY383" s="50"/>
      <c r="BZ383" s="50"/>
      <c r="CA383" s="50"/>
      <c r="CB383" s="50"/>
      <c r="CC383" s="50"/>
      <c r="CD383" s="50"/>
      <c r="CE383" s="50"/>
      <c r="CF383" s="50"/>
      <c r="CG383" s="50"/>
      <c r="CH383" s="50"/>
      <c r="CI383" s="50"/>
      <c r="CJ383" s="50"/>
      <c r="CK383" s="50"/>
      <c r="CL383" s="50"/>
      <c r="CM383" s="50"/>
      <c r="CN383" s="50"/>
      <c r="CO383" s="50"/>
      <c r="CP383" s="50"/>
      <c r="CQ383" s="50"/>
      <c r="CR383" s="50"/>
      <c r="CS383" s="50"/>
      <c r="CT383" s="50"/>
      <c r="CU383" s="50"/>
      <c r="CV383" s="50"/>
      <c r="CW383" s="50"/>
      <c r="CX383" s="50"/>
      <c r="CY383" s="50"/>
      <c r="CZ383" s="50"/>
      <c r="DA383" s="50"/>
      <c r="DB383" s="50"/>
      <c r="DC383" s="50"/>
      <c r="DD383" s="50"/>
      <c r="DE383" s="50"/>
      <c r="DF383" s="50"/>
      <c r="DG383" s="50"/>
      <c r="DH383" s="50"/>
      <c r="DI383" s="50"/>
      <c r="DJ383" s="50"/>
      <c r="DK383" s="50"/>
      <c r="DL383" s="50"/>
      <c r="DM383" s="50"/>
      <c r="DN383" s="50"/>
      <c r="DO383" s="50"/>
      <c r="DP383" s="50"/>
      <c r="DQ383" s="50"/>
      <c r="DR383" s="50"/>
      <c r="DS383" s="50"/>
      <c r="DT383" s="50"/>
      <c r="DU383" s="50"/>
      <c r="DV383" s="50"/>
      <c r="DW383" s="50"/>
      <c r="DX383" s="50"/>
      <c r="DY383" s="50"/>
      <c r="DZ383" s="50"/>
      <c r="EA383" s="50"/>
      <c r="EB383" s="50"/>
      <c r="EC383" s="50"/>
      <c r="ED383" s="50"/>
      <c r="EE383" s="50"/>
      <c r="EF383" s="50"/>
      <c r="EG383" s="50"/>
      <c r="EH383" s="50"/>
      <c r="EI383" s="50"/>
      <c r="EJ383" s="50"/>
      <c r="EK383" s="50"/>
      <c r="EL383" s="50"/>
      <c r="EM383" s="50"/>
      <c r="EN383" s="50"/>
      <c r="EO383" s="50"/>
      <c r="EP383" s="50"/>
      <c r="EQ383" s="50"/>
      <c r="ER383" s="50"/>
      <c r="ES383" s="50"/>
      <c r="ET383" s="50"/>
      <c r="EU383" s="50"/>
      <c r="EV383" s="50"/>
      <c r="EW383" s="50"/>
      <c r="EX383" s="50"/>
      <c r="EY383" s="50"/>
      <c r="EZ383" s="50"/>
      <c r="FA383" s="50"/>
      <c r="FB383" s="50"/>
      <c r="FC383" s="50"/>
      <c r="FD383" s="50"/>
      <c r="FE383" s="50"/>
      <c r="FF383" s="50"/>
      <c r="FG383" s="50"/>
      <c r="FH383" s="50"/>
      <c r="FI383" s="50"/>
      <c r="FJ383" s="50"/>
      <c r="FK383" s="50"/>
      <c r="FL383" s="50"/>
      <c r="FM383" s="50"/>
      <c r="FN383" s="50"/>
      <c r="FO383" s="50"/>
      <c r="FP383" s="50"/>
      <c r="FQ383" s="50"/>
      <c r="FR383" s="50"/>
      <c r="FS383" s="50"/>
      <c r="FT383" s="50"/>
      <c r="FU383" s="50"/>
      <c r="FV383" s="50"/>
      <c r="FW383" s="50"/>
      <c r="FX383" s="50"/>
      <c r="FY383" s="50"/>
      <c r="FZ383" s="50"/>
      <c r="GA383" s="50"/>
      <c r="GB383" s="50"/>
      <c r="GC383" s="50"/>
      <c r="GD383" s="50"/>
      <c r="GE383" s="50"/>
      <c r="GF383" s="50"/>
      <c r="GG383" s="50"/>
      <c r="GH383" s="50"/>
      <c r="GI383" s="50"/>
      <c r="GJ383" s="50"/>
      <c r="GK383" s="50"/>
      <c r="GL383" s="50"/>
      <c r="GM383" s="50"/>
      <c r="GN383" s="50"/>
      <c r="GO383" s="50"/>
      <c r="GP383" s="50"/>
      <c r="GQ383" s="50"/>
      <c r="GR383" s="50"/>
      <c r="GS383" s="50"/>
      <c r="GT383" s="50"/>
      <c r="GU383" s="50"/>
      <c r="GV383" s="50"/>
      <c r="GW383" s="50"/>
      <c r="GX383" s="50"/>
      <c r="GY383" s="50"/>
      <c r="GZ383" s="50"/>
      <c r="HA383" s="50"/>
      <c r="HB383" s="50"/>
      <c r="HC383" s="50"/>
      <c r="HD383" s="50"/>
      <c r="HE383" s="50"/>
      <c r="HF383" s="50"/>
      <c r="HG383" s="50"/>
      <c r="HH383" s="50"/>
      <c r="HI383" s="50"/>
      <c r="HJ383" s="50"/>
      <c r="HK383" s="50"/>
      <c r="HL383" s="50"/>
      <c r="HM383" s="50"/>
      <c r="HN383" s="50"/>
      <c r="HO383" s="50"/>
      <c r="HP383" s="50"/>
      <c r="HQ383" s="50"/>
      <c r="HR383" s="50"/>
      <c r="HS383" s="50"/>
      <c r="HT383" s="50"/>
      <c r="HU383" s="50"/>
      <c r="HV383" s="50"/>
      <c r="HW383" s="50"/>
      <c r="HX383" s="50"/>
      <c r="HY383" s="50"/>
      <c r="HZ383" s="50"/>
      <c r="IA383" s="50"/>
      <c r="IB383" s="50"/>
      <c r="IC383" s="50"/>
      <c r="ID383" s="50"/>
      <c r="IE383" s="50"/>
      <c r="IF383" s="50"/>
      <c r="IG383" s="50"/>
      <c r="IH383" s="50"/>
      <c r="II383" s="50"/>
      <c r="IJ383" s="50"/>
      <c r="IK383" s="50"/>
      <c r="IL383" s="50"/>
      <c r="IM383" s="50"/>
      <c r="IN383" s="50"/>
      <c r="IO383" s="50"/>
      <c r="IP383" s="50"/>
      <c r="IQ383" s="50"/>
      <c r="IR383" s="50"/>
      <c r="IS383" s="50"/>
      <c r="IT383" s="50"/>
      <c r="IU383" s="50"/>
      <c r="IV383" s="50"/>
      <c r="IW383" s="50"/>
      <c r="IX383" s="50"/>
      <c r="IY383" s="50"/>
      <c r="IZ383" s="50"/>
      <c r="JA383" s="50"/>
      <c r="JB383" s="50"/>
      <c r="JC383" s="50"/>
      <c r="JD383" s="50"/>
      <c r="JE383" s="50"/>
      <c r="JF383" s="50"/>
      <c r="JG383" s="50"/>
      <c r="JH383" s="50"/>
      <c r="JI383" s="50"/>
      <c r="JJ383" s="50"/>
      <c r="JK383" s="50"/>
      <c r="JL383" s="50"/>
      <c r="JM383" s="50"/>
      <c r="JN383" s="50"/>
      <c r="JO383" s="50"/>
      <c r="JP383" s="50"/>
      <c r="JQ383" s="50"/>
      <c r="JR383" s="50"/>
      <c r="JS383" s="50"/>
      <c r="JT383" s="50"/>
      <c r="JU383" s="50"/>
      <c r="JV383" s="50"/>
      <c r="JW383" s="50"/>
      <c r="JX383" s="50"/>
      <c r="JY383" s="50"/>
      <c r="JZ383" s="50"/>
      <c r="KA383" s="50"/>
      <c r="KB383" s="50"/>
      <c r="KC383" s="50"/>
      <c r="KD383" s="50"/>
      <c r="KE383" s="50"/>
      <c r="KF383" s="50"/>
      <c r="KG383" s="50"/>
      <c r="KH383" s="50"/>
      <c r="KI383" s="50"/>
      <c r="KJ383" s="50"/>
      <c r="KK383" s="50"/>
      <c r="KL383" s="50"/>
      <c r="KM383" s="50"/>
      <c r="KN383" s="50"/>
      <c r="KO383" s="50"/>
      <c r="KP383" s="50"/>
      <c r="KQ383" s="50"/>
      <c r="KR383" s="50"/>
      <c r="KS383" s="50"/>
      <c r="KT383" s="50"/>
      <c r="KU383" s="50"/>
      <c r="KV383" s="50"/>
      <c r="KW383" s="50"/>
      <c r="KX383" s="50"/>
      <c r="KY383" s="50"/>
      <c r="KZ383" s="50"/>
      <c r="LA383" s="50"/>
      <c r="LB383" s="50"/>
      <c r="LC383" s="50"/>
      <c r="LD383" s="50"/>
      <c r="LE383" s="50"/>
      <c r="LF383" s="50"/>
      <c r="LG383" s="50"/>
      <c r="LH383" s="50"/>
      <c r="LI383" s="50"/>
      <c r="LJ383" s="50"/>
      <c r="LK383" s="50"/>
      <c r="LL383" s="50"/>
      <c r="LM383" s="50"/>
      <c r="LN383" s="50"/>
      <c r="LO383" s="50"/>
      <c r="LP383" s="50"/>
      <c r="LQ383" s="50"/>
      <c r="LR383" s="50"/>
      <c r="LS383" s="50"/>
      <c r="LT383" s="50"/>
      <c r="LU383" s="50"/>
      <c r="LV383" s="50"/>
      <c r="LW383" s="50"/>
      <c r="LX383" s="50"/>
      <c r="LY383" s="50"/>
      <c r="LZ383" s="50"/>
    </row>
    <row r="384" spans="1:338" ht="20.149999999999999" hidden="1" customHeight="1" x14ac:dyDescent="0.25">
      <c r="A384" s="40">
        <v>46108</v>
      </c>
      <c r="B384" s="40">
        <v>46108</v>
      </c>
      <c r="C384" s="41" t="s">
        <v>516</v>
      </c>
      <c r="D384" s="41">
        <v>8</v>
      </c>
      <c r="E384" s="41">
        <f t="shared" si="40"/>
        <v>1560</v>
      </c>
      <c r="F384" s="60" t="s">
        <v>27</v>
      </c>
      <c r="G384" s="60" t="s">
        <v>604</v>
      </c>
      <c r="H384" s="42">
        <f>H370-E384</f>
        <v>19500</v>
      </c>
      <c r="I384" s="42"/>
      <c r="J384" s="42"/>
      <c r="K384" s="41">
        <v>260326005</v>
      </c>
      <c r="L384" s="41"/>
      <c r="M384" s="41">
        <f>M383-D384</f>
        <v>2</v>
      </c>
      <c r="N384" s="19">
        <v>46087</v>
      </c>
      <c r="O384" s="21">
        <f t="shared" si="39"/>
        <v>46451</v>
      </c>
    </row>
    <row r="385" spans="1:15" ht="20.149999999999999" hidden="1" customHeight="1" x14ac:dyDescent="0.2">
      <c r="A385" s="29">
        <v>46108</v>
      </c>
      <c r="B385" s="29">
        <v>46108</v>
      </c>
      <c r="C385" s="30" t="s">
        <v>601</v>
      </c>
      <c r="D385" s="126">
        <v>12</v>
      </c>
      <c r="E385" s="30">
        <f t="shared" si="40"/>
        <v>2340</v>
      </c>
      <c r="F385" s="37" t="s">
        <v>26</v>
      </c>
      <c r="G385" s="37" t="s">
        <v>607</v>
      </c>
      <c r="H385" s="32">
        <f>H372-E385</f>
        <v>14040</v>
      </c>
      <c r="I385" s="32"/>
      <c r="J385" s="32"/>
      <c r="K385" s="30" t="s">
        <v>608</v>
      </c>
      <c r="L385" s="30"/>
      <c r="M385" s="30">
        <f>M338-D385</f>
        <v>26</v>
      </c>
      <c r="N385" s="19">
        <v>46088</v>
      </c>
      <c r="O385" s="21">
        <f t="shared" si="39"/>
        <v>46452</v>
      </c>
    </row>
    <row r="386" spans="1:15" ht="20.149999999999999" hidden="1" customHeight="1" x14ac:dyDescent="0.3">
      <c r="A386" s="26">
        <v>46108</v>
      </c>
      <c r="B386" s="26">
        <v>46111</v>
      </c>
      <c r="C386" s="27" t="s">
        <v>602</v>
      </c>
      <c r="D386" s="27">
        <v>2</v>
      </c>
      <c r="E386" s="27">
        <f t="shared" si="40"/>
        <v>390</v>
      </c>
      <c r="F386" s="36" t="s">
        <v>315</v>
      </c>
      <c r="G386" s="36" t="s">
        <v>605</v>
      </c>
      <c r="H386" s="28">
        <f>H381-E386</f>
        <v>34710</v>
      </c>
      <c r="I386" s="28"/>
      <c r="J386" s="28"/>
      <c r="K386" s="27">
        <v>260326007</v>
      </c>
      <c r="L386" s="27"/>
      <c r="M386" s="27">
        <f>M384-D386</f>
        <v>0</v>
      </c>
      <c r="N386" s="19">
        <v>46087</v>
      </c>
      <c r="O386" s="21">
        <f t="shared" si="39"/>
        <v>46451</v>
      </c>
    </row>
    <row r="387" spans="1:15" ht="20.149999999999999" hidden="1" customHeight="1" x14ac:dyDescent="0.3">
      <c r="A387" s="26">
        <v>46108</v>
      </c>
      <c r="B387" s="26">
        <v>46111</v>
      </c>
      <c r="C387" s="27" t="s">
        <v>517</v>
      </c>
      <c r="D387" s="27">
        <v>14</v>
      </c>
      <c r="E387" s="27">
        <f t="shared" si="40"/>
        <v>2730</v>
      </c>
      <c r="F387" s="36" t="s">
        <v>315</v>
      </c>
      <c r="G387" s="36" t="s">
        <v>477</v>
      </c>
      <c r="H387" s="28">
        <f>H386-E387</f>
        <v>31980</v>
      </c>
      <c r="I387" s="28"/>
      <c r="J387" s="28"/>
      <c r="K387" s="27">
        <v>260326007</v>
      </c>
      <c r="L387" s="27"/>
      <c r="M387" s="27">
        <f>M385-D387</f>
        <v>12</v>
      </c>
      <c r="N387" s="19">
        <v>46088</v>
      </c>
      <c r="O387" s="21">
        <f t="shared" si="39"/>
        <v>46452</v>
      </c>
    </row>
    <row r="388" spans="1:15" ht="20.149999999999999" hidden="1" customHeight="1" x14ac:dyDescent="0.25">
      <c r="A388" s="22">
        <v>46108</v>
      </c>
      <c r="B388" s="22">
        <v>46111</v>
      </c>
      <c r="C388" s="23" t="s">
        <v>606</v>
      </c>
      <c r="D388" s="75">
        <v>16</v>
      </c>
      <c r="E388" s="23">
        <f t="shared" si="40"/>
        <v>3120</v>
      </c>
      <c r="F388" s="148" t="s">
        <v>636</v>
      </c>
      <c r="G388" s="38" t="s">
        <v>637</v>
      </c>
      <c r="H388" s="25">
        <f>H313-E388</f>
        <v>1560</v>
      </c>
      <c r="I388" s="25"/>
      <c r="J388" s="122" t="s">
        <v>609</v>
      </c>
      <c r="K388" s="23" t="s">
        <v>610</v>
      </c>
      <c r="L388" s="23"/>
      <c r="M388" s="23">
        <f>M363-D388</f>
        <v>21</v>
      </c>
      <c r="N388" s="19">
        <v>46089</v>
      </c>
      <c r="O388" s="21">
        <f t="shared" si="39"/>
        <v>46453</v>
      </c>
    </row>
    <row r="389" spans="1:15" ht="20.149999999999999" hidden="1" customHeight="1" x14ac:dyDescent="0.2">
      <c r="A389" s="33">
        <v>46111</v>
      </c>
      <c r="B389" s="33">
        <v>46111</v>
      </c>
      <c r="C389" s="34" t="s">
        <v>622</v>
      </c>
      <c r="D389" s="34">
        <v>5</v>
      </c>
      <c r="E389" s="34">
        <f t="shared" si="40"/>
        <v>975</v>
      </c>
      <c r="F389" s="39" t="s">
        <v>26</v>
      </c>
      <c r="G389" s="39" t="s">
        <v>632</v>
      </c>
      <c r="H389" s="35">
        <f>H385-E389</f>
        <v>13065</v>
      </c>
      <c r="I389" s="35"/>
      <c r="J389" s="35"/>
      <c r="K389" s="34">
        <v>260327002</v>
      </c>
      <c r="L389" s="34"/>
      <c r="M389" s="34">
        <f>M388-D389</f>
        <v>16</v>
      </c>
      <c r="N389" s="19">
        <v>46089</v>
      </c>
      <c r="O389" s="21">
        <f t="shared" si="39"/>
        <v>46453</v>
      </c>
    </row>
    <row r="390" spans="1:15" ht="20.149999999999999" hidden="1" customHeight="1" x14ac:dyDescent="0.2">
      <c r="A390" s="33">
        <v>46111</v>
      </c>
      <c r="B390" s="33">
        <v>46111</v>
      </c>
      <c r="C390" s="34" t="s">
        <v>567</v>
      </c>
      <c r="D390" s="34">
        <v>7</v>
      </c>
      <c r="E390" s="34">
        <f t="shared" si="40"/>
        <v>1365</v>
      </c>
      <c r="F390" s="39" t="s">
        <v>26</v>
      </c>
      <c r="G390" s="39" t="s">
        <v>519</v>
      </c>
      <c r="H390" s="35">
        <f>H389-E390</f>
        <v>11700</v>
      </c>
      <c r="I390" s="35"/>
      <c r="J390" s="35"/>
      <c r="K390" s="34">
        <v>260327002</v>
      </c>
      <c r="L390" s="34"/>
      <c r="M390" s="34">
        <f>M364-D390</f>
        <v>31</v>
      </c>
      <c r="N390" s="19">
        <v>46091</v>
      </c>
      <c r="O390" s="21">
        <f t="shared" si="39"/>
        <v>46455</v>
      </c>
    </row>
    <row r="391" spans="1:15" ht="20.149999999999999" hidden="1" customHeight="1" x14ac:dyDescent="0.25">
      <c r="A391" s="29">
        <v>46111</v>
      </c>
      <c r="B391" s="29">
        <v>46112</v>
      </c>
      <c r="C391" s="30" t="s">
        <v>623</v>
      </c>
      <c r="D391" s="30">
        <v>4</v>
      </c>
      <c r="E391" s="30">
        <f t="shared" si="40"/>
        <v>780</v>
      </c>
      <c r="F391" s="37" t="s">
        <v>267</v>
      </c>
      <c r="G391" s="37" t="s">
        <v>460</v>
      </c>
      <c r="H391" s="32">
        <f>H380-E391</f>
        <v>18720</v>
      </c>
      <c r="I391" s="32"/>
      <c r="J391" s="32"/>
      <c r="K391" s="30">
        <v>260327003</v>
      </c>
      <c r="L391" s="30"/>
      <c r="M391" s="30">
        <f>M389-D391</f>
        <v>12</v>
      </c>
      <c r="N391" s="19">
        <v>46089</v>
      </c>
      <c r="O391" s="21">
        <f t="shared" si="39"/>
        <v>46453</v>
      </c>
    </row>
    <row r="392" spans="1:15" ht="20.149999999999999" hidden="1" customHeight="1" x14ac:dyDescent="0.25">
      <c r="A392" s="29">
        <v>46111</v>
      </c>
      <c r="B392" s="29">
        <v>46112</v>
      </c>
      <c r="C392" s="30" t="s">
        <v>611</v>
      </c>
      <c r="D392" s="30">
        <v>4</v>
      </c>
      <c r="E392" s="30">
        <f t="shared" si="40"/>
        <v>780</v>
      </c>
      <c r="F392" s="37" t="s">
        <v>267</v>
      </c>
      <c r="G392" s="37" t="s">
        <v>613</v>
      </c>
      <c r="H392" s="32">
        <f>H391-E392</f>
        <v>17940</v>
      </c>
      <c r="I392" s="70" t="s">
        <v>12</v>
      </c>
      <c r="J392" s="32"/>
      <c r="K392" s="30">
        <v>260327003</v>
      </c>
      <c r="L392" s="30">
        <v>41</v>
      </c>
      <c r="M392" s="30">
        <f>L392-D392</f>
        <v>37</v>
      </c>
      <c r="N392" s="19">
        <v>46097</v>
      </c>
      <c r="O392" s="21">
        <f t="shared" si="39"/>
        <v>46461</v>
      </c>
    </row>
    <row r="393" spans="1:15" ht="20.149999999999999" hidden="1" customHeight="1" x14ac:dyDescent="0.25">
      <c r="A393" s="29">
        <v>46111</v>
      </c>
      <c r="B393" s="29">
        <v>46112</v>
      </c>
      <c r="C393" s="30" t="s">
        <v>624</v>
      </c>
      <c r="D393" s="30">
        <v>4</v>
      </c>
      <c r="E393" s="30">
        <f t="shared" si="40"/>
        <v>780</v>
      </c>
      <c r="F393" s="37" t="s">
        <v>267</v>
      </c>
      <c r="G393" s="37" t="s">
        <v>460</v>
      </c>
      <c r="H393" s="32">
        <f>H392-E393</f>
        <v>17160</v>
      </c>
      <c r="I393" s="70" t="s">
        <v>12</v>
      </c>
      <c r="J393" s="32"/>
      <c r="K393" s="30">
        <v>260327003</v>
      </c>
      <c r="L393" s="30">
        <v>42</v>
      </c>
      <c r="M393" s="30">
        <f>L393-D393</f>
        <v>38</v>
      </c>
      <c r="N393" s="19">
        <v>46098</v>
      </c>
      <c r="O393" s="21">
        <f t="shared" si="39"/>
        <v>46462</v>
      </c>
    </row>
    <row r="394" spans="1:15" ht="20.149999999999999" hidden="1" customHeight="1" x14ac:dyDescent="0.2">
      <c r="A394" s="40">
        <v>46111</v>
      </c>
      <c r="B394" s="40">
        <v>46112</v>
      </c>
      <c r="C394" s="41" t="s">
        <v>625</v>
      </c>
      <c r="D394" s="41">
        <v>4</v>
      </c>
      <c r="E394" s="41">
        <f t="shared" si="40"/>
        <v>780</v>
      </c>
      <c r="F394" s="41" t="s">
        <v>446</v>
      </c>
      <c r="G394" s="41" t="s">
        <v>325</v>
      </c>
      <c r="H394" s="42">
        <f>H382-E394</f>
        <v>3120</v>
      </c>
      <c r="I394" s="121" t="s">
        <v>12</v>
      </c>
      <c r="J394" s="42" t="s">
        <v>701</v>
      </c>
      <c r="K394" s="41">
        <v>260327004</v>
      </c>
      <c r="L394" s="41">
        <f>42-16</f>
        <v>26</v>
      </c>
      <c r="M394" s="41">
        <f>L394-D394</f>
        <v>22</v>
      </c>
      <c r="N394" s="19">
        <v>46099</v>
      </c>
      <c r="O394" s="21">
        <f t="shared" si="39"/>
        <v>46463</v>
      </c>
    </row>
    <row r="395" spans="1:15" ht="20.149999999999999" hidden="1" customHeight="1" x14ac:dyDescent="0.2">
      <c r="A395" s="40">
        <v>46111</v>
      </c>
      <c r="B395" s="40">
        <v>46112</v>
      </c>
      <c r="C395" s="41" t="s">
        <v>626</v>
      </c>
      <c r="D395" s="41">
        <v>4</v>
      </c>
      <c r="E395" s="41">
        <f t="shared" si="40"/>
        <v>780</v>
      </c>
      <c r="F395" s="41" t="s">
        <v>446</v>
      </c>
      <c r="G395" s="41" t="s">
        <v>620</v>
      </c>
      <c r="H395" s="42">
        <f>H394-E395</f>
        <v>2340</v>
      </c>
      <c r="I395" s="121" t="s">
        <v>12</v>
      </c>
      <c r="J395" s="42" t="s">
        <v>702</v>
      </c>
      <c r="K395" s="41">
        <v>260327004</v>
      </c>
      <c r="L395" s="41">
        <f>42-20</f>
        <v>22</v>
      </c>
      <c r="M395" s="41">
        <f>L395-D395</f>
        <v>18</v>
      </c>
      <c r="N395" s="19">
        <v>46100</v>
      </c>
      <c r="O395" s="21">
        <f t="shared" si="39"/>
        <v>46464</v>
      </c>
    </row>
    <row r="396" spans="1:15" ht="20.149999999999999" hidden="1" customHeight="1" x14ac:dyDescent="0.2">
      <c r="A396" s="40">
        <v>46111</v>
      </c>
      <c r="B396" s="40">
        <v>46112</v>
      </c>
      <c r="C396" s="41" t="s">
        <v>612</v>
      </c>
      <c r="D396" s="41">
        <v>4</v>
      </c>
      <c r="E396" s="41">
        <f t="shared" si="40"/>
        <v>780</v>
      </c>
      <c r="F396" s="41" t="s">
        <v>446</v>
      </c>
      <c r="G396" s="41" t="s">
        <v>633</v>
      </c>
      <c r="H396" s="42">
        <f>H395-E396</f>
        <v>1560</v>
      </c>
      <c r="I396" s="121" t="s">
        <v>12</v>
      </c>
      <c r="J396" s="42"/>
      <c r="K396" s="41">
        <v>260327004</v>
      </c>
      <c r="L396" s="41">
        <f>42-4</f>
        <v>38</v>
      </c>
      <c r="M396" s="41">
        <f>L396-D396</f>
        <v>34</v>
      </c>
      <c r="N396" s="19">
        <v>46101</v>
      </c>
      <c r="O396" s="21">
        <f t="shared" si="39"/>
        <v>46465</v>
      </c>
    </row>
    <row r="397" spans="1:15" ht="20.149999999999999" hidden="1" customHeight="1" x14ac:dyDescent="0.2">
      <c r="A397" s="22">
        <v>46111</v>
      </c>
      <c r="B397" s="22">
        <v>46112</v>
      </c>
      <c r="C397" s="23" t="s">
        <v>517</v>
      </c>
      <c r="D397" s="23">
        <v>12</v>
      </c>
      <c r="E397" s="23">
        <f t="shared" si="40"/>
        <v>2340</v>
      </c>
      <c r="F397" s="38" t="s">
        <v>30</v>
      </c>
      <c r="G397" s="38" t="s">
        <v>634</v>
      </c>
      <c r="H397" s="25">
        <f>H374-E397</f>
        <v>7800</v>
      </c>
      <c r="I397" s="25"/>
      <c r="J397" s="25"/>
      <c r="K397" s="23">
        <v>260327005</v>
      </c>
      <c r="L397" s="23"/>
      <c r="M397" s="23">
        <f>M387-D397</f>
        <v>0</v>
      </c>
      <c r="N397" s="19">
        <v>46088</v>
      </c>
      <c r="O397" s="21">
        <f t="shared" si="39"/>
        <v>46452</v>
      </c>
    </row>
    <row r="398" spans="1:15" ht="20.149999999999999" hidden="1" customHeight="1" x14ac:dyDescent="0.2">
      <c r="A398" s="26">
        <v>46111</v>
      </c>
      <c r="B398" s="26">
        <v>46112</v>
      </c>
      <c r="C398" s="27" t="s">
        <v>627</v>
      </c>
      <c r="D398" s="27">
        <v>12</v>
      </c>
      <c r="E398" s="27">
        <f t="shared" si="40"/>
        <v>2340</v>
      </c>
      <c r="F398" s="36" t="s">
        <v>31</v>
      </c>
      <c r="G398" s="36" t="s">
        <v>87</v>
      </c>
      <c r="H398" s="28">
        <f>H375-E398</f>
        <v>12640</v>
      </c>
      <c r="I398" s="28"/>
      <c r="J398" s="28"/>
      <c r="K398" s="27">
        <v>260327006</v>
      </c>
      <c r="L398" s="27"/>
      <c r="M398" s="27">
        <f>M391-D398</f>
        <v>0</v>
      </c>
      <c r="N398" s="19">
        <v>46089</v>
      </c>
      <c r="O398" s="21">
        <f t="shared" si="39"/>
        <v>46453</v>
      </c>
    </row>
    <row r="399" spans="1:15" ht="20.149999999999999" hidden="1" customHeight="1" x14ac:dyDescent="0.25">
      <c r="A399" s="29">
        <v>46112</v>
      </c>
      <c r="B399" s="29">
        <v>46112</v>
      </c>
      <c r="C399" s="30" t="s">
        <v>648</v>
      </c>
      <c r="D399" s="30">
        <v>19</v>
      </c>
      <c r="E399" s="30">
        <f t="shared" si="40"/>
        <v>3705</v>
      </c>
      <c r="F399" s="37" t="s">
        <v>27</v>
      </c>
      <c r="G399" s="37" t="s">
        <v>654</v>
      </c>
      <c r="H399" s="32">
        <f>H384-E399</f>
        <v>15795</v>
      </c>
      <c r="I399" s="32"/>
      <c r="J399" s="32"/>
      <c r="K399" s="30">
        <v>260330005</v>
      </c>
      <c r="L399" s="30"/>
      <c r="M399" s="30">
        <f>M390-D399</f>
        <v>12</v>
      </c>
      <c r="N399" s="19">
        <v>46091</v>
      </c>
      <c r="O399" s="21">
        <f t="shared" si="39"/>
        <v>46455</v>
      </c>
    </row>
    <row r="400" spans="1:15" ht="20.149999999999999" hidden="1" customHeight="1" x14ac:dyDescent="0.25">
      <c r="A400" s="29">
        <v>46112</v>
      </c>
      <c r="B400" s="29">
        <v>46112</v>
      </c>
      <c r="C400" s="30" t="s">
        <v>649</v>
      </c>
      <c r="D400" s="30">
        <v>5</v>
      </c>
      <c r="E400" s="30">
        <f t="shared" si="40"/>
        <v>975</v>
      </c>
      <c r="F400" s="37" t="s">
        <v>27</v>
      </c>
      <c r="G400" s="37" t="s">
        <v>644</v>
      </c>
      <c r="H400" s="32">
        <f>H399-E400</f>
        <v>14820</v>
      </c>
      <c r="I400" s="32"/>
      <c r="J400" s="32"/>
      <c r="K400" s="30">
        <v>260330005</v>
      </c>
      <c r="L400" s="30"/>
      <c r="M400" s="30">
        <f>M365-D400</f>
        <v>17</v>
      </c>
      <c r="N400" s="19">
        <v>46092</v>
      </c>
      <c r="O400" s="21">
        <f t="shared" si="39"/>
        <v>46456</v>
      </c>
    </row>
    <row r="401" spans="1:338" ht="20.149999999999999" hidden="1" customHeight="1" x14ac:dyDescent="0.2">
      <c r="A401" s="26">
        <v>46112</v>
      </c>
      <c r="B401" s="26">
        <v>46112</v>
      </c>
      <c r="C401" s="27" t="s">
        <v>639</v>
      </c>
      <c r="D401" s="27">
        <v>8</v>
      </c>
      <c r="E401" s="27">
        <f t="shared" si="40"/>
        <v>1560</v>
      </c>
      <c r="F401" s="36" t="s">
        <v>26</v>
      </c>
      <c r="G401" s="36" t="s">
        <v>519</v>
      </c>
      <c r="H401" s="28">
        <f>H390-E401</f>
        <v>10140</v>
      </c>
      <c r="I401" s="28"/>
      <c r="J401" s="28"/>
      <c r="K401" s="27">
        <v>260330007</v>
      </c>
      <c r="L401" s="27"/>
      <c r="M401" s="27">
        <f>M367-D401</f>
        <v>30</v>
      </c>
      <c r="N401" s="19">
        <v>46094</v>
      </c>
      <c r="O401" s="21">
        <f t="shared" si="39"/>
        <v>46458</v>
      </c>
    </row>
    <row r="402" spans="1:338" ht="20.149999999999999" hidden="1" customHeight="1" x14ac:dyDescent="0.3">
      <c r="A402" s="33">
        <v>46112</v>
      </c>
      <c r="B402" s="33">
        <v>46113</v>
      </c>
      <c r="C402" s="34" t="s">
        <v>650</v>
      </c>
      <c r="D402" s="34">
        <v>13</v>
      </c>
      <c r="E402" s="34">
        <f t="shared" si="40"/>
        <v>2535</v>
      </c>
      <c r="F402" s="39" t="s">
        <v>315</v>
      </c>
      <c r="G402" s="39" t="s">
        <v>441</v>
      </c>
      <c r="H402" s="35">
        <f>H387-E402</f>
        <v>29445</v>
      </c>
      <c r="I402" s="35"/>
      <c r="J402" s="35"/>
      <c r="K402" s="34">
        <v>260330008</v>
      </c>
      <c r="L402" s="34"/>
      <c r="M402" s="34">
        <f>M400-D402</f>
        <v>4</v>
      </c>
      <c r="N402" s="19">
        <v>46092</v>
      </c>
      <c r="O402" s="21">
        <f>DATE(YEAR(N402)+1,MONTH(N402),DAY(N402))-1</f>
        <v>46456</v>
      </c>
    </row>
    <row r="403" spans="1:338" ht="20.149999999999999" hidden="1" customHeight="1" x14ac:dyDescent="0.3">
      <c r="A403" s="33">
        <v>46112</v>
      </c>
      <c r="B403" s="33">
        <v>46113</v>
      </c>
      <c r="C403" s="34" t="s">
        <v>640</v>
      </c>
      <c r="D403" s="34">
        <v>3</v>
      </c>
      <c r="E403" s="34">
        <f t="shared" si="40"/>
        <v>585</v>
      </c>
      <c r="F403" s="39" t="s">
        <v>315</v>
      </c>
      <c r="G403" s="39" t="s">
        <v>645</v>
      </c>
      <c r="H403" s="35">
        <f>H402-E403</f>
        <v>28860</v>
      </c>
      <c r="I403" s="35"/>
      <c r="J403" s="35"/>
      <c r="K403" s="34">
        <v>260330008</v>
      </c>
      <c r="L403" s="34"/>
      <c r="M403" s="34">
        <f>M366-D403</f>
        <v>14</v>
      </c>
      <c r="N403" s="19">
        <v>46093</v>
      </c>
      <c r="O403" s="21">
        <f t="shared" ref="O403:O466" si="42">DATE(YEAR(N403)+1,MONTH(N403),DAY(N403))-1</f>
        <v>46457</v>
      </c>
    </row>
    <row r="404" spans="1:338" ht="20.149999999999999" hidden="1" customHeight="1" x14ac:dyDescent="0.25">
      <c r="A404" s="40">
        <v>46112</v>
      </c>
      <c r="B404" s="40">
        <v>46113</v>
      </c>
      <c r="C404" s="41" t="s">
        <v>638</v>
      </c>
      <c r="D404" s="41">
        <v>4</v>
      </c>
      <c r="E404" s="41">
        <f t="shared" si="40"/>
        <v>780</v>
      </c>
      <c r="F404" s="146" t="s">
        <v>636</v>
      </c>
      <c r="G404" s="60" t="s">
        <v>655</v>
      </c>
      <c r="H404" s="42">
        <f>H388-E404</f>
        <v>780</v>
      </c>
      <c r="I404" s="42"/>
      <c r="J404" s="123" t="s">
        <v>642</v>
      </c>
      <c r="K404" s="41">
        <v>260330009</v>
      </c>
      <c r="L404" s="41"/>
      <c r="M404" s="41">
        <f>M402-D404</f>
        <v>0</v>
      </c>
      <c r="N404" s="19">
        <v>46092</v>
      </c>
      <c r="O404" s="21">
        <f t="shared" si="42"/>
        <v>46456</v>
      </c>
    </row>
    <row r="405" spans="1:338" ht="20.149999999999999" hidden="1" customHeight="1" x14ac:dyDescent="0.25">
      <c r="A405" s="40">
        <v>46112</v>
      </c>
      <c r="B405" s="40">
        <v>46113</v>
      </c>
      <c r="C405" s="41" t="s">
        <v>651</v>
      </c>
      <c r="D405" s="41">
        <v>4</v>
      </c>
      <c r="E405" s="41">
        <f t="shared" si="40"/>
        <v>780</v>
      </c>
      <c r="F405" s="146" t="s">
        <v>636</v>
      </c>
      <c r="G405" s="60" t="s">
        <v>646</v>
      </c>
      <c r="H405" s="42">
        <f>H404-E405</f>
        <v>0</v>
      </c>
      <c r="I405" s="42"/>
      <c r="J405" s="123" t="s">
        <v>652</v>
      </c>
      <c r="K405" s="41">
        <v>260330009</v>
      </c>
      <c r="L405" s="41"/>
      <c r="M405" s="41">
        <f>M401-D405</f>
        <v>26</v>
      </c>
      <c r="N405" s="19">
        <v>46094</v>
      </c>
      <c r="O405" s="21">
        <f t="shared" si="42"/>
        <v>46458</v>
      </c>
    </row>
    <row r="406" spans="1:338" ht="20.149999999999999" hidden="1" customHeight="1" x14ac:dyDescent="0.25">
      <c r="A406" s="40">
        <v>46112</v>
      </c>
      <c r="B406" s="40">
        <v>46113</v>
      </c>
      <c r="C406" s="41" t="s">
        <v>641</v>
      </c>
      <c r="D406" s="41">
        <v>12</v>
      </c>
      <c r="E406" s="41">
        <f t="shared" si="40"/>
        <v>2340</v>
      </c>
      <c r="F406" s="146" t="s">
        <v>636</v>
      </c>
      <c r="G406" s="146" t="s">
        <v>656</v>
      </c>
      <c r="H406" s="42">
        <f>200000-E406</f>
        <v>197660</v>
      </c>
      <c r="I406" s="42"/>
      <c r="J406" s="123" t="s">
        <v>643</v>
      </c>
      <c r="K406" s="41" t="s">
        <v>653</v>
      </c>
      <c r="L406" s="41"/>
      <c r="M406" s="41">
        <f>M405-D406</f>
        <v>14</v>
      </c>
      <c r="N406" s="19">
        <v>46094</v>
      </c>
      <c r="O406" s="21">
        <f t="shared" si="42"/>
        <v>46458</v>
      </c>
    </row>
    <row r="407" spans="1:338" ht="20.149999999999999" hidden="1" customHeight="1" x14ac:dyDescent="0.25">
      <c r="A407" s="22">
        <v>46113</v>
      </c>
      <c r="B407" s="22">
        <v>46114</v>
      </c>
      <c r="C407" s="23" t="s">
        <v>556</v>
      </c>
      <c r="D407" s="23">
        <v>12</v>
      </c>
      <c r="E407" s="23">
        <f t="shared" si="40"/>
        <v>2340</v>
      </c>
      <c r="F407" s="38" t="s">
        <v>267</v>
      </c>
      <c r="G407" s="38" t="s">
        <v>460</v>
      </c>
      <c r="H407" s="25">
        <f>H393-E407</f>
        <v>14820</v>
      </c>
      <c r="I407" s="25"/>
      <c r="J407" s="122"/>
      <c r="K407" s="23">
        <v>260331001</v>
      </c>
      <c r="L407" s="23"/>
      <c r="M407" s="23">
        <f>M403-D407</f>
        <v>2</v>
      </c>
      <c r="N407" s="19">
        <v>46093</v>
      </c>
      <c r="O407" s="21">
        <f t="shared" si="42"/>
        <v>46457</v>
      </c>
    </row>
    <row r="408" spans="1:338" ht="20.149999999999999" hidden="1" customHeight="1" x14ac:dyDescent="0.25">
      <c r="A408" s="33">
        <v>46113</v>
      </c>
      <c r="B408" s="33">
        <v>46114</v>
      </c>
      <c r="C408" s="34" t="s">
        <v>556</v>
      </c>
      <c r="D408" s="34">
        <v>2</v>
      </c>
      <c r="E408" s="34">
        <f t="shared" si="40"/>
        <v>390</v>
      </c>
      <c r="F408" s="39" t="s">
        <v>307</v>
      </c>
      <c r="G408" s="39" t="s">
        <v>423</v>
      </c>
      <c r="H408" s="35">
        <f>H378-E408</f>
        <v>15990</v>
      </c>
      <c r="I408" s="35"/>
      <c r="J408" s="35"/>
      <c r="K408" s="34">
        <v>260331002</v>
      </c>
      <c r="L408" s="34"/>
      <c r="M408" s="34">
        <f>M407-D408</f>
        <v>0</v>
      </c>
      <c r="N408" s="19">
        <v>46093</v>
      </c>
      <c r="O408" s="21">
        <f t="shared" si="42"/>
        <v>46457</v>
      </c>
    </row>
    <row r="409" spans="1:338" ht="20.149999999999999" hidden="1" customHeight="1" x14ac:dyDescent="0.25">
      <c r="A409" s="33">
        <v>46113</v>
      </c>
      <c r="B409" s="33">
        <v>46114</v>
      </c>
      <c r="C409" s="34" t="s">
        <v>658</v>
      </c>
      <c r="D409" s="34">
        <v>2</v>
      </c>
      <c r="E409" s="34">
        <f t="shared" si="40"/>
        <v>390</v>
      </c>
      <c r="F409" s="39" t="s">
        <v>307</v>
      </c>
      <c r="G409" s="39" t="s">
        <v>423</v>
      </c>
      <c r="H409" s="35">
        <f>H408-E409</f>
        <v>15600</v>
      </c>
      <c r="I409" s="35"/>
      <c r="J409" s="35"/>
      <c r="K409" s="34">
        <v>260331002</v>
      </c>
      <c r="L409" s="34"/>
      <c r="M409" s="34">
        <f>M406-D409</f>
        <v>12</v>
      </c>
      <c r="N409" s="19">
        <v>46094</v>
      </c>
      <c r="O409" s="21">
        <f t="shared" si="42"/>
        <v>46458</v>
      </c>
    </row>
    <row r="410" spans="1:338" ht="20.149999999999999" hidden="1" customHeight="1" x14ac:dyDescent="0.25">
      <c r="A410" s="33">
        <v>46113</v>
      </c>
      <c r="B410" s="33">
        <v>46114</v>
      </c>
      <c r="C410" s="34" t="s">
        <v>659</v>
      </c>
      <c r="D410" s="34">
        <v>20</v>
      </c>
      <c r="E410" s="34">
        <f t="shared" si="40"/>
        <v>3900</v>
      </c>
      <c r="F410" s="39" t="s">
        <v>307</v>
      </c>
      <c r="G410" s="39" t="s">
        <v>657</v>
      </c>
      <c r="H410" s="35">
        <f>H409-E410</f>
        <v>11700</v>
      </c>
      <c r="I410" s="35"/>
      <c r="J410" s="35"/>
      <c r="K410" s="34">
        <v>260331002</v>
      </c>
      <c r="L410" s="34"/>
      <c r="M410" s="34">
        <f>M368-D410</f>
        <v>18</v>
      </c>
      <c r="N410" s="19">
        <v>46095</v>
      </c>
      <c r="O410" s="21">
        <f t="shared" si="42"/>
        <v>46459</v>
      </c>
    </row>
    <row r="411" spans="1:338" ht="20.149999999999999" hidden="1" customHeight="1" x14ac:dyDescent="0.2">
      <c r="A411" s="29">
        <v>46113</v>
      </c>
      <c r="B411" s="29">
        <v>46114</v>
      </c>
      <c r="C411" s="30" t="s">
        <v>660</v>
      </c>
      <c r="D411" s="30">
        <v>8</v>
      </c>
      <c r="E411" s="30">
        <f t="shared" si="40"/>
        <v>1560</v>
      </c>
      <c r="F411" s="30" t="s">
        <v>446</v>
      </c>
      <c r="G411" s="30" t="s">
        <v>325</v>
      </c>
      <c r="H411" s="32">
        <f>H396-E411</f>
        <v>0</v>
      </c>
      <c r="I411" s="32"/>
      <c r="J411" s="32"/>
      <c r="K411" s="30">
        <v>260331003</v>
      </c>
      <c r="L411" s="30"/>
      <c r="M411" s="30">
        <f>M410-D411</f>
        <v>10</v>
      </c>
      <c r="N411" s="19">
        <v>46095</v>
      </c>
      <c r="O411" s="21">
        <f t="shared" si="42"/>
        <v>46459</v>
      </c>
    </row>
    <row r="412" spans="1:338" ht="20.149999999999999" hidden="1" customHeight="1" x14ac:dyDescent="0.2">
      <c r="A412" s="26">
        <v>46113</v>
      </c>
      <c r="B412" s="26">
        <v>46114</v>
      </c>
      <c r="C412" s="27" t="s">
        <v>661</v>
      </c>
      <c r="D412" s="27">
        <v>12</v>
      </c>
      <c r="E412" s="27">
        <f t="shared" si="40"/>
        <v>2340</v>
      </c>
      <c r="F412" s="36" t="s">
        <v>30</v>
      </c>
      <c r="G412" s="36" t="s">
        <v>664</v>
      </c>
      <c r="H412" s="28">
        <f>H397-E412</f>
        <v>5460</v>
      </c>
      <c r="I412" s="28"/>
      <c r="J412" s="28"/>
      <c r="K412" s="27">
        <v>260331004</v>
      </c>
      <c r="L412" s="27"/>
      <c r="M412" s="27">
        <f>M399-D412</f>
        <v>0</v>
      </c>
      <c r="N412" s="19">
        <v>46091</v>
      </c>
      <c r="O412" s="21">
        <f t="shared" si="42"/>
        <v>46455</v>
      </c>
    </row>
    <row r="413" spans="1:338" ht="20.149999999999999" hidden="1" customHeight="1" x14ac:dyDescent="0.2">
      <c r="A413" s="108">
        <v>46113</v>
      </c>
      <c r="B413" s="108">
        <v>46114</v>
      </c>
      <c r="C413" s="109" t="s">
        <v>658</v>
      </c>
      <c r="D413" s="109">
        <v>12</v>
      </c>
      <c r="E413" s="109">
        <f t="shared" si="40"/>
        <v>2340</v>
      </c>
      <c r="F413" s="110" t="s">
        <v>31</v>
      </c>
      <c r="G413" s="110" t="s">
        <v>665</v>
      </c>
      <c r="H413" s="111">
        <f>H398-E413</f>
        <v>10300</v>
      </c>
      <c r="I413" s="111"/>
      <c r="J413" s="111"/>
      <c r="K413" s="109">
        <v>260331005</v>
      </c>
      <c r="L413" s="109"/>
      <c r="M413" s="109">
        <f>M409-D413</f>
        <v>0</v>
      </c>
      <c r="N413" s="19">
        <v>46094</v>
      </c>
      <c r="O413" s="21">
        <f t="shared" si="42"/>
        <v>46458</v>
      </c>
    </row>
    <row r="414" spans="1:338" ht="20.149999999999999" hidden="1" customHeight="1" x14ac:dyDescent="0.25">
      <c r="A414" s="29">
        <v>46114</v>
      </c>
      <c r="B414" s="29">
        <v>46114</v>
      </c>
      <c r="C414" s="30" t="s">
        <v>673</v>
      </c>
      <c r="D414" s="30">
        <v>4</v>
      </c>
      <c r="E414" s="30">
        <f t="shared" si="40"/>
        <v>780</v>
      </c>
      <c r="F414" s="37" t="s">
        <v>29</v>
      </c>
      <c r="G414" s="37" t="s">
        <v>694</v>
      </c>
      <c r="H414" s="32">
        <f>H383-E414</f>
        <v>70360</v>
      </c>
      <c r="I414" s="32"/>
      <c r="J414" s="32"/>
      <c r="K414" s="30">
        <v>260401012</v>
      </c>
      <c r="L414" s="30"/>
      <c r="M414" s="30">
        <f>M411-D414</f>
        <v>6</v>
      </c>
      <c r="N414" s="19">
        <v>46095</v>
      </c>
      <c r="O414" s="21">
        <f t="shared" si="42"/>
        <v>46459</v>
      </c>
    </row>
    <row r="415" spans="1:338" s="151" customFormat="1" ht="20.149999999999999" hidden="1" customHeight="1" x14ac:dyDescent="0.2">
      <c r="A415" s="33">
        <v>46114</v>
      </c>
      <c r="B415" s="159">
        <v>46115</v>
      </c>
      <c r="C415" s="34" t="s">
        <v>674</v>
      </c>
      <c r="D415" s="34">
        <v>12</v>
      </c>
      <c r="E415" s="34">
        <f t="shared" si="40"/>
        <v>2340</v>
      </c>
      <c r="F415" s="39" t="s">
        <v>26</v>
      </c>
      <c r="G415" s="39" t="s">
        <v>530</v>
      </c>
      <c r="H415" s="35">
        <f>H401-E415</f>
        <v>7800</v>
      </c>
      <c r="I415" s="35"/>
      <c r="J415" s="35"/>
      <c r="K415" s="34">
        <v>260401013</v>
      </c>
      <c r="L415" s="34"/>
      <c r="M415" s="34">
        <f>M392-D415</f>
        <v>25</v>
      </c>
      <c r="N415" s="150">
        <v>46097</v>
      </c>
      <c r="O415" s="21">
        <f t="shared" si="42"/>
        <v>46461</v>
      </c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50"/>
      <c r="AQ415" s="50"/>
      <c r="AR415" s="50"/>
      <c r="AS415" s="50"/>
      <c r="AT415" s="50"/>
      <c r="AU415" s="50"/>
      <c r="AV415" s="50"/>
      <c r="AW415" s="50"/>
      <c r="AX415" s="50"/>
      <c r="AY415" s="50"/>
      <c r="AZ415" s="50"/>
      <c r="BA415" s="50"/>
      <c r="BB415" s="50"/>
      <c r="BC415" s="50"/>
      <c r="BD415" s="50"/>
      <c r="BE415" s="50"/>
      <c r="BF415" s="50"/>
      <c r="BG415" s="50"/>
      <c r="BH415" s="50"/>
      <c r="BI415" s="50"/>
      <c r="BJ415" s="50"/>
      <c r="BK415" s="50"/>
      <c r="BL415" s="50"/>
      <c r="BM415" s="50"/>
      <c r="BN415" s="50"/>
      <c r="BO415" s="50"/>
      <c r="BP415" s="50"/>
      <c r="BQ415" s="50"/>
      <c r="BR415" s="50"/>
      <c r="BS415" s="50"/>
      <c r="BT415" s="50"/>
      <c r="BU415" s="50"/>
      <c r="BV415" s="50"/>
      <c r="BW415" s="50"/>
      <c r="BX415" s="50"/>
      <c r="BY415" s="50"/>
      <c r="BZ415" s="50"/>
      <c r="CA415" s="50"/>
      <c r="CB415" s="50"/>
      <c r="CC415" s="50"/>
      <c r="CD415" s="50"/>
      <c r="CE415" s="50"/>
      <c r="CF415" s="50"/>
      <c r="CG415" s="50"/>
      <c r="CH415" s="50"/>
      <c r="CI415" s="50"/>
      <c r="CJ415" s="50"/>
      <c r="CK415" s="50"/>
      <c r="CL415" s="50"/>
      <c r="CM415" s="50"/>
      <c r="CN415" s="50"/>
      <c r="CO415" s="50"/>
      <c r="CP415" s="50"/>
      <c r="CQ415" s="50"/>
      <c r="CR415" s="50"/>
      <c r="CS415" s="50"/>
      <c r="CT415" s="50"/>
      <c r="CU415" s="50"/>
      <c r="CV415" s="50"/>
      <c r="CW415" s="50"/>
      <c r="CX415" s="50"/>
      <c r="CY415" s="50"/>
      <c r="CZ415" s="50"/>
      <c r="DA415" s="50"/>
      <c r="DB415" s="50"/>
      <c r="DC415" s="50"/>
      <c r="DD415" s="50"/>
      <c r="DE415" s="50"/>
      <c r="DF415" s="50"/>
      <c r="DG415" s="50"/>
      <c r="DH415" s="50"/>
      <c r="DI415" s="50"/>
      <c r="DJ415" s="50"/>
      <c r="DK415" s="50"/>
      <c r="DL415" s="50"/>
      <c r="DM415" s="50"/>
      <c r="DN415" s="50"/>
      <c r="DO415" s="50"/>
      <c r="DP415" s="50"/>
      <c r="DQ415" s="50"/>
      <c r="DR415" s="50"/>
      <c r="DS415" s="50"/>
      <c r="DT415" s="50"/>
      <c r="DU415" s="50"/>
      <c r="DV415" s="50"/>
      <c r="DW415" s="50"/>
      <c r="DX415" s="50"/>
      <c r="DY415" s="50"/>
      <c r="DZ415" s="50"/>
      <c r="EA415" s="50"/>
      <c r="EB415" s="50"/>
      <c r="EC415" s="50"/>
      <c r="ED415" s="50"/>
      <c r="EE415" s="50"/>
      <c r="EF415" s="50"/>
      <c r="EG415" s="50"/>
      <c r="EH415" s="50"/>
      <c r="EI415" s="50"/>
      <c r="EJ415" s="50"/>
      <c r="EK415" s="50"/>
      <c r="EL415" s="50"/>
      <c r="EM415" s="50"/>
      <c r="EN415" s="50"/>
      <c r="EO415" s="50"/>
      <c r="EP415" s="50"/>
      <c r="EQ415" s="50"/>
      <c r="ER415" s="50"/>
      <c r="ES415" s="50"/>
      <c r="ET415" s="50"/>
      <c r="EU415" s="50"/>
      <c r="EV415" s="50"/>
      <c r="EW415" s="50"/>
      <c r="EX415" s="50"/>
      <c r="EY415" s="50"/>
      <c r="EZ415" s="50"/>
      <c r="FA415" s="50"/>
      <c r="FB415" s="50"/>
      <c r="FC415" s="50"/>
      <c r="FD415" s="50"/>
      <c r="FE415" s="50"/>
      <c r="FF415" s="50"/>
      <c r="FG415" s="50"/>
      <c r="FH415" s="50"/>
      <c r="FI415" s="50"/>
      <c r="FJ415" s="50"/>
      <c r="FK415" s="50"/>
      <c r="FL415" s="50"/>
      <c r="FM415" s="50"/>
      <c r="FN415" s="50"/>
      <c r="FO415" s="50"/>
      <c r="FP415" s="50"/>
      <c r="FQ415" s="50"/>
      <c r="FR415" s="50"/>
      <c r="FS415" s="50"/>
      <c r="FT415" s="50"/>
      <c r="FU415" s="50"/>
      <c r="FV415" s="50"/>
      <c r="FW415" s="50"/>
      <c r="FX415" s="50"/>
      <c r="FY415" s="50"/>
      <c r="FZ415" s="50"/>
      <c r="GA415" s="50"/>
      <c r="GB415" s="50"/>
      <c r="GC415" s="50"/>
      <c r="GD415" s="50"/>
      <c r="GE415" s="50"/>
      <c r="GF415" s="50"/>
      <c r="GG415" s="50"/>
      <c r="GH415" s="50"/>
      <c r="GI415" s="50"/>
      <c r="GJ415" s="50"/>
      <c r="GK415" s="50"/>
      <c r="GL415" s="50"/>
      <c r="GM415" s="50"/>
      <c r="GN415" s="50"/>
      <c r="GO415" s="50"/>
      <c r="GP415" s="50"/>
      <c r="GQ415" s="50"/>
      <c r="GR415" s="50"/>
      <c r="GS415" s="50"/>
      <c r="GT415" s="50"/>
      <c r="GU415" s="50"/>
      <c r="GV415" s="50"/>
      <c r="GW415" s="50"/>
      <c r="GX415" s="50"/>
      <c r="GY415" s="50"/>
      <c r="GZ415" s="50"/>
      <c r="HA415" s="50"/>
      <c r="HB415" s="50"/>
      <c r="HC415" s="50"/>
      <c r="HD415" s="50"/>
      <c r="HE415" s="50"/>
      <c r="HF415" s="50"/>
      <c r="HG415" s="50"/>
      <c r="HH415" s="50"/>
      <c r="HI415" s="50"/>
      <c r="HJ415" s="50"/>
      <c r="HK415" s="50"/>
      <c r="HL415" s="50"/>
      <c r="HM415" s="50"/>
      <c r="HN415" s="50"/>
      <c r="HO415" s="50"/>
      <c r="HP415" s="50"/>
      <c r="HQ415" s="50"/>
      <c r="HR415" s="50"/>
      <c r="HS415" s="50"/>
      <c r="HT415" s="50"/>
      <c r="HU415" s="50"/>
      <c r="HV415" s="50"/>
      <c r="HW415" s="50"/>
      <c r="HX415" s="50"/>
      <c r="HY415" s="50"/>
      <c r="HZ415" s="50"/>
      <c r="IA415" s="50"/>
      <c r="IB415" s="50"/>
      <c r="IC415" s="50"/>
      <c r="ID415" s="50"/>
      <c r="IE415" s="50"/>
      <c r="IF415" s="50"/>
      <c r="IG415" s="50"/>
      <c r="IH415" s="50"/>
      <c r="II415" s="50"/>
      <c r="IJ415" s="50"/>
      <c r="IK415" s="50"/>
      <c r="IL415" s="50"/>
      <c r="IM415" s="50"/>
      <c r="IN415" s="50"/>
      <c r="IO415" s="50"/>
      <c r="IP415" s="50"/>
      <c r="IQ415" s="50"/>
      <c r="IR415" s="50"/>
      <c r="IS415" s="50"/>
      <c r="IT415" s="50"/>
      <c r="IU415" s="50"/>
      <c r="IV415" s="50"/>
      <c r="IW415" s="50"/>
      <c r="IX415" s="50"/>
      <c r="IY415" s="50"/>
      <c r="IZ415" s="50"/>
      <c r="JA415" s="50"/>
      <c r="JB415" s="50"/>
      <c r="JC415" s="50"/>
      <c r="JD415" s="50"/>
      <c r="JE415" s="50"/>
      <c r="JF415" s="50"/>
      <c r="JG415" s="50"/>
      <c r="JH415" s="50"/>
      <c r="JI415" s="50"/>
      <c r="JJ415" s="50"/>
      <c r="JK415" s="50"/>
      <c r="JL415" s="50"/>
      <c r="JM415" s="50"/>
      <c r="JN415" s="50"/>
      <c r="JO415" s="50"/>
      <c r="JP415" s="50"/>
      <c r="JQ415" s="50"/>
      <c r="JR415" s="50"/>
      <c r="JS415" s="50"/>
      <c r="JT415" s="50"/>
      <c r="JU415" s="50"/>
      <c r="JV415" s="50"/>
      <c r="JW415" s="50"/>
      <c r="JX415" s="50"/>
      <c r="JY415" s="50"/>
      <c r="JZ415" s="50"/>
      <c r="KA415" s="50"/>
      <c r="KB415" s="50"/>
      <c r="KC415" s="50"/>
      <c r="KD415" s="50"/>
      <c r="KE415" s="50"/>
      <c r="KF415" s="50"/>
      <c r="KG415" s="50"/>
      <c r="KH415" s="50"/>
      <c r="KI415" s="50"/>
      <c r="KJ415" s="50"/>
      <c r="KK415" s="50"/>
      <c r="KL415" s="50"/>
      <c r="KM415" s="50"/>
      <c r="KN415" s="50"/>
      <c r="KO415" s="50"/>
      <c r="KP415" s="50"/>
      <c r="KQ415" s="50"/>
      <c r="KR415" s="50"/>
      <c r="KS415" s="50"/>
      <c r="KT415" s="50"/>
      <c r="KU415" s="50"/>
      <c r="KV415" s="50"/>
      <c r="KW415" s="50"/>
      <c r="KX415" s="50"/>
      <c r="KY415" s="50"/>
      <c r="KZ415" s="50"/>
      <c r="LA415" s="50"/>
      <c r="LB415" s="50"/>
      <c r="LC415" s="50"/>
      <c r="LD415" s="50"/>
      <c r="LE415" s="50"/>
      <c r="LF415" s="50"/>
      <c r="LG415" s="50"/>
      <c r="LH415" s="50"/>
      <c r="LI415" s="50"/>
      <c r="LJ415" s="50"/>
      <c r="LK415" s="50"/>
      <c r="LL415" s="50"/>
      <c r="LM415" s="50"/>
      <c r="LN415" s="50"/>
      <c r="LO415" s="50"/>
      <c r="LP415" s="50"/>
      <c r="LQ415" s="50"/>
      <c r="LR415" s="50"/>
      <c r="LS415" s="50"/>
      <c r="LT415" s="50"/>
      <c r="LU415" s="50"/>
      <c r="LV415" s="50"/>
      <c r="LW415" s="50"/>
      <c r="LX415" s="50"/>
      <c r="LY415" s="50"/>
      <c r="LZ415" s="50"/>
    </row>
    <row r="416" spans="1:338" ht="20.149999999999999" hidden="1" customHeight="1" x14ac:dyDescent="0.3">
      <c r="A416" s="40">
        <v>46114</v>
      </c>
      <c r="B416" s="132">
        <v>46115</v>
      </c>
      <c r="C416" s="41" t="s">
        <v>558</v>
      </c>
      <c r="D416" s="41">
        <v>6</v>
      </c>
      <c r="E416" s="41">
        <f t="shared" si="40"/>
        <v>1170</v>
      </c>
      <c r="F416" s="60" t="s">
        <v>315</v>
      </c>
      <c r="G416" s="60" t="s">
        <v>695</v>
      </c>
      <c r="H416" s="42">
        <f>H403-E416</f>
        <v>27690</v>
      </c>
      <c r="I416" s="42"/>
      <c r="J416" s="42"/>
      <c r="K416" s="41">
        <v>260401014</v>
      </c>
      <c r="L416" s="41"/>
      <c r="M416" s="41">
        <f>M414-D416</f>
        <v>0</v>
      </c>
      <c r="N416" s="19">
        <v>46095</v>
      </c>
      <c r="O416" s="21">
        <f t="shared" si="42"/>
        <v>46459</v>
      </c>
    </row>
    <row r="417" spans="1:15" ht="20.149999999999999" hidden="1" customHeight="1" x14ac:dyDescent="0.3">
      <c r="A417" s="40">
        <v>46114</v>
      </c>
      <c r="B417" s="132">
        <v>46115</v>
      </c>
      <c r="C417" s="41" t="s">
        <v>675</v>
      </c>
      <c r="D417" s="41">
        <v>10</v>
      </c>
      <c r="E417" s="41">
        <f t="shared" si="40"/>
        <v>1950</v>
      </c>
      <c r="F417" s="60" t="s">
        <v>315</v>
      </c>
      <c r="G417" s="60" t="s">
        <v>686</v>
      </c>
      <c r="H417" s="42">
        <f>H416-E417</f>
        <v>25740</v>
      </c>
      <c r="I417" s="42"/>
      <c r="J417" s="42"/>
      <c r="K417" s="41">
        <v>260401014</v>
      </c>
      <c r="L417" s="41"/>
      <c r="M417" s="41">
        <f>M415-D417</f>
        <v>15</v>
      </c>
      <c r="N417" s="19">
        <v>46097</v>
      </c>
      <c r="O417" s="21">
        <f t="shared" si="42"/>
        <v>46461</v>
      </c>
    </row>
    <row r="418" spans="1:15" ht="20.149999999999999" hidden="1" customHeight="1" x14ac:dyDescent="0.2">
      <c r="A418" s="26">
        <v>46114</v>
      </c>
      <c r="B418" s="141">
        <v>46118</v>
      </c>
      <c r="C418" s="27" t="s">
        <v>624</v>
      </c>
      <c r="D418" s="27">
        <v>8</v>
      </c>
      <c r="E418" s="27">
        <f t="shared" si="40"/>
        <v>1560</v>
      </c>
      <c r="F418" s="36" t="s">
        <v>26</v>
      </c>
      <c r="G418" s="36" t="s">
        <v>530</v>
      </c>
      <c r="H418" s="28">
        <f>H415-E418</f>
        <v>6240</v>
      </c>
      <c r="I418" s="28"/>
      <c r="J418" s="28"/>
      <c r="K418" s="27">
        <v>260401015</v>
      </c>
      <c r="L418" s="27"/>
      <c r="M418" s="27">
        <f>M393-D418</f>
        <v>30</v>
      </c>
      <c r="N418" s="19">
        <v>46098</v>
      </c>
      <c r="O418" s="21">
        <f t="shared" si="42"/>
        <v>46462</v>
      </c>
    </row>
    <row r="419" spans="1:15" ht="20.149999999999999" hidden="1" customHeight="1" x14ac:dyDescent="0.25">
      <c r="A419" s="108">
        <v>46114</v>
      </c>
      <c r="B419" s="108">
        <v>46119</v>
      </c>
      <c r="C419" s="109" t="s">
        <v>624</v>
      </c>
      <c r="D419" s="109">
        <v>4</v>
      </c>
      <c r="E419" s="109">
        <f t="shared" si="40"/>
        <v>780</v>
      </c>
      <c r="F419" s="110" t="s">
        <v>267</v>
      </c>
      <c r="G419" s="110" t="s">
        <v>696</v>
      </c>
      <c r="H419" s="111">
        <f>H407-E419</f>
        <v>14040</v>
      </c>
      <c r="I419" s="111"/>
      <c r="J419" s="111"/>
      <c r="K419" s="109">
        <v>260401016</v>
      </c>
      <c r="L419" s="109"/>
      <c r="M419" s="109">
        <f>M418-D419</f>
        <v>26</v>
      </c>
      <c r="N419" s="19">
        <v>46098</v>
      </c>
      <c r="O419" s="21">
        <f t="shared" si="42"/>
        <v>46462</v>
      </c>
    </row>
    <row r="420" spans="1:15" ht="20.149999999999999" hidden="1" customHeight="1" x14ac:dyDescent="0.25">
      <c r="A420" s="108">
        <v>46114</v>
      </c>
      <c r="B420" s="108">
        <v>46119</v>
      </c>
      <c r="C420" s="109" t="s">
        <v>676</v>
      </c>
      <c r="D420" s="109">
        <v>4</v>
      </c>
      <c r="E420" s="109">
        <f t="shared" ref="E420:E436" si="43">D420*195</f>
        <v>780</v>
      </c>
      <c r="F420" s="110" t="s">
        <v>267</v>
      </c>
      <c r="G420" s="110" t="s">
        <v>460</v>
      </c>
      <c r="H420" s="111">
        <f>H419-E420</f>
        <v>13260</v>
      </c>
      <c r="I420" s="144" t="s">
        <v>12</v>
      </c>
      <c r="J420" s="111" t="s">
        <v>702</v>
      </c>
      <c r="K420" s="109">
        <v>260401016</v>
      </c>
      <c r="L420" s="109">
        <f>42-20</f>
        <v>22</v>
      </c>
      <c r="M420" s="109">
        <f>L420-D420</f>
        <v>18</v>
      </c>
      <c r="N420" s="19">
        <v>46108</v>
      </c>
      <c r="O420" s="21">
        <f t="shared" si="42"/>
        <v>46472</v>
      </c>
    </row>
    <row r="421" spans="1:15" ht="20.149999999999999" hidden="1" customHeight="1" x14ac:dyDescent="0.25">
      <c r="A421" s="108">
        <v>46114</v>
      </c>
      <c r="B421" s="108">
        <v>46119</v>
      </c>
      <c r="C421" s="109" t="s">
        <v>677</v>
      </c>
      <c r="D421" s="109">
        <v>4</v>
      </c>
      <c r="E421" s="109">
        <f t="shared" si="43"/>
        <v>780</v>
      </c>
      <c r="F421" s="110" t="s">
        <v>267</v>
      </c>
      <c r="G421" s="110" t="s">
        <v>687</v>
      </c>
      <c r="H421" s="111">
        <f>H420-E421</f>
        <v>12480</v>
      </c>
      <c r="I421" s="144" t="s">
        <v>12</v>
      </c>
      <c r="J421" s="111"/>
      <c r="K421" s="109">
        <v>260401016</v>
      </c>
      <c r="L421" s="109">
        <v>41</v>
      </c>
      <c r="M421" s="109">
        <f>L421-D421</f>
        <v>37</v>
      </c>
      <c r="N421" s="19">
        <v>46109</v>
      </c>
      <c r="O421" s="21">
        <f t="shared" si="42"/>
        <v>46473</v>
      </c>
    </row>
    <row r="422" spans="1:15" ht="20.149999999999999" hidden="1" customHeight="1" x14ac:dyDescent="0.2">
      <c r="A422" s="103">
        <v>46114</v>
      </c>
      <c r="B422" s="103">
        <v>46119</v>
      </c>
      <c r="C422" s="104" t="s">
        <v>678</v>
      </c>
      <c r="D422" s="104">
        <v>4</v>
      </c>
      <c r="E422" s="104">
        <f t="shared" si="43"/>
        <v>780</v>
      </c>
      <c r="F422" s="104" t="s">
        <v>446</v>
      </c>
      <c r="G422" s="160" t="s">
        <v>723</v>
      </c>
      <c r="H422" s="106">
        <f>31200-E422</f>
        <v>30420</v>
      </c>
      <c r="I422" s="118" t="s">
        <v>22</v>
      </c>
      <c r="J422" s="106" t="s">
        <v>701</v>
      </c>
      <c r="K422" s="104">
        <v>260401017</v>
      </c>
      <c r="L422" s="104">
        <f>42-16</f>
        <v>26</v>
      </c>
      <c r="M422" s="104">
        <f>L422-D422</f>
        <v>22</v>
      </c>
      <c r="N422" s="19">
        <v>46105</v>
      </c>
      <c r="O422" s="21">
        <f t="shared" si="42"/>
        <v>46469</v>
      </c>
    </row>
    <row r="423" spans="1:15" ht="20.149999999999999" hidden="1" customHeight="1" x14ac:dyDescent="0.2">
      <c r="A423" s="103">
        <v>46114</v>
      </c>
      <c r="B423" s="103">
        <v>46119</v>
      </c>
      <c r="C423" s="104" t="s">
        <v>679</v>
      </c>
      <c r="D423" s="104">
        <v>4</v>
      </c>
      <c r="E423" s="104">
        <f t="shared" si="43"/>
        <v>780</v>
      </c>
      <c r="F423" s="104" t="s">
        <v>446</v>
      </c>
      <c r="G423" s="160" t="s">
        <v>688</v>
      </c>
      <c r="H423" s="106">
        <f>H422-E423</f>
        <v>29640</v>
      </c>
      <c r="I423" s="118" t="s">
        <v>22</v>
      </c>
      <c r="J423" s="106" t="s">
        <v>702</v>
      </c>
      <c r="K423" s="104">
        <v>260401017</v>
      </c>
      <c r="L423" s="104">
        <f>41-20</f>
        <v>21</v>
      </c>
      <c r="M423" s="104">
        <f>L423-D423</f>
        <v>17</v>
      </c>
      <c r="N423" s="19">
        <v>46106</v>
      </c>
      <c r="O423" s="21">
        <f t="shared" si="42"/>
        <v>46470</v>
      </c>
    </row>
    <row r="424" spans="1:15" ht="20.149999999999999" hidden="1" customHeight="1" x14ac:dyDescent="0.2">
      <c r="A424" s="103">
        <v>46114</v>
      </c>
      <c r="B424" s="103">
        <v>46119</v>
      </c>
      <c r="C424" s="104" t="s">
        <v>680</v>
      </c>
      <c r="D424" s="104">
        <v>4</v>
      </c>
      <c r="E424" s="104">
        <f t="shared" si="43"/>
        <v>780</v>
      </c>
      <c r="F424" s="104" t="s">
        <v>446</v>
      </c>
      <c r="G424" s="160" t="s">
        <v>670</v>
      </c>
      <c r="H424" s="106">
        <f>H423-E424</f>
        <v>28860</v>
      </c>
      <c r="I424" s="118" t="s">
        <v>22</v>
      </c>
      <c r="J424" s="106" t="s">
        <v>701</v>
      </c>
      <c r="K424" s="104">
        <v>260401017</v>
      </c>
      <c r="L424" s="104">
        <f>41-16</f>
        <v>25</v>
      </c>
      <c r="M424" s="104">
        <f>L424-D424</f>
        <v>21</v>
      </c>
      <c r="N424" s="19">
        <v>46107</v>
      </c>
      <c r="O424" s="21">
        <f t="shared" si="42"/>
        <v>46471</v>
      </c>
    </row>
    <row r="425" spans="1:15" ht="20.149999999999999" hidden="1" customHeight="1" x14ac:dyDescent="0.2">
      <c r="A425" s="29">
        <v>46114</v>
      </c>
      <c r="B425" s="29">
        <v>46119</v>
      </c>
      <c r="C425" s="30" t="s">
        <v>681</v>
      </c>
      <c r="D425" s="30">
        <v>12</v>
      </c>
      <c r="E425" s="30">
        <f t="shared" si="43"/>
        <v>2340</v>
      </c>
      <c r="F425" s="37" t="s">
        <v>30</v>
      </c>
      <c r="G425" s="37" t="s">
        <v>484</v>
      </c>
      <c r="H425" s="32">
        <f>H412-E425</f>
        <v>3120</v>
      </c>
      <c r="I425" s="32"/>
      <c r="J425" s="32"/>
      <c r="K425" s="30">
        <v>260401018</v>
      </c>
      <c r="L425" s="30"/>
      <c r="M425" s="30">
        <f>M417-D425</f>
        <v>3</v>
      </c>
      <c r="N425" s="19">
        <v>46097</v>
      </c>
      <c r="O425" s="21">
        <f t="shared" si="42"/>
        <v>46461</v>
      </c>
    </row>
    <row r="426" spans="1:15" ht="20.149999999999999" hidden="1" customHeight="1" x14ac:dyDescent="0.2">
      <c r="A426" s="22">
        <v>46114</v>
      </c>
      <c r="B426" s="22">
        <v>46119</v>
      </c>
      <c r="C426" s="23" t="s">
        <v>624</v>
      </c>
      <c r="D426" s="23">
        <v>12</v>
      </c>
      <c r="E426" s="23">
        <f t="shared" si="43"/>
        <v>2340</v>
      </c>
      <c r="F426" s="38" t="s">
        <v>31</v>
      </c>
      <c r="G426" s="38" t="s">
        <v>697</v>
      </c>
      <c r="H426" s="25">
        <f>H413-E426</f>
        <v>7960</v>
      </c>
      <c r="I426" s="25"/>
      <c r="J426" s="25"/>
      <c r="K426" s="23">
        <v>260401019</v>
      </c>
      <c r="L426" s="23"/>
      <c r="M426" s="23">
        <f>M419-D426</f>
        <v>14</v>
      </c>
      <c r="N426" s="19">
        <v>46098</v>
      </c>
      <c r="O426" s="21">
        <f t="shared" si="42"/>
        <v>46462</v>
      </c>
    </row>
    <row r="427" spans="1:15" ht="20.149999999999999" hidden="1" customHeight="1" x14ac:dyDescent="0.25">
      <c r="A427" s="33">
        <v>46119</v>
      </c>
      <c r="B427" s="33">
        <v>46119</v>
      </c>
      <c r="C427" s="34" t="s">
        <v>706</v>
      </c>
      <c r="D427" s="34">
        <v>3</v>
      </c>
      <c r="E427" s="34">
        <f t="shared" si="43"/>
        <v>585</v>
      </c>
      <c r="F427" s="39" t="s">
        <v>27</v>
      </c>
      <c r="G427" s="39" t="s">
        <v>511</v>
      </c>
      <c r="H427" s="35">
        <f>H400-E427</f>
        <v>14235</v>
      </c>
      <c r="I427" s="35"/>
      <c r="J427" s="35"/>
      <c r="K427" s="34">
        <v>260402003</v>
      </c>
      <c r="L427" s="34"/>
      <c r="M427" s="34">
        <f>M425-D427</f>
        <v>0</v>
      </c>
      <c r="N427" s="19">
        <v>46097</v>
      </c>
      <c r="O427" s="21">
        <f t="shared" si="42"/>
        <v>46461</v>
      </c>
    </row>
    <row r="428" spans="1:15" ht="20.149999999999999" hidden="1" customHeight="1" x14ac:dyDescent="0.25">
      <c r="A428" s="33">
        <v>46119</v>
      </c>
      <c r="B428" s="33">
        <v>46119</v>
      </c>
      <c r="C428" s="34" t="s">
        <v>707</v>
      </c>
      <c r="D428" s="34">
        <v>2</v>
      </c>
      <c r="E428" s="34">
        <f t="shared" si="43"/>
        <v>390</v>
      </c>
      <c r="F428" s="39" t="s">
        <v>27</v>
      </c>
      <c r="G428" s="39" t="s">
        <v>704</v>
      </c>
      <c r="H428" s="35">
        <f>H427-E428</f>
        <v>13845</v>
      </c>
      <c r="I428" s="35"/>
      <c r="J428" s="35"/>
      <c r="K428" s="34">
        <v>260402003</v>
      </c>
      <c r="L428" s="34"/>
      <c r="M428" s="34">
        <f>M426-D428</f>
        <v>12</v>
      </c>
      <c r="N428" s="19">
        <v>46098</v>
      </c>
      <c r="O428" s="21">
        <f t="shared" si="42"/>
        <v>46462</v>
      </c>
    </row>
    <row r="429" spans="1:15" ht="20.149999999999999" hidden="1" customHeight="1" x14ac:dyDescent="0.25">
      <c r="A429" s="33">
        <v>46119</v>
      </c>
      <c r="B429" s="33">
        <v>46119</v>
      </c>
      <c r="C429" s="34" t="s">
        <v>625</v>
      </c>
      <c r="D429" s="34">
        <v>3</v>
      </c>
      <c r="E429" s="34">
        <f t="shared" si="43"/>
        <v>585</v>
      </c>
      <c r="F429" s="39" t="s">
        <v>27</v>
      </c>
      <c r="G429" s="39" t="s">
        <v>704</v>
      </c>
      <c r="H429" s="35">
        <f>H428-E429</f>
        <v>13260</v>
      </c>
      <c r="I429" s="35"/>
      <c r="J429" s="35"/>
      <c r="K429" s="34">
        <v>260402003</v>
      </c>
      <c r="L429" s="34"/>
      <c r="M429" s="34">
        <f>M394-D429</f>
        <v>19</v>
      </c>
      <c r="N429" s="19">
        <v>46099</v>
      </c>
      <c r="O429" s="21">
        <f t="shared" si="42"/>
        <v>46463</v>
      </c>
    </row>
    <row r="430" spans="1:15" ht="20.149999999999999" hidden="1" customHeight="1" x14ac:dyDescent="0.2">
      <c r="A430" s="40">
        <v>46119</v>
      </c>
      <c r="B430" s="40">
        <v>46119</v>
      </c>
      <c r="C430" s="41" t="s">
        <v>708</v>
      </c>
      <c r="D430" s="41">
        <v>4</v>
      </c>
      <c r="E430" s="41">
        <f t="shared" si="43"/>
        <v>780</v>
      </c>
      <c r="F430" s="60" t="s">
        <v>26</v>
      </c>
      <c r="G430" s="60" t="s">
        <v>519</v>
      </c>
      <c r="H430" s="42">
        <f>H418-E430</f>
        <v>5460</v>
      </c>
      <c r="I430" s="42"/>
      <c r="J430" s="42"/>
      <c r="K430" s="41">
        <v>260402004</v>
      </c>
      <c r="L430" s="41"/>
      <c r="M430" s="41">
        <f>M429-D430</f>
        <v>15</v>
      </c>
      <c r="N430" s="19">
        <v>46099</v>
      </c>
      <c r="O430" s="21">
        <f t="shared" si="42"/>
        <v>46463</v>
      </c>
    </row>
    <row r="431" spans="1:15" ht="20.149999999999999" hidden="1" customHeight="1" x14ac:dyDescent="0.25">
      <c r="A431" s="29">
        <v>46120</v>
      </c>
      <c r="B431" s="29">
        <v>46121</v>
      </c>
      <c r="C431" s="30" t="s">
        <v>718</v>
      </c>
      <c r="D431" s="30">
        <v>3</v>
      </c>
      <c r="E431" s="30">
        <f t="shared" si="43"/>
        <v>585</v>
      </c>
      <c r="F431" s="37" t="s">
        <v>307</v>
      </c>
      <c r="G431" s="37" t="s">
        <v>721</v>
      </c>
      <c r="H431" s="32">
        <f>H410-E431</f>
        <v>11115</v>
      </c>
      <c r="I431" s="32"/>
      <c r="J431" s="32"/>
      <c r="K431" s="30">
        <v>260407001</v>
      </c>
      <c r="L431" s="30"/>
      <c r="M431" s="30">
        <f>M430-D431</f>
        <v>12</v>
      </c>
      <c r="N431" s="19">
        <v>46099</v>
      </c>
      <c r="O431" s="21">
        <f t="shared" si="42"/>
        <v>46463</v>
      </c>
    </row>
    <row r="432" spans="1:15" ht="20.149999999999999" hidden="1" customHeight="1" x14ac:dyDescent="0.25">
      <c r="A432" s="29">
        <v>46120</v>
      </c>
      <c r="B432" s="29">
        <v>46121</v>
      </c>
      <c r="C432" s="30" t="s">
        <v>719</v>
      </c>
      <c r="D432" s="30">
        <v>18</v>
      </c>
      <c r="E432" s="30">
        <f t="shared" si="43"/>
        <v>3510</v>
      </c>
      <c r="F432" s="37" t="s">
        <v>307</v>
      </c>
      <c r="G432" s="30" t="s">
        <v>485</v>
      </c>
      <c r="H432" s="32">
        <f>H431-E432</f>
        <v>7605</v>
      </c>
      <c r="I432" s="32"/>
      <c r="J432" s="32"/>
      <c r="K432" s="30">
        <v>260407001</v>
      </c>
      <c r="L432" s="30"/>
      <c r="M432" s="30">
        <f>M395-D432</f>
        <v>0</v>
      </c>
      <c r="N432" s="19">
        <v>46100</v>
      </c>
      <c r="O432" s="21">
        <f t="shared" si="42"/>
        <v>46464</v>
      </c>
    </row>
    <row r="433" spans="1:15" ht="20.149999999999999" hidden="1" customHeight="1" x14ac:dyDescent="0.25">
      <c r="A433" s="29">
        <v>46120</v>
      </c>
      <c r="B433" s="29">
        <v>46121</v>
      </c>
      <c r="C433" s="30" t="s">
        <v>720</v>
      </c>
      <c r="D433" s="30">
        <v>3</v>
      </c>
      <c r="E433" s="30">
        <f t="shared" si="43"/>
        <v>585</v>
      </c>
      <c r="F433" s="37" t="s">
        <v>307</v>
      </c>
      <c r="G433" s="30" t="s">
        <v>716</v>
      </c>
      <c r="H433" s="32">
        <f>H432-E433</f>
        <v>7020</v>
      </c>
      <c r="I433" s="32"/>
      <c r="J433" s="32"/>
      <c r="K433" s="30">
        <v>260407001</v>
      </c>
      <c r="L433" s="30"/>
      <c r="M433" s="30">
        <f>M396-D433</f>
        <v>31</v>
      </c>
      <c r="N433" s="19">
        <v>46101</v>
      </c>
      <c r="O433" s="21">
        <f t="shared" si="42"/>
        <v>46465</v>
      </c>
    </row>
    <row r="434" spans="1:15" ht="20.149999999999999" hidden="1" customHeight="1" x14ac:dyDescent="0.25">
      <c r="A434" s="26">
        <v>46121</v>
      </c>
      <c r="B434" s="26">
        <v>46122</v>
      </c>
      <c r="C434" s="27" t="s">
        <v>612</v>
      </c>
      <c r="D434" s="27">
        <v>12</v>
      </c>
      <c r="E434" s="27">
        <f t="shared" si="43"/>
        <v>2340</v>
      </c>
      <c r="F434" s="36" t="s">
        <v>267</v>
      </c>
      <c r="G434" s="27" t="s">
        <v>735</v>
      </c>
      <c r="H434" s="28">
        <f>H421-E434</f>
        <v>10140</v>
      </c>
      <c r="I434" s="28"/>
      <c r="J434" s="28"/>
      <c r="K434" s="27">
        <v>260408005</v>
      </c>
      <c r="L434" s="27"/>
      <c r="M434" s="27">
        <f>M433-D434</f>
        <v>19</v>
      </c>
      <c r="N434" s="19">
        <v>46101</v>
      </c>
      <c r="O434" s="21">
        <f t="shared" si="42"/>
        <v>46465</v>
      </c>
    </row>
    <row r="435" spans="1:15" ht="20.149999999999999" hidden="1" customHeight="1" x14ac:dyDescent="0.2">
      <c r="A435" s="22">
        <v>46121</v>
      </c>
      <c r="B435" s="22">
        <v>46122</v>
      </c>
      <c r="C435" s="23" t="s">
        <v>612</v>
      </c>
      <c r="D435" s="23">
        <v>12</v>
      </c>
      <c r="E435" s="23">
        <f t="shared" si="43"/>
        <v>2340</v>
      </c>
      <c r="F435" s="23" t="s">
        <v>446</v>
      </c>
      <c r="G435" s="38" t="s">
        <v>670</v>
      </c>
      <c r="H435" s="25">
        <f>H424-E435</f>
        <v>26520</v>
      </c>
      <c r="I435" s="25"/>
      <c r="J435" s="25"/>
      <c r="K435" s="23">
        <v>260408006</v>
      </c>
      <c r="L435" s="23"/>
      <c r="M435" s="23">
        <f>M434-D435</f>
        <v>7</v>
      </c>
      <c r="N435" s="19">
        <v>46101</v>
      </c>
      <c r="O435" s="21">
        <f t="shared" si="42"/>
        <v>46465</v>
      </c>
    </row>
    <row r="436" spans="1:15" ht="20.149999999999999" hidden="1" customHeight="1" x14ac:dyDescent="0.2">
      <c r="A436" s="108">
        <v>46121</v>
      </c>
      <c r="B436" s="108">
        <v>46122</v>
      </c>
      <c r="C436" s="109" t="s">
        <v>727</v>
      </c>
      <c r="D436" s="109">
        <v>12</v>
      </c>
      <c r="E436" s="109">
        <f t="shared" si="43"/>
        <v>2340</v>
      </c>
      <c r="F436" s="110" t="s">
        <v>30</v>
      </c>
      <c r="G436" s="110" t="s">
        <v>484</v>
      </c>
      <c r="H436" s="111">
        <f>H425-E436</f>
        <v>780</v>
      </c>
      <c r="I436" s="111"/>
      <c r="J436" s="111"/>
      <c r="K436" s="109">
        <v>260408007</v>
      </c>
      <c r="L436" s="109"/>
      <c r="M436" s="109">
        <f>M431-D436</f>
        <v>0</v>
      </c>
      <c r="N436" s="19">
        <v>46099</v>
      </c>
      <c r="O436" s="21">
        <f t="shared" si="42"/>
        <v>46463</v>
      </c>
    </row>
    <row r="437" spans="1:15" ht="20.149999999999999" hidden="1" customHeight="1" x14ac:dyDescent="0.2">
      <c r="A437" s="33">
        <v>46121</v>
      </c>
      <c r="B437" s="33">
        <v>46122</v>
      </c>
      <c r="C437" s="34" t="s">
        <v>728</v>
      </c>
      <c r="D437" s="34">
        <v>12</v>
      </c>
      <c r="E437" s="34">
        <f>D437*195</f>
        <v>2340</v>
      </c>
      <c r="F437" s="39" t="s">
        <v>31</v>
      </c>
      <c r="G437" s="39" t="s">
        <v>736</v>
      </c>
      <c r="H437" s="35">
        <f>H426-E437</f>
        <v>5620</v>
      </c>
      <c r="I437" s="35"/>
      <c r="J437" s="35"/>
      <c r="K437" s="34">
        <v>260408008</v>
      </c>
      <c r="L437" s="34"/>
      <c r="M437" s="34">
        <f>M428-D437</f>
        <v>0</v>
      </c>
      <c r="N437" s="19">
        <v>46098</v>
      </c>
      <c r="O437" s="21">
        <f t="shared" si="42"/>
        <v>46462</v>
      </c>
    </row>
    <row r="438" spans="1:15" ht="20.149999999999999" hidden="1" customHeight="1" x14ac:dyDescent="0.25">
      <c r="A438" s="26">
        <v>46122</v>
      </c>
      <c r="B438" s="26">
        <v>46122</v>
      </c>
      <c r="C438" s="27" t="s">
        <v>612</v>
      </c>
      <c r="D438" s="27">
        <v>4</v>
      </c>
      <c r="E438" s="27">
        <f>D438*195</f>
        <v>780</v>
      </c>
      <c r="F438" s="36" t="s">
        <v>29</v>
      </c>
      <c r="G438" s="36" t="s">
        <v>751</v>
      </c>
      <c r="H438" s="28">
        <f>H414-E438</f>
        <v>69580</v>
      </c>
      <c r="I438" s="28"/>
      <c r="J438" s="28"/>
      <c r="K438" s="27">
        <v>260409002</v>
      </c>
      <c r="L438" s="27"/>
      <c r="M438" s="27">
        <f>M435-D438</f>
        <v>3</v>
      </c>
      <c r="N438" s="19">
        <v>46101</v>
      </c>
      <c r="O438" s="21">
        <f t="shared" si="42"/>
        <v>46465</v>
      </c>
    </row>
    <row r="439" spans="1:15" ht="20.149999999999999" hidden="1" customHeight="1" x14ac:dyDescent="0.25">
      <c r="A439" s="29">
        <v>46122</v>
      </c>
      <c r="B439" s="29">
        <v>46122</v>
      </c>
      <c r="C439" s="30" t="s">
        <v>745</v>
      </c>
      <c r="D439" s="30">
        <v>3</v>
      </c>
      <c r="E439" s="30">
        <f t="shared" ref="E439:E484" si="44">D439*195</f>
        <v>585</v>
      </c>
      <c r="F439" s="37" t="s">
        <v>27</v>
      </c>
      <c r="G439" s="37" t="s">
        <v>756</v>
      </c>
      <c r="H439" s="32">
        <f>H429-E439</f>
        <v>12675</v>
      </c>
      <c r="I439" s="32"/>
      <c r="J439" s="32"/>
      <c r="K439" s="30" t="s">
        <v>754</v>
      </c>
      <c r="L439" s="30"/>
      <c r="M439" s="30">
        <f>M438-D439</f>
        <v>0</v>
      </c>
      <c r="N439" s="19">
        <v>46101</v>
      </c>
      <c r="O439" s="21">
        <f t="shared" si="42"/>
        <v>46465</v>
      </c>
    </row>
    <row r="440" spans="1:15" ht="20.149999999999999" hidden="1" customHeight="1" x14ac:dyDescent="0.25">
      <c r="A440" s="29">
        <v>46122</v>
      </c>
      <c r="B440" s="29">
        <v>46122</v>
      </c>
      <c r="C440" s="30" t="s">
        <v>746</v>
      </c>
      <c r="D440" s="126">
        <v>5</v>
      </c>
      <c r="E440" s="30">
        <f t="shared" si="44"/>
        <v>975</v>
      </c>
      <c r="F440" s="37" t="s">
        <v>27</v>
      </c>
      <c r="G440" s="37" t="s">
        <v>743</v>
      </c>
      <c r="H440" s="32">
        <f>H439-E440</f>
        <v>11700</v>
      </c>
      <c r="I440" s="32"/>
      <c r="J440" s="32"/>
      <c r="K440" s="30" t="s">
        <v>755</v>
      </c>
      <c r="L440" s="30"/>
      <c r="M440" s="30">
        <f>M422-D440</f>
        <v>17</v>
      </c>
      <c r="N440" s="19">
        <v>46105</v>
      </c>
      <c r="O440" s="21">
        <f t="shared" si="42"/>
        <v>46469</v>
      </c>
    </row>
    <row r="441" spans="1:15" ht="20.149999999999999" hidden="1" customHeight="1" x14ac:dyDescent="0.2">
      <c r="A441" s="22">
        <v>46122</v>
      </c>
      <c r="B441" s="22">
        <v>46122</v>
      </c>
      <c r="C441" s="23" t="s">
        <v>747</v>
      </c>
      <c r="D441" s="23">
        <v>12</v>
      </c>
      <c r="E441" s="23">
        <f t="shared" si="44"/>
        <v>2340</v>
      </c>
      <c r="F441" s="38" t="s">
        <v>26</v>
      </c>
      <c r="G441" s="38" t="s">
        <v>752</v>
      </c>
      <c r="H441" s="25">
        <f>H430-E441</f>
        <v>3120</v>
      </c>
      <c r="I441" s="25"/>
      <c r="J441" s="25"/>
      <c r="K441" s="23">
        <v>260409005</v>
      </c>
      <c r="L441" s="23"/>
      <c r="M441" s="23">
        <f>M440-D441</f>
        <v>5</v>
      </c>
      <c r="N441" s="19">
        <v>46105</v>
      </c>
      <c r="O441" s="21">
        <f t="shared" si="42"/>
        <v>46469</v>
      </c>
    </row>
    <row r="442" spans="1:15" ht="20.149999999999999" hidden="1" customHeight="1" x14ac:dyDescent="0.2">
      <c r="A442" s="108">
        <v>46125</v>
      </c>
      <c r="B442" s="108">
        <v>46125</v>
      </c>
      <c r="C442" s="109" t="s">
        <v>761</v>
      </c>
      <c r="D442" s="109">
        <v>1</v>
      </c>
      <c r="E442" s="109">
        <f t="shared" si="44"/>
        <v>195</v>
      </c>
      <c r="F442" s="110" t="s">
        <v>26</v>
      </c>
      <c r="G442" s="110" t="s">
        <v>773</v>
      </c>
      <c r="H442" s="111">
        <f>H441-E442</f>
        <v>2925</v>
      </c>
      <c r="I442" s="111"/>
      <c r="J442" s="111"/>
      <c r="K442" s="109">
        <v>260410003</v>
      </c>
      <c r="L442" s="109"/>
      <c r="M442" s="109">
        <f>M441-D442</f>
        <v>4</v>
      </c>
      <c r="N442" s="19">
        <v>46105</v>
      </c>
      <c r="O442" s="21">
        <f t="shared" si="42"/>
        <v>46469</v>
      </c>
    </row>
    <row r="443" spans="1:15" ht="20.149999999999999" hidden="1" customHeight="1" x14ac:dyDescent="0.2">
      <c r="A443" s="108">
        <v>46125</v>
      </c>
      <c r="B443" s="108">
        <v>46125</v>
      </c>
      <c r="C443" s="109" t="s">
        <v>762</v>
      </c>
      <c r="D443" s="109">
        <v>7</v>
      </c>
      <c r="E443" s="109">
        <f t="shared" si="44"/>
        <v>1365</v>
      </c>
      <c r="F443" s="110" t="s">
        <v>26</v>
      </c>
      <c r="G443" s="110" t="s">
        <v>519</v>
      </c>
      <c r="H443" s="111">
        <f>H442-E443</f>
        <v>1560</v>
      </c>
      <c r="I443" s="111"/>
      <c r="J443" s="111"/>
      <c r="K443" s="109">
        <v>260410003</v>
      </c>
      <c r="L443" s="109"/>
      <c r="M443" s="109">
        <f>M423-D443</f>
        <v>10</v>
      </c>
      <c r="N443" s="19">
        <v>46106</v>
      </c>
      <c r="O443" s="21">
        <f t="shared" si="42"/>
        <v>46470</v>
      </c>
    </row>
    <row r="444" spans="1:15" ht="20.149999999999999" hidden="1" customHeight="1" x14ac:dyDescent="0.25">
      <c r="A444" s="33">
        <v>46125</v>
      </c>
      <c r="B444" s="33">
        <v>46126</v>
      </c>
      <c r="C444" s="34" t="s">
        <v>763</v>
      </c>
      <c r="D444" s="34">
        <v>4</v>
      </c>
      <c r="E444" s="34">
        <f t="shared" si="44"/>
        <v>780</v>
      </c>
      <c r="F444" s="39" t="s">
        <v>267</v>
      </c>
      <c r="G444" s="34" t="s">
        <v>460</v>
      </c>
      <c r="H444" s="35">
        <f>H434-E444</f>
        <v>9360</v>
      </c>
      <c r="I444" s="35"/>
      <c r="J444" s="35"/>
      <c r="K444" s="34">
        <v>260410004</v>
      </c>
      <c r="L444" s="34"/>
      <c r="M444" s="34">
        <f>M442-D444</f>
        <v>0</v>
      </c>
      <c r="N444" s="19">
        <v>46105</v>
      </c>
      <c r="O444" s="21">
        <f t="shared" si="42"/>
        <v>46469</v>
      </c>
    </row>
    <row r="445" spans="1:15" ht="20.149999999999999" hidden="1" customHeight="1" x14ac:dyDescent="0.25">
      <c r="A445" s="33">
        <v>46125</v>
      </c>
      <c r="B445" s="33">
        <v>46126</v>
      </c>
      <c r="C445" s="34" t="s">
        <v>764</v>
      </c>
      <c r="D445" s="34">
        <v>4</v>
      </c>
      <c r="E445" s="34">
        <f t="shared" si="44"/>
        <v>780</v>
      </c>
      <c r="F445" s="39" t="s">
        <v>267</v>
      </c>
      <c r="G445" s="34" t="s">
        <v>760</v>
      </c>
      <c r="H445" s="35">
        <f>H444-E445</f>
        <v>8580</v>
      </c>
      <c r="I445" s="63" t="s">
        <v>22</v>
      </c>
      <c r="J445" s="35"/>
      <c r="K445" s="34">
        <v>260410004</v>
      </c>
      <c r="L445" s="34">
        <v>41</v>
      </c>
      <c r="M445" s="34">
        <f>L445-D445</f>
        <v>37</v>
      </c>
      <c r="N445" s="19">
        <v>46114</v>
      </c>
      <c r="O445" s="21">
        <f t="shared" si="42"/>
        <v>46478</v>
      </c>
    </row>
    <row r="446" spans="1:15" ht="20.149999999999999" hidden="1" customHeight="1" x14ac:dyDescent="0.2">
      <c r="A446" s="29">
        <v>46125</v>
      </c>
      <c r="B446" s="29">
        <v>46126</v>
      </c>
      <c r="C446" s="30" t="s">
        <v>765</v>
      </c>
      <c r="D446" s="30">
        <v>4</v>
      </c>
      <c r="E446" s="30">
        <f t="shared" si="44"/>
        <v>780</v>
      </c>
      <c r="F446" s="30" t="s">
        <v>446</v>
      </c>
      <c r="G446" s="37" t="s">
        <v>776</v>
      </c>
      <c r="H446" s="32">
        <f>H435-E446</f>
        <v>25740</v>
      </c>
      <c r="I446" s="70" t="s">
        <v>22</v>
      </c>
      <c r="J446" s="32"/>
      <c r="K446" s="30">
        <v>260410005</v>
      </c>
      <c r="L446" s="30">
        <v>42</v>
      </c>
      <c r="M446" s="30">
        <f>L446-D446</f>
        <v>38</v>
      </c>
      <c r="N446" s="19">
        <v>46110</v>
      </c>
      <c r="O446" s="21">
        <f t="shared" si="42"/>
        <v>46474</v>
      </c>
    </row>
    <row r="447" spans="1:15" ht="20.149999999999999" hidden="1" customHeight="1" x14ac:dyDescent="0.2">
      <c r="A447" s="29">
        <v>46125</v>
      </c>
      <c r="B447" s="29">
        <v>46126</v>
      </c>
      <c r="C447" s="30" t="s">
        <v>766</v>
      </c>
      <c r="D447" s="30">
        <v>4</v>
      </c>
      <c r="E447" s="30">
        <f t="shared" si="44"/>
        <v>780</v>
      </c>
      <c r="F447" s="30" t="s">
        <v>446</v>
      </c>
      <c r="G447" s="37" t="s">
        <v>670</v>
      </c>
      <c r="H447" s="32">
        <f>H446-E447</f>
        <v>24960</v>
      </c>
      <c r="I447" s="70" t="s">
        <v>22</v>
      </c>
      <c r="J447" s="32"/>
      <c r="K447" s="30">
        <v>260410005</v>
      </c>
      <c r="L447" s="30">
        <v>41</v>
      </c>
      <c r="M447" s="30">
        <f>L447-D447</f>
        <v>37</v>
      </c>
      <c r="N447" s="19">
        <v>46111</v>
      </c>
      <c r="O447" s="21">
        <f t="shared" si="42"/>
        <v>46475</v>
      </c>
    </row>
    <row r="448" spans="1:15" ht="20.149999999999999" hidden="1" customHeight="1" x14ac:dyDescent="0.2">
      <c r="A448" s="29">
        <v>46125</v>
      </c>
      <c r="B448" s="29">
        <v>46126</v>
      </c>
      <c r="C448" s="30" t="s">
        <v>767</v>
      </c>
      <c r="D448" s="30">
        <v>4</v>
      </c>
      <c r="E448" s="30">
        <f t="shared" si="44"/>
        <v>780</v>
      </c>
      <c r="F448" s="30" t="s">
        <v>446</v>
      </c>
      <c r="G448" s="37" t="s">
        <v>670</v>
      </c>
      <c r="H448" s="32">
        <f>H447-E448</f>
        <v>24180</v>
      </c>
      <c r="I448" s="70" t="s">
        <v>22</v>
      </c>
      <c r="J448" s="32"/>
      <c r="K448" s="30">
        <v>260410005</v>
      </c>
      <c r="L448" s="30">
        <v>41</v>
      </c>
      <c r="M448" s="30">
        <f>L448-D448</f>
        <v>37</v>
      </c>
      <c r="N448" s="19">
        <v>46112</v>
      </c>
      <c r="O448" s="21">
        <f t="shared" si="42"/>
        <v>46476</v>
      </c>
    </row>
    <row r="449" spans="1:15" ht="20.149999999999999" hidden="1" customHeight="1" x14ac:dyDescent="0.2">
      <c r="A449" s="29">
        <v>46125</v>
      </c>
      <c r="B449" s="29">
        <v>46126</v>
      </c>
      <c r="C449" s="30" t="s">
        <v>759</v>
      </c>
      <c r="D449" s="30">
        <v>4</v>
      </c>
      <c r="E449" s="30">
        <f t="shared" si="44"/>
        <v>780</v>
      </c>
      <c r="F449" s="30" t="s">
        <v>446</v>
      </c>
      <c r="G449" s="37" t="s">
        <v>777</v>
      </c>
      <c r="H449" s="32">
        <f>H448-E449</f>
        <v>23400</v>
      </c>
      <c r="I449" s="70" t="s">
        <v>22</v>
      </c>
      <c r="J449" s="32"/>
      <c r="K449" s="30" t="s">
        <v>778</v>
      </c>
      <c r="L449" s="30">
        <v>42</v>
      </c>
      <c r="M449" s="30">
        <f>L449-D449</f>
        <v>38</v>
      </c>
      <c r="N449" s="19">
        <v>46113</v>
      </c>
      <c r="O449" s="21">
        <f t="shared" si="42"/>
        <v>46477</v>
      </c>
    </row>
    <row r="450" spans="1:15" ht="20.149999999999999" hidden="1" customHeight="1" x14ac:dyDescent="0.25">
      <c r="A450" s="40">
        <v>46126</v>
      </c>
      <c r="B450" s="40">
        <v>46126</v>
      </c>
      <c r="C450" s="41" t="s">
        <v>782</v>
      </c>
      <c r="D450" s="41">
        <v>4</v>
      </c>
      <c r="E450" s="41">
        <f t="shared" si="44"/>
        <v>780</v>
      </c>
      <c r="F450" s="60" t="s">
        <v>29</v>
      </c>
      <c r="G450" s="60" t="s">
        <v>792</v>
      </c>
      <c r="H450" s="42">
        <f>H438-E450</f>
        <v>68800</v>
      </c>
      <c r="I450" s="42"/>
      <c r="J450" s="42"/>
      <c r="K450" s="41">
        <v>260413002</v>
      </c>
      <c r="L450" s="41"/>
      <c r="M450" s="41">
        <f>M420-D450</f>
        <v>14</v>
      </c>
      <c r="N450" s="19">
        <v>46108</v>
      </c>
      <c r="O450" s="21">
        <f t="shared" si="42"/>
        <v>46472</v>
      </c>
    </row>
    <row r="451" spans="1:15" ht="20.149999999999999" hidden="1" customHeight="1" x14ac:dyDescent="0.25">
      <c r="A451" s="26">
        <v>46126</v>
      </c>
      <c r="B451" s="26">
        <v>46126</v>
      </c>
      <c r="C451" s="27" t="s">
        <v>783</v>
      </c>
      <c r="D451" s="27">
        <v>6</v>
      </c>
      <c r="E451" s="27">
        <f t="shared" si="44"/>
        <v>1170</v>
      </c>
      <c r="F451" s="36" t="s">
        <v>27</v>
      </c>
      <c r="G451" s="36" t="s">
        <v>793</v>
      </c>
      <c r="H451" s="28">
        <f>H440-E451</f>
        <v>10530</v>
      </c>
      <c r="I451" s="28"/>
      <c r="J451" s="28"/>
      <c r="K451" s="27">
        <v>260413003</v>
      </c>
      <c r="L451" s="27"/>
      <c r="M451" s="27">
        <f>M443-D451</f>
        <v>4</v>
      </c>
      <c r="N451" s="19">
        <v>46106</v>
      </c>
      <c r="O451" s="21">
        <f t="shared" si="42"/>
        <v>46470</v>
      </c>
    </row>
    <row r="452" spans="1:15" ht="20.149999999999999" hidden="1" customHeight="1" x14ac:dyDescent="0.25">
      <c r="A452" s="26">
        <v>46126</v>
      </c>
      <c r="B452" s="26">
        <v>46126</v>
      </c>
      <c r="C452" s="27" t="s">
        <v>680</v>
      </c>
      <c r="D452" s="27">
        <v>2</v>
      </c>
      <c r="E452" s="27">
        <f t="shared" si="44"/>
        <v>390</v>
      </c>
      <c r="F452" s="36" t="s">
        <v>27</v>
      </c>
      <c r="G452" s="36" t="s">
        <v>780</v>
      </c>
      <c r="H452" s="28">
        <f>H451-E452</f>
        <v>10140</v>
      </c>
      <c r="I452" s="28"/>
      <c r="J452" s="28"/>
      <c r="K452" s="27">
        <v>260413003</v>
      </c>
      <c r="L452" s="27"/>
      <c r="M452" s="27">
        <f>M424-D452</f>
        <v>19</v>
      </c>
      <c r="N452" s="19">
        <v>46107</v>
      </c>
      <c r="O452" s="21">
        <f t="shared" si="42"/>
        <v>46471</v>
      </c>
    </row>
    <row r="453" spans="1:15" ht="20.149999999999999" hidden="1" customHeight="1" x14ac:dyDescent="0.2">
      <c r="A453" s="22">
        <v>46126</v>
      </c>
      <c r="B453" s="22">
        <v>46126</v>
      </c>
      <c r="C453" s="23" t="s">
        <v>680</v>
      </c>
      <c r="D453" s="23">
        <v>7</v>
      </c>
      <c r="E453" s="23">
        <f t="shared" si="44"/>
        <v>1365</v>
      </c>
      <c r="F453" s="38" t="s">
        <v>26</v>
      </c>
      <c r="G453" s="38" t="s">
        <v>519</v>
      </c>
      <c r="H453" s="25">
        <f>H443-E453</f>
        <v>195</v>
      </c>
      <c r="I453" s="25"/>
      <c r="J453" s="25"/>
      <c r="K453" s="23">
        <v>260413004</v>
      </c>
      <c r="L453" s="23"/>
      <c r="M453" s="23">
        <f>M452-D453</f>
        <v>12</v>
      </c>
      <c r="N453" s="19">
        <v>46107</v>
      </c>
      <c r="O453" s="21">
        <f t="shared" si="42"/>
        <v>46471</v>
      </c>
    </row>
    <row r="454" spans="1:15" ht="20.149999999999999" hidden="1" customHeight="1" x14ac:dyDescent="0.2">
      <c r="A454" s="22">
        <v>46126</v>
      </c>
      <c r="B454" s="22">
        <v>46126</v>
      </c>
      <c r="C454" s="23" t="s">
        <v>676</v>
      </c>
      <c r="D454" s="23">
        <v>1</v>
      </c>
      <c r="E454" s="23">
        <f t="shared" si="44"/>
        <v>195</v>
      </c>
      <c r="F454" s="38" t="s">
        <v>26</v>
      </c>
      <c r="G454" s="38" t="s">
        <v>519</v>
      </c>
      <c r="H454" s="25">
        <f>H453-E454</f>
        <v>0</v>
      </c>
      <c r="I454" s="25"/>
      <c r="J454" s="25"/>
      <c r="K454" s="23">
        <v>260413004</v>
      </c>
      <c r="L454" s="23"/>
      <c r="M454" s="23">
        <f>M450-D454</f>
        <v>13</v>
      </c>
      <c r="N454" s="19">
        <v>46108</v>
      </c>
      <c r="O454" s="21">
        <f t="shared" si="42"/>
        <v>46472</v>
      </c>
    </row>
    <row r="455" spans="1:15" ht="20.149999999999999" hidden="1" customHeight="1" x14ac:dyDescent="0.2">
      <c r="A455" s="22">
        <v>46126</v>
      </c>
      <c r="B455" s="22">
        <v>46126</v>
      </c>
      <c r="C455" s="23" t="s">
        <v>677</v>
      </c>
      <c r="D455" s="23">
        <v>4</v>
      </c>
      <c r="E455" s="23">
        <f t="shared" si="44"/>
        <v>780</v>
      </c>
      <c r="F455" s="38" t="s">
        <v>26</v>
      </c>
      <c r="G455" s="148" t="s">
        <v>796</v>
      </c>
      <c r="H455" s="25">
        <f>33540-E455</f>
        <v>32760</v>
      </c>
      <c r="I455" s="25"/>
      <c r="J455" s="25"/>
      <c r="K455" s="23" t="s">
        <v>794</v>
      </c>
      <c r="L455" s="23"/>
      <c r="M455" s="23">
        <f>M421-D455</f>
        <v>33</v>
      </c>
      <c r="N455" s="19">
        <v>46109</v>
      </c>
      <c r="O455" s="21">
        <f t="shared" si="42"/>
        <v>46473</v>
      </c>
    </row>
    <row r="456" spans="1:15" ht="20.149999999999999" hidden="1" customHeight="1" x14ac:dyDescent="0.3">
      <c r="A456" s="29">
        <v>46126</v>
      </c>
      <c r="B456" s="29">
        <v>46127</v>
      </c>
      <c r="C456" s="30" t="s">
        <v>784</v>
      </c>
      <c r="D456" s="30">
        <v>13</v>
      </c>
      <c r="E456" s="30">
        <f t="shared" si="44"/>
        <v>2535</v>
      </c>
      <c r="F456" s="37" t="s">
        <v>315</v>
      </c>
      <c r="G456" s="37" t="s">
        <v>789</v>
      </c>
      <c r="H456" s="32">
        <f>H417-E456</f>
        <v>23205</v>
      </c>
      <c r="I456" s="32"/>
      <c r="J456" s="32"/>
      <c r="K456" s="30">
        <v>260413005</v>
      </c>
      <c r="L456" s="30"/>
      <c r="M456" s="30">
        <f>M454-D456</f>
        <v>0</v>
      </c>
      <c r="N456" s="19">
        <v>46108</v>
      </c>
      <c r="O456" s="21">
        <f t="shared" si="42"/>
        <v>46472</v>
      </c>
    </row>
    <row r="457" spans="1:15" ht="20.149999999999999" hidden="1" customHeight="1" x14ac:dyDescent="0.3">
      <c r="A457" s="29">
        <v>46126</v>
      </c>
      <c r="B457" s="29">
        <v>46127</v>
      </c>
      <c r="C457" s="30" t="s">
        <v>785</v>
      </c>
      <c r="D457" s="30">
        <v>3</v>
      </c>
      <c r="E457" s="30">
        <f t="shared" si="44"/>
        <v>585</v>
      </c>
      <c r="F457" s="37" t="s">
        <v>315</v>
      </c>
      <c r="G457" s="37" t="s">
        <v>789</v>
      </c>
      <c r="H457" s="32">
        <f>H456-E457</f>
        <v>22620</v>
      </c>
      <c r="I457" s="32"/>
      <c r="J457" s="32"/>
      <c r="K457" s="30">
        <v>260413005</v>
      </c>
      <c r="L457" s="30"/>
      <c r="M457" s="30">
        <f>M455-D457</f>
        <v>30</v>
      </c>
      <c r="N457" s="19">
        <v>46109</v>
      </c>
      <c r="O457" s="21">
        <f t="shared" si="42"/>
        <v>46473</v>
      </c>
    </row>
    <row r="458" spans="1:15" ht="20.149999999999999" hidden="1" customHeight="1" x14ac:dyDescent="0.2">
      <c r="A458" s="33">
        <v>46126</v>
      </c>
      <c r="B458" s="33">
        <v>46127</v>
      </c>
      <c r="C458" s="34" t="s">
        <v>680</v>
      </c>
      <c r="D458" s="34">
        <v>4</v>
      </c>
      <c r="E458" s="34">
        <f t="shared" si="44"/>
        <v>780</v>
      </c>
      <c r="F458" s="39" t="s">
        <v>30</v>
      </c>
      <c r="G458" s="39" t="s">
        <v>797</v>
      </c>
      <c r="H458" s="35">
        <f>H436-E458</f>
        <v>0</v>
      </c>
      <c r="I458" s="35"/>
      <c r="J458" s="35"/>
      <c r="K458" s="34">
        <v>260413006</v>
      </c>
      <c r="L458" s="34"/>
      <c r="M458" s="34">
        <f>M453-D458</f>
        <v>8</v>
      </c>
      <c r="N458" s="19">
        <v>46107</v>
      </c>
      <c r="O458" s="21">
        <f t="shared" si="42"/>
        <v>46471</v>
      </c>
    </row>
    <row r="459" spans="1:15" ht="20.149999999999999" hidden="1" customHeight="1" x14ac:dyDescent="0.2">
      <c r="A459" s="33">
        <v>46126</v>
      </c>
      <c r="B459" s="33">
        <v>46127</v>
      </c>
      <c r="C459" s="34" t="s">
        <v>680</v>
      </c>
      <c r="D459" s="34">
        <v>8</v>
      </c>
      <c r="E459" s="34">
        <f t="shared" si="44"/>
        <v>1560</v>
      </c>
      <c r="F459" s="39" t="s">
        <v>30</v>
      </c>
      <c r="G459" s="145" t="s">
        <v>779</v>
      </c>
      <c r="H459" s="35">
        <f>23400-E459</f>
        <v>21840</v>
      </c>
      <c r="I459" s="35"/>
      <c r="J459" s="35"/>
      <c r="K459" s="34" t="s">
        <v>795</v>
      </c>
      <c r="L459" s="34"/>
      <c r="M459" s="34">
        <f>M458-D459</f>
        <v>0</v>
      </c>
      <c r="N459" s="19">
        <v>46107</v>
      </c>
      <c r="O459" s="21">
        <f t="shared" si="42"/>
        <v>46471</v>
      </c>
    </row>
    <row r="460" spans="1:15" ht="20.149999999999999" hidden="1" customHeight="1" x14ac:dyDescent="0.2">
      <c r="A460" s="108">
        <v>46126</v>
      </c>
      <c r="B460" s="108">
        <v>46127</v>
      </c>
      <c r="C460" s="109" t="s">
        <v>786</v>
      </c>
      <c r="D460" s="109">
        <v>4</v>
      </c>
      <c r="E460" s="109">
        <f t="shared" si="44"/>
        <v>780</v>
      </c>
      <c r="F460" s="110" t="s">
        <v>31</v>
      </c>
      <c r="G460" s="110" t="s">
        <v>798</v>
      </c>
      <c r="H460" s="111">
        <f>H437-E460</f>
        <v>4840</v>
      </c>
      <c r="I460" s="111"/>
      <c r="J460" s="111"/>
      <c r="K460" s="109">
        <v>260413007</v>
      </c>
      <c r="L460" s="109"/>
      <c r="M460" s="109">
        <f>M451-D460</f>
        <v>0</v>
      </c>
      <c r="N460" s="19">
        <v>46106</v>
      </c>
      <c r="O460" s="21">
        <f t="shared" si="42"/>
        <v>46470</v>
      </c>
    </row>
    <row r="461" spans="1:15" ht="20.149999999999999" hidden="1" customHeight="1" x14ac:dyDescent="0.25">
      <c r="A461" s="26">
        <v>46127</v>
      </c>
      <c r="B461" s="26">
        <v>46128</v>
      </c>
      <c r="C461" s="27" t="s">
        <v>677</v>
      </c>
      <c r="D461" s="27">
        <v>6</v>
      </c>
      <c r="E461" s="27">
        <f t="shared" si="44"/>
        <v>1170</v>
      </c>
      <c r="F461" s="36" t="s">
        <v>307</v>
      </c>
      <c r="G461" s="27" t="s">
        <v>801</v>
      </c>
      <c r="H461" s="28">
        <f>H433-E461</f>
        <v>5850</v>
      </c>
      <c r="I461" s="28"/>
      <c r="J461" s="28"/>
      <c r="K461" s="27">
        <v>260414003</v>
      </c>
      <c r="L461" s="27"/>
      <c r="M461" s="27">
        <f>M457-D461</f>
        <v>24</v>
      </c>
      <c r="N461" s="19">
        <v>46109</v>
      </c>
      <c r="O461" s="21">
        <f t="shared" si="42"/>
        <v>46473</v>
      </c>
    </row>
    <row r="462" spans="1:15" ht="20.149999999999999" hidden="1" customHeight="1" x14ac:dyDescent="0.25">
      <c r="A462" s="26">
        <v>46127</v>
      </c>
      <c r="B462" s="26">
        <v>46128</v>
      </c>
      <c r="C462" s="27" t="s">
        <v>800</v>
      </c>
      <c r="D462" s="27">
        <v>14</v>
      </c>
      <c r="E462" s="27">
        <f t="shared" si="44"/>
        <v>2730</v>
      </c>
      <c r="F462" s="36" t="s">
        <v>307</v>
      </c>
      <c r="G462" s="27" t="s">
        <v>423</v>
      </c>
      <c r="H462" s="28">
        <f>H461-E462</f>
        <v>3120</v>
      </c>
      <c r="I462" s="28"/>
      <c r="J462" s="28"/>
      <c r="K462" s="27">
        <v>260414003</v>
      </c>
      <c r="L462" s="27"/>
      <c r="M462" s="27">
        <f>M446-D462</f>
        <v>24</v>
      </c>
      <c r="N462" s="19">
        <v>46110</v>
      </c>
      <c r="O462" s="21">
        <f t="shared" si="42"/>
        <v>46474</v>
      </c>
    </row>
    <row r="463" spans="1:15" ht="20.149999999999999" hidden="1" customHeight="1" x14ac:dyDescent="0.25">
      <c r="A463" s="29">
        <v>46128</v>
      </c>
      <c r="B463" s="29">
        <v>46129</v>
      </c>
      <c r="C463" s="30" t="s">
        <v>804</v>
      </c>
      <c r="D463" s="30">
        <v>8</v>
      </c>
      <c r="E463" s="30">
        <f t="shared" si="44"/>
        <v>1560</v>
      </c>
      <c r="F463" s="37" t="s">
        <v>267</v>
      </c>
      <c r="G463" s="30" t="s">
        <v>815</v>
      </c>
      <c r="H463" s="32">
        <f>H445-E463</f>
        <v>7020</v>
      </c>
      <c r="I463" s="32"/>
      <c r="J463" s="32"/>
      <c r="K463" s="30">
        <v>260415003</v>
      </c>
      <c r="L463" s="30"/>
      <c r="M463" s="30">
        <f>M447-D463</f>
        <v>29</v>
      </c>
      <c r="N463" s="19">
        <v>46111</v>
      </c>
      <c r="O463" s="21">
        <f t="shared" si="42"/>
        <v>46475</v>
      </c>
    </row>
    <row r="464" spans="1:15" ht="20.149999999999999" hidden="1" customHeight="1" x14ac:dyDescent="0.3">
      <c r="A464" s="40">
        <v>46128</v>
      </c>
      <c r="B464" s="40">
        <v>46129</v>
      </c>
      <c r="C464" s="41" t="s">
        <v>807</v>
      </c>
      <c r="D464" s="41">
        <v>8</v>
      </c>
      <c r="E464" s="41">
        <f t="shared" si="44"/>
        <v>1560</v>
      </c>
      <c r="F464" s="60" t="s">
        <v>315</v>
      </c>
      <c r="G464" s="60" t="s">
        <v>816</v>
      </c>
      <c r="H464" s="42">
        <f>H457-E464</f>
        <v>21060</v>
      </c>
      <c r="I464" s="42"/>
      <c r="J464" s="42"/>
      <c r="K464" s="41">
        <v>260415004</v>
      </c>
      <c r="L464" s="41"/>
      <c r="M464" s="41">
        <f>M462-D464</f>
        <v>16</v>
      </c>
      <c r="N464" s="19">
        <v>46110</v>
      </c>
      <c r="O464" s="21">
        <f t="shared" si="42"/>
        <v>46474</v>
      </c>
    </row>
    <row r="465" spans="1:15" ht="20.149999999999999" hidden="1" customHeight="1" x14ac:dyDescent="0.3">
      <c r="A465" s="40">
        <v>46128</v>
      </c>
      <c r="B465" s="40">
        <v>46129</v>
      </c>
      <c r="C465" s="41" t="s">
        <v>808</v>
      </c>
      <c r="D465" s="41">
        <v>8</v>
      </c>
      <c r="E465" s="41">
        <f t="shared" si="44"/>
        <v>1560</v>
      </c>
      <c r="F465" s="60" t="s">
        <v>315</v>
      </c>
      <c r="G465" s="60" t="s">
        <v>441</v>
      </c>
      <c r="H465" s="42">
        <f>H464-E465</f>
        <v>19500</v>
      </c>
      <c r="I465" s="42"/>
      <c r="J465" s="42"/>
      <c r="K465" s="41">
        <v>260415004</v>
      </c>
      <c r="L465" s="41"/>
      <c r="M465" s="41">
        <f>M463-D465</f>
        <v>21</v>
      </c>
      <c r="N465" s="19">
        <v>46111</v>
      </c>
      <c r="O465" s="21">
        <f t="shared" si="42"/>
        <v>46475</v>
      </c>
    </row>
    <row r="466" spans="1:15" ht="20.149999999999999" hidden="1" customHeight="1" x14ac:dyDescent="0.2">
      <c r="A466" s="22">
        <v>46128</v>
      </c>
      <c r="B466" s="22">
        <v>46129</v>
      </c>
      <c r="C466" s="23" t="s">
        <v>809</v>
      </c>
      <c r="D466" s="23">
        <v>12</v>
      </c>
      <c r="E466" s="23">
        <f t="shared" si="44"/>
        <v>2340</v>
      </c>
      <c r="F466" s="23" t="s">
        <v>446</v>
      </c>
      <c r="G466" s="38" t="s">
        <v>817</v>
      </c>
      <c r="H466" s="25">
        <f>H449-E466</f>
        <v>21060</v>
      </c>
      <c r="I466" s="25"/>
      <c r="J466" s="25"/>
      <c r="K466" s="23">
        <v>260415005</v>
      </c>
      <c r="L466" s="23"/>
      <c r="M466" s="23">
        <f>M465-D466</f>
        <v>9</v>
      </c>
      <c r="N466" s="19">
        <v>46111</v>
      </c>
      <c r="O466" s="21">
        <f t="shared" si="42"/>
        <v>46475</v>
      </c>
    </row>
    <row r="467" spans="1:15" ht="20.149999999999999" hidden="1" customHeight="1" x14ac:dyDescent="0.2">
      <c r="A467" s="108">
        <v>46128</v>
      </c>
      <c r="B467" s="108">
        <v>46129</v>
      </c>
      <c r="C467" s="109" t="s">
        <v>677</v>
      </c>
      <c r="D467" s="109">
        <v>8</v>
      </c>
      <c r="E467" s="109">
        <f t="shared" si="44"/>
        <v>1560</v>
      </c>
      <c r="F467" s="110" t="s">
        <v>30</v>
      </c>
      <c r="G467" s="110" t="s">
        <v>818</v>
      </c>
      <c r="H467" s="111">
        <f>H459-E467</f>
        <v>20280</v>
      </c>
      <c r="I467" s="111"/>
      <c r="J467" s="111"/>
      <c r="K467" s="109">
        <v>260415006</v>
      </c>
      <c r="L467" s="109"/>
      <c r="M467" s="109">
        <f>M461-D467</f>
        <v>16</v>
      </c>
      <c r="N467" s="19">
        <v>46109</v>
      </c>
      <c r="O467" s="21">
        <f t="shared" ref="O467:O483" si="45">DATE(YEAR(N467)+1,MONTH(N467),DAY(N467))-1</f>
        <v>46473</v>
      </c>
    </row>
    <row r="468" spans="1:15" ht="20.149999999999999" hidden="1" customHeight="1" x14ac:dyDescent="0.2">
      <c r="A468" s="26">
        <v>46128</v>
      </c>
      <c r="B468" s="26">
        <v>46129</v>
      </c>
      <c r="C468" s="27" t="s">
        <v>810</v>
      </c>
      <c r="D468" s="27">
        <v>8</v>
      </c>
      <c r="E468" s="27">
        <f t="shared" si="44"/>
        <v>1560</v>
      </c>
      <c r="F468" s="36" t="s">
        <v>31</v>
      </c>
      <c r="G468" s="36" t="s">
        <v>819</v>
      </c>
      <c r="H468" s="28">
        <f>H460-E468</f>
        <v>3280</v>
      </c>
      <c r="I468" s="28"/>
      <c r="J468" s="28"/>
      <c r="K468" s="27">
        <v>260415007</v>
      </c>
      <c r="L468" s="27"/>
      <c r="M468" s="27">
        <f>M464-D468</f>
        <v>8</v>
      </c>
      <c r="N468" s="19">
        <v>46110</v>
      </c>
      <c r="O468" s="21">
        <f t="shared" si="45"/>
        <v>46474</v>
      </c>
    </row>
    <row r="469" spans="1:15" ht="20.149999999999999" hidden="1" customHeight="1" x14ac:dyDescent="0.2">
      <c r="A469" s="33">
        <v>46128</v>
      </c>
      <c r="B469" s="33">
        <v>46129</v>
      </c>
      <c r="C469" s="34" t="s">
        <v>811</v>
      </c>
      <c r="D469" s="34">
        <v>16</v>
      </c>
      <c r="E469" s="34">
        <f t="shared" si="44"/>
        <v>3120</v>
      </c>
      <c r="F469" s="145" t="s">
        <v>444</v>
      </c>
      <c r="G469" s="39" t="s">
        <v>820</v>
      </c>
      <c r="H469" s="35">
        <f>H406-E469</f>
        <v>194540</v>
      </c>
      <c r="I469" s="35"/>
      <c r="J469" s="35"/>
      <c r="K469" s="34">
        <v>260415008</v>
      </c>
      <c r="L469" s="34"/>
      <c r="M469" s="34">
        <f>M467-D469</f>
        <v>0</v>
      </c>
      <c r="N469" s="19">
        <v>46109</v>
      </c>
      <c r="O469" s="21">
        <f t="shared" si="45"/>
        <v>46473</v>
      </c>
    </row>
    <row r="470" spans="1:15" ht="20.149999999999999" hidden="1" customHeight="1" x14ac:dyDescent="0.2">
      <c r="A470" s="33">
        <v>46128</v>
      </c>
      <c r="B470" s="33">
        <v>46129</v>
      </c>
      <c r="C470" s="34" t="s">
        <v>812</v>
      </c>
      <c r="D470" s="34">
        <v>4</v>
      </c>
      <c r="E470" s="34">
        <f t="shared" si="44"/>
        <v>780</v>
      </c>
      <c r="F470" s="145" t="s">
        <v>444</v>
      </c>
      <c r="G470" s="39" t="s">
        <v>805</v>
      </c>
      <c r="H470" s="35">
        <f>H469-E470</f>
        <v>193760</v>
      </c>
      <c r="I470" s="35"/>
      <c r="J470" s="35"/>
      <c r="K470" s="34">
        <v>260415008</v>
      </c>
      <c r="L470" s="34"/>
      <c r="M470" s="34">
        <f>M466-D470</f>
        <v>5</v>
      </c>
      <c r="N470" s="19">
        <v>46111</v>
      </c>
      <c r="O470" s="21">
        <f t="shared" si="45"/>
        <v>46475</v>
      </c>
    </row>
    <row r="471" spans="1:15" ht="20.149999999999999" hidden="1" customHeight="1" x14ac:dyDescent="0.25">
      <c r="A471" s="29">
        <v>46129</v>
      </c>
      <c r="B471" s="29">
        <v>46129</v>
      </c>
      <c r="C471" s="30" t="s">
        <v>767</v>
      </c>
      <c r="D471" s="30">
        <v>4</v>
      </c>
      <c r="E471" s="30">
        <f t="shared" si="44"/>
        <v>780</v>
      </c>
      <c r="F471" s="37" t="s">
        <v>29</v>
      </c>
      <c r="G471" s="37" t="s">
        <v>835</v>
      </c>
      <c r="H471" s="32">
        <f>H450-E471</f>
        <v>68020</v>
      </c>
      <c r="I471" s="32"/>
      <c r="J471" s="32"/>
      <c r="K471" s="30">
        <v>260416003</v>
      </c>
      <c r="L471" s="30"/>
      <c r="M471" s="30">
        <f>M448-D471</f>
        <v>33</v>
      </c>
      <c r="N471" s="19">
        <v>46112</v>
      </c>
      <c r="O471" s="21">
        <f t="shared" si="45"/>
        <v>46476</v>
      </c>
    </row>
    <row r="472" spans="1:15" ht="20.149999999999999" hidden="1" customHeight="1" x14ac:dyDescent="0.25">
      <c r="A472" s="22">
        <v>46129</v>
      </c>
      <c r="B472" s="22">
        <v>46129</v>
      </c>
      <c r="C472" s="23" t="s">
        <v>828</v>
      </c>
      <c r="D472" s="23">
        <v>5</v>
      </c>
      <c r="E472" s="23">
        <f t="shared" si="44"/>
        <v>975</v>
      </c>
      <c r="F472" s="38" t="s">
        <v>27</v>
      </c>
      <c r="G472" s="38" t="s">
        <v>511</v>
      </c>
      <c r="H472" s="25">
        <f>H452-E472</f>
        <v>9165</v>
      </c>
      <c r="I472" s="25"/>
      <c r="J472" s="25"/>
      <c r="K472" s="23">
        <v>260416004</v>
      </c>
      <c r="L472" s="23"/>
      <c r="M472" s="23">
        <f>M470-D472</f>
        <v>0</v>
      </c>
      <c r="N472" s="19">
        <v>46111</v>
      </c>
      <c r="O472" s="21">
        <f t="shared" si="45"/>
        <v>46475</v>
      </c>
    </row>
    <row r="473" spans="1:15" ht="20.149999999999999" hidden="1" customHeight="1" x14ac:dyDescent="0.25">
      <c r="A473" s="22">
        <v>46129</v>
      </c>
      <c r="B473" s="22">
        <v>46129</v>
      </c>
      <c r="C473" s="23" t="s">
        <v>829</v>
      </c>
      <c r="D473" s="23">
        <v>3</v>
      </c>
      <c r="E473" s="23">
        <f t="shared" si="44"/>
        <v>585</v>
      </c>
      <c r="F473" s="38" t="s">
        <v>27</v>
      </c>
      <c r="G473" s="38" t="s">
        <v>823</v>
      </c>
      <c r="H473" s="25">
        <f>H472-E473</f>
        <v>8580</v>
      </c>
      <c r="I473" s="25"/>
      <c r="J473" s="25"/>
      <c r="K473" s="23">
        <v>260416004</v>
      </c>
      <c r="L473" s="23"/>
      <c r="M473" s="23">
        <f>M471-D473</f>
        <v>30</v>
      </c>
      <c r="N473" s="19">
        <v>46112</v>
      </c>
      <c r="O473" s="21">
        <f t="shared" si="45"/>
        <v>46476</v>
      </c>
    </row>
    <row r="474" spans="1:15" ht="20.149999999999999" hidden="1" customHeight="1" x14ac:dyDescent="0.2">
      <c r="A474" s="26">
        <v>46129</v>
      </c>
      <c r="B474" s="26">
        <v>46129</v>
      </c>
      <c r="C474" s="27" t="s">
        <v>830</v>
      </c>
      <c r="D474" s="27">
        <v>8</v>
      </c>
      <c r="E474" s="27">
        <f t="shared" si="44"/>
        <v>1560</v>
      </c>
      <c r="F474" s="36" t="s">
        <v>26</v>
      </c>
      <c r="G474" s="36" t="s">
        <v>796</v>
      </c>
      <c r="H474" s="28">
        <f>H455-E474</f>
        <v>31200</v>
      </c>
      <c r="I474" s="28"/>
      <c r="J474" s="28"/>
      <c r="K474" s="27">
        <v>260416005</v>
      </c>
      <c r="L474" s="27"/>
      <c r="M474" s="27">
        <f>M468-D474</f>
        <v>0</v>
      </c>
      <c r="N474" s="19">
        <v>46110</v>
      </c>
      <c r="O474" s="21">
        <f t="shared" si="45"/>
        <v>46474</v>
      </c>
    </row>
    <row r="475" spans="1:15" ht="20.149999999999999" hidden="1" customHeight="1" x14ac:dyDescent="0.2">
      <c r="A475" s="26">
        <v>46129</v>
      </c>
      <c r="B475" s="26">
        <v>46129</v>
      </c>
      <c r="C475" s="27" t="s">
        <v>831</v>
      </c>
      <c r="D475" s="27">
        <v>4</v>
      </c>
      <c r="E475" s="27">
        <f t="shared" si="44"/>
        <v>780</v>
      </c>
      <c r="F475" s="36" t="s">
        <v>26</v>
      </c>
      <c r="G475" s="36" t="s">
        <v>824</v>
      </c>
      <c r="H475" s="28">
        <f>H474-E475</f>
        <v>30420</v>
      </c>
      <c r="I475" s="28"/>
      <c r="J475" s="28"/>
      <c r="K475" s="27">
        <v>260416005</v>
      </c>
      <c r="L475" s="27"/>
      <c r="M475" s="27">
        <f>M473-D475</f>
        <v>26</v>
      </c>
      <c r="N475" s="19">
        <v>46112</v>
      </c>
      <c r="O475" s="21">
        <f t="shared" si="45"/>
        <v>46476</v>
      </c>
    </row>
    <row r="476" spans="1:15" ht="20.149999999999999" hidden="1" customHeight="1" x14ac:dyDescent="0.25">
      <c r="A476" s="40">
        <v>46132</v>
      </c>
      <c r="B476" s="40">
        <v>46133</v>
      </c>
      <c r="C476" s="41" t="s">
        <v>842</v>
      </c>
      <c r="D476" s="41">
        <v>4</v>
      </c>
      <c r="E476" s="41">
        <f t="shared" si="44"/>
        <v>780</v>
      </c>
      <c r="F476" s="60" t="s">
        <v>267</v>
      </c>
      <c r="G476" s="41" t="s">
        <v>853</v>
      </c>
      <c r="H476" s="42">
        <f>H463-E476</f>
        <v>6240</v>
      </c>
      <c r="I476" s="121" t="s">
        <v>22</v>
      </c>
      <c r="J476" s="42"/>
      <c r="K476" s="41">
        <v>260417003</v>
      </c>
      <c r="L476" s="41">
        <v>41</v>
      </c>
      <c r="M476" s="41">
        <f t="shared" ref="M476:M481" si="46">L476-D476</f>
        <v>37</v>
      </c>
      <c r="N476" s="19">
        <v>46115</v>
      </c>
      <c r="O476" s="21">
        <f t="shared" si="45"/>
        <v>46479</v>
      </c>
    </row>
    <row r="477" spans="1:15" ht="20.149999999999999" hidden="1" customHeight="1" x14ac:dyDescent="0.25">
      <c r="A477" s="40">
        <v>46132</v>
      </c>
      <c r="B477" s="40">
        <v>46133</v>
      </c>
      <c r="C477" s="41" t="s">
        <v>843</v>
      </c>
      <c r="D477" s="41">
        <v>4</v>
      </c>
      <c r="E477" s="41">
        <f t="shared" si="44"/>
        <v>780</v>
      </c>
      <c r="F477" s="60" t="s">
        <v>267</v>
      </c>
      <c r="G477" s="41" t="s">
        <v>840</v>
      </c>
      <c r="H477" s="42">
        <f>H476-E477</f>
        <v>5460</v>
      </c>
      <c r="I477" s="121" t="s">
        <v>22</v>
      </c>
      <c r="J477" s="42"/>
      <c r="K477" s="41">
        <v>260417003</v>
      </c>
      <c r="L477" s="41">
        <v>42</v>
      </c>
      <c r="M477" s="41">
        <f t="shared" si="46"/>
        <v>38</v>
      </c>
      <c r="N477" s="19">
        <v>46116</v>
      </c>
      <c r="O477" s="21">
        <f t="shared" si="45"/>
        <v>46480</v>
      </c>
    </row>
    <row r="478" spans="1:15" ht="20.149999999999999" hidden="1" customHeight="1" x14ac:dyDescent="0.25">
      <c r="A478" s="40">
        <v>46132</v>
      </c>
      <c r="B478" s="40">
        <v>46133</v>
      </c>
      <c r="C478" s="41" t="s">
        <v>838</v>
      </c>
      <c r="D478" s="41">
        <v>4</v>
      </c>
      <c r="E478" s="41">
        <f t="shared" si="44"/>
        <v>780</v>
      </c>
      <c r="F478" s="60" t="s">
        <v>267</v>
      </c>
      <c r="G478" s="41" t="s">
        <v>460</v>
      </c>
      <c r="H478" s="42">
        <f>H477-E478</f>
        <v>4680</v>
      </c>
      <c r="I478" s="121" t="s">
        <v>22</v>
      </c>
      <c r="J478" s="42"/>
      <c r="K478" s="41">
        <v>260417003</v>
      </c>
      <c r="L478" s="41">
        <v>41</v>
      </c>
      <c r="M478" s="41">
        <f t="shared" si="46"/>
        <v>37</v>
      </c>
      <c r="N478" s="19">
        <v>46117</v>
      </c>
      <c r="O478" s="21">
        <f t="shared" si="45"/>
        <v>46481</v>
      </c>
    </row>
    <row r="479" spans="1:15" ht="20.149999999999999" hidden="1" customHeight="1" x14ac:dyDescent="0.2">
      <c r="A479" s="29">
        <v>46132</v>
      </c>
      <c r="B479" s="29">
        <v>46133</v>
      </c>
      <c r="C479" s="30" t="s">
        <v>844</v>
      </c>
      <c r="D479" s="30">
        <v>4</v>
      </c>
      <c r="E479" s="30">
        <f t="shared" si="44"/>
        <v>780</v>
      </c>
      <c r="F479" s="30" t="s">
        <v>446</v>
      </c>
      <c r="G479" s="37" t="s">
        <v>854</v>
      </c>
      <c r="H479" s="32">
        <f>H466-E479</f>
        <v>20280</v>
      </c>
      <c r="I479" s="70" t="s">
        <v>22</v>
      </c>
      <c r="J479" s="32"/>
      <c r="K479" s="30">
        <v>260417004</v>
      </c>
      <c r="L479" s="30">
        <v>26</v>
      </c>
      <c r="M479" s="30">
        <f t="shared" si="46"/>
        <v>22</v>
      </c>
      <c r="N479" s="19">
        <v>46118</v>
      </c>
      <c r="O479" s="21">
        <f t="shared" si="45"/>
        <v>46482</v>
      </c>
    </row>
    <row r="480" spans="1:15" ht="20.149999999999999" hidden="1" customHeight="1" x14ac:dyDescent="0.2">
      <c r="A480" s="29">
        <v>46132</v>
      </c>
      <c r="B480" s="29">
        <v>46133</v>
      </c>
      <c r="C480" s="30" t="s">
        <v>839</v>
      </c>
      <c r="D480" s="30">
        <v>4</v>
      </c>
      <c r="E480" s="30">
        <f t="shared" si="44"/>
        <v>780</v>
      </c>
      <c r="F480" s="30" t="s">
        <v>446</v>
      </c>
      <c r="G480" s="37" t="s">
        <v>670</v>
      </c>
      <c r="H480" s="32">
        <f>H479-E480</f>
        <v>19500</v>
      </c>
      <c r="I480" s="70" t="s">
        <v>22</v>
      </c>
      <c r="J480" s="32" t="s">
        <v>701</v>
      </c>
      <c r="K480" s="30">
        <v>260417004</v>
      </c>
      <c r="L480" s="30">
        <f>41-16</f>
        <v>25</v>
      </c>
      <c r="M480" s="30">
        <f t="shared" si="46"/>
        <v>21</v>
      </c>
      <c r="N480" s="19">
        <v>46119</v>
      </c>
      <c r="O480" s="21">
        <f t="shared" si="45"/>
        <v>46483</v>
      </c>
    </row>
    <row r="481" spans="1:15" ht="20.149999999999999" hidden="1" customHeight="1" x14ac:dyDescent="0.2">
      <c r="A481" s="29">
        <v>46132</v>
      </c>
      <c r="B481" s="29">
        <v>46133</v>
      </c>
      <c r="C481" s="30" t="s">
        <v>845</v>
      </c>
      <c r="D481" s="30">
        <v>4</v>
      </c>
      <c r="E481" s="30">
        <f t="shared" si="44"/>
        <v>780</v>
      </c>
      <c r="F481" s="30" t="s">
        <v>446</v>
      </c>
      <c r="G481" s="37" t="s">
        <v>856</v>
      </c>
      <c r="H481" s="32">
        <f>H480-E481</f>
        <v>18720</v>
      </c>
      <c r="I481" s="70" t="s">
        <v>22</v>
      </c>
      <c r="J481" s="32" t="s">
        <v>702</v>
      </c>
      <c r="K481" s="30" t="s">
        <v>855</v>
      </c>
      <c r="L481" s="30">
        <f>42-20</f>
        <v>22</v>
      </c>
      <c r="M481" s="30">
        <f t="shared" si="46"/>
        <v>18</v>
      </c>
      <c r="N481" s="19">
        <v>46120</v>
      </c>
      <c r="O481" s="21">
        <f t="shared" si="45"/>
        <v>46484</v>
      </c>
    </row>
    <row r="482" spans="1:15" ht="20.149999999999999" hidden="1" customHeight="1" x14ac:dyDescent="0.2">
      <c r="A482" s="33">
        <v>46132</v>
      </c>
      <c r="B482" s="33">
        <v>46133</v>
      </c>
      <c r="C482" s="34" t="s">
        <v>858</v>
      </c>
      <c r="D482" s="39">
        <v>8</v>
      </c>
      <c r="E482" s="34">
        <f t="shared" si="44"/>
        <v>1560</v>
      </c>
      <c r="F482" s="39" t="s">
        <v>30</v>
      </c>
      <c r="G482" s="39" t="s">
        <v>859</v>
      </c>
      <c r="H482" s="35">
        <f>H467-E482</f>
        <v>18720</v>
      </c>
      <c r="I482" s="35"/>
      <c r="J482" s="35"/>
      <c r="K482" s="34">
        <v>260417005</v>
      </c>
      <c r="L482" s="34"/>
      <c r="M482" s="34">
        <f>M475-D482</f>
        <v>18</v>
      </c>
      <c r="N482" s="19">
        <v>46112</v>
      </c>
      <c r="O482" s="21">
        <f t="shared" si="45"/>
        <v>46476</v>
      </c>
    </row>
    <row r="483" spans="1:15" ht="20.149999999999999" hidden="1" customHeight="1" x14ac:dyDescent="0.2">
      <c r="A483" s="108">
        <v>46132</v>
      </c>
      <c r="B483" s="108">
        <v>46133</v>
      </c>
      <c r="C483" s="109" t="s">
        <v>846</v>
      </c>
      <c r="D483" s="109">
        <v>12</v>
      </c>
      <c r="E483" s="109">
        <f t="shared" si="44"/>
        <v>2340</v>
      </c>
      <c r="F483" s="110" t="s">
        <v>31</v>
      </c>
      <c r="G483" s="110" t="s">
        <v>87</v>
      </c>
      <c r="H483" s="111">
        <f>H468-E483</f>
        <v>940</v>
      </c>
      <c r="I483" s="111"/>
      <c r="J483" s="111"/>
      <c r="K483" s="109">
        <v>260417006</v>
      </c>
      <c r="L483" s="109"/>
      <c r="M483" s="109">
        <f>M449-D483</f>
        <v>26</v>
      </c>
      <c r="N483" s="19">
        <v>46113</v>
      </c>
      <c r="O483" s="21">
        <f t="shared" si="45"/>
        <v>46477</v>
      </c>
    </row>
    <row r="484" spans="1:15" ht="20.149999999999999" hidden="1" customHeight="1" x14ac:dyDescent="0.25">
      <c r="A484" s="22">
        <v>46132</v>
      </c>
      <c r="B484" s="22">
        <v>46133</v>
      </c>
      <c r="C484" s="23" t="s">
        <v>858</v>
      </c>
      <c r="D484" s="23">
        <v>16</v>
      </c>
      <c r="E484" s="23">
        <f t="shared" si="44"/>
        <v>3120</v>
      </c>
      <c r="F484" s="23" t="s">
        <v>860</v>
      </c>
      <c r="G484" s="38" t="s">
        <v>861</v>
      </c>
      <c r="H484" s="25">
        <f>H263-E484</f>
        <v>186740</v>
      </c>
      <c r="I484" s="25"/>
      <c r="J484" s="25"/>
      <c r="K484" s="23">
        <v>260417009</v>
      </c>
      <c r="L484" s="23"/>
      <c r="M484" s="23">
        <f>M482-D484</f>
        <v>2</v>
      </c>
      <c r="N484" s="19">
        <v>46112</v>
      </c>
      <c r="O484" s="21">
        <f>DATE(YEAR(N484)+1,MONTH(N484),DAY(N484))-1</f>
        <v>46476</v>
      </c>
    </row>
    <row r="485" spans="1:15" ht="20.149999999999999" hidden="1" customHeight="1" x14ac:dyDescent="0.25">
      <c r="A485" s="26">
        <v>46133</v>
      </c>
      <c r="B485" s="26">
        <v>46133</v>
      </c>
      <c r="C485" s="27" t="s">
        <v>864</v>
      </c>
      <c r="D485" s="27">
        <v>4</v>
      </c>
      <c r="E485" s="27">
        <f t="shared" ref="E485:E515" si="47">D485*195</f>
        <v>780</v>
      </c>
      <c r="F485" s="36" t="s">
        <v>29</v>
      </c>
      <c r="G485" s="36" t="s">
        <v>792</v>
      </c>
      <c r="H485" s="28">
        <f>H471-E485</f>
        <v>67240</v>
      </c>
      <c r="I485" s="28"/>
      <c r="J485" s="28"/>
      <c r="K485" s="27">
        <v>260420002</v>
      </c>
      <c r="L485" s="27"/>
      <c r="M485" s="27">
        <f>M483-D485</f>
        <v>22</v>
      </c>
      <c r="N485" s="19">
        <v>46113</v>
      </c>
      <c r="O485" s="21">
        <f>DATE(YEAR(N485)+1,MONTH(N485),DAY(N485))-1</f>
        <v>46477</v>
      </c>
    </row>
    <row r="486" spans="1:15" ht="20.149999999999999" hidden="1" customHeight="1" x14ac:dyDescent="0.25">
      <c r="A486" s="33">
        <v>46133</v>
      </c>
      <c r="B486" s="33">
        <v>46133</v>
      </c>
      <c r="C486" s="34" t="s">
        <v>858</v>
      </c>
      <c r="D486" s="34">
        <v>2</v>
      </c>
      <c r="E486" s="34">
        <f t="shared" si="47"/>
        <v>390</v>
      </c>
      <c r="F486" s="39" t="s">
        <v>27</v>
      </c>
      <c r="G486" s="39" t="s">
        <v>551</v>
      </c>
      <c r="H486" s="35">
        <f>H473-E486</f>
        <v>8190</v>
      </c>
      <c r="I486" s="35"/>
      <c r="J486" s="35"/>
      <c r="K486" s="34">
        <v>260420003</v>
      </c>
      <c r="L486" s="34"/>
      <c r="M486" s="34">
        <f>M484-D486</f>
        <v>0</v>
      </c>
      <c r="N486" s="19">
        <v>46112</v>
      </c>
      <c r="O486" s="21">
        <f t="shared" ref="O486:O497" si="48">DATE(YEAR(N486)+1,MONTH(N486),DAY(N486))-1</f>
        <v>46476</v>
      </c>
    </row>
    <row r="487" spans="1:15" ht="20.149999999999999" hidden="1" customHeight="1" x14ac:dyDescent="0.25">
      <c r="A487" s="33">
        <v>46133</v>
      </c>
      <c r="B487" s="33">
        <v>46133</v>
      </c>
      <c r="C487" s="34" t="s">
        <v>864</v>
      </c>
      <c r="D487" s="34">
        <v>6</v>
      </c>
      <c r="E487" s="34">
        <f t="shared" si="47"/>
        <v>1170</v>
      </c>
      <c r="F487" s="39" t="s">
        <v>27</v>
      </c>
      <c r="G487" s="39" t="s">
        <v>823</v>
      </c>
      <c r="H487" s="35">
        <f>H486-E487</f>
        <v>7020</v>
      </c>
      <c r="I487" s="35"/>
      <c r="J487" s="35"/>
      <c r="K487" s="34">
        <v>260420003</v>
      </c>
      <c r="L487" s="34"/>
      <c r="M487" s="34">
        <f>M485-D487</f>
        <v>16</v>
      </c>
      <c r="N487" s="19">
        <v>46113</v>
      </c>
      <c r="O487" s="21">
        <f t="shared" si="48"/>
        <v>46477</v>
      </c>
    </row>
    <row r="488" spans="1:15" ht="20.149999999999999" hidden="1" customHeight="1" x14ac:dyDescent="0.25">
      <c r="A488" s="40">
        <v>46133</v>
      </c>
      <c r="B488" s="40">
        <v>46134</v>
      </c>
      <c r="C488" s="41" t="s">
        <v>864</v>
      </c>
      <c r="D488" s="41">
        <v>16</v>
      </c>
      <c r="E488" s="41">
        <f t="shared" si="47"/>
        <v>3120</v>
      </c>
      <c r="F488" s="60" t="s">
        <v>866</v>
      </c>
      <c r="G488" s="41" t="s">
        <v>425</v>
      </c>
      <c r="H488" s="42">
        <f>H462-E488</f>
        <v>0</v>
      </c>
      <c r="I488" s="42"/>
      <c r="J488" s="42"/>
      <c r="K488" s="41">
        <v>260420004</v>
      </c>
      <c r="L488" s="41"/>
      <c r="M488" s="41">
        <f>M487-D488</f>
        <v>0</v>
      </c>
      <c r="N488" s="19">
        <v>46113</v>
      </c>
      <c r="O488" s="21">
        <f t="shared" si="48"/>
        <v>46477</v>
      </c>
    </row>
    <row r="489" spans="1:15" ht="20.149999999999999" hidden="1" customHeight="1" x14ac:dyDescent="0.25">
      <c r="A489" s="40">
        <v>46133</v>
      </c>
      <c r="B489" s="40">
        <v>46134</v>
      </c>
      <c r="C489" s="41" t="s">
        <v>865</v>
      </c>
      <c r="D489" s="41">
        <v>12</v>
      </c>
      <c r="E489" s="41">
        <f t="shared" si="47"/>
        <v>2340</v>
      </c>
      <c r="F489" s="60" t="s">
        <v>866</v>
      </c>
      <c r="G489" s="62" t="s">
        <v>867</v>
      </c>
      <c r="H489" s="42">
        <f>28080-E489</f>
        <v>25740</v>
      </c>
      <c r="I489" s="42"/>
      <c r="J489" s="42"/>
      <c r="K489" s="41">
        <v>260420004</v>
      </c>
      <c r="L489" s="41"/>
      <c r="M489" s="41">
        <f>M445-D489</f>
        <v>25</v>
      </c>
      <c r="N489" s="19">
        <v>46114</v>
      </c>
      <c r="O489" s="21">
        <f t="shared" si="48"/>
        <v>46478</v>
      </c>
    </row>
    <row r="490" spans="1:15" ht="20.149999999999999" hidden="1" customHeight="1" x14ac:dyDescent="0.25">
      <c r="A490" s="29">
        <v>46135</v>
      </c>
      <c r="B490" s="29">
        <v>46136</v>
      </c>
      <c r="C490" s="30" t="s">
        <v>764</v>
      </c>
      <c r="D490" s="30">
        <v>4</v>
      </c>
      <c r="E490" s="30">
        <f t="shared" si="47"/>
        <v>780</v>
      </c>
      <c r="F490" s="37" t="s">
        <v>267</v>
      </c>
      <c r="G490" s="30" t="s">
        <v>539</v>
      </c>
      <c r="H490" s="32">
        <f>H478-E490</f>
        <v>3900</v>
      </c>
      <c r="I490" s="32"/>
      <c r="J490" s="32"/>
      <c r="K490" s="30">
        <v>260422003</v>
      </c>
      <c r="L490" s="30"/>
      <c r="M490" s="30">
        <f>M489-D490</f>
        <v>21</v>
      </c>
      <c r="N490" s="19">
        <v>46114</v>
      </c>
      <c r="O490" s="21">
        <f t="shared" si="48"/>
        <v>46478</v>
      </c>
    </row>
    <row r="491" spans="1:15" ht="20.149999999999999" hidden="1" customHeight="1" x14ac:dyDescent="0.25">
      <c r="A491" s="29">
        <v>46135</v>
      </c>
      <c r="B491" s="29">
        <v>46136</v>
      </c>
      <c r="C491" s="30" t="s">
        <v>872</v>
      </c>
      <c r="D491" s="30">
        <v>4</v>
      </c>
      <c r="E491" s="30">
        <f t="shared" si="47"/>
        <v>780</v>
      </c>
      <c r="F491" s="37" t="s">
        <v>267</v>
      </c>
      <c r="G491" s="30" t="s">
        <v>880</v>
      </c>
      <c r="H491" s="32">
        <f>H490-E491</f>
        <v>3120</v>
      </c>
      <c r="I491" s="70" t="s">
        <v>22</v>
      </c>
      <c r="J491" s="32" t="s">
        <v>701</v>
      </c>
      <c r="K491" s="30">
        <v>260422003</v>
      </c>
      <c r="L491" s="30">
        <f>41-16</f>
        <v>25</v>
      </c>
      <c r="M491" s="30">
        <f>L491-D491</f>
        <v>21</v>
      </c>
      <c r="N491" s="19">
        <v>46121</v>
      </c>
      <c r="O491" s="21">
        <f t="shared" si="48"/>
        <v>46485</v>
      </c>
    </row>
    <row r="492" spans="1:15" ht="20.149999999999999" hidden="1" customHeight="1" x14ac:dyDescent="0.25">
      <c r="A492" s="26">
        <v>46135</v>
      </c>
      <c r="B492" s="26">
        <v>46136</v>
      </c>
      <c r="C492" s="27" t="s">
        <v>873</v>
      </c>
      <c r="D492" s="27">
        <v>8</v>
      </c>
      <c r="E492" s="27">
        <f t="shared" si="47"/>
        <v>1560</v>
      </c>
      <c r="F492" s="27" t="s">
        <v>860</v>
      </c>
      <c r="G492" s="36" t="s">
        <v>884</v>
      </c>
      <c r="H492" s="28">
        <f>H484-E492</f>
        <v>185180</v>
      </c>
      <c r="I492" s="28"/>
      <c r="J492" s="28"/>
      <c r="K492" s="27">
        <v>260422004</v>
      </c>
      <c r="L492" s="27"/>
      <c r="M492" s="27">
        <f>M490-D492</f>
        <v>13</v>
      </c>
      <c r="N492" s="19">
        <v>46114</v>
      </c>
      <c r="O492" s="21">
        <f t="shared" si="48"/>
        <v>46478</v>
      </c>
    </row>
    <row r="493" spans="1:15" ht="20.149999999999999" hidden="1" customHeight="1" x14ac:dyDescent="0.2">
      <c r="A493" s="22">
        <v>46135</v>
      </c>
      <c r="B493" s="22">
        <v>46136</v>
      </c>
      <c r="C493" s="23" t="s">
        <v>874</v>
      </c>
      <c r="D493" s="23">
        <v>4</v>
      </c>
      <c r="E493" s="23">
        <f t="shared" si="47"/>
        <v>780</v>
      </c>
      <c r="F493" s="23" t="s">
        <v>446</v>
      </c>
      <c r="G493" s="38" t="s">
        <v>881</v>
      </c>
      <c r="H493" s="25">
        <f>H481-E493</f>
        <v>17940</v>
      </c>
      <c r="I493" s="43" t="s">
        <v>22</v>
      </c>
      <c r="J493" s="25" t="s">
        <v>702</v>
      </c>
      <c r="K493" s="23">
        <v>260422005</v>
      </c>
      <c r="L493" s="23">
        <f>41-20</f>
        <v>21</v>
      </c>
      <c r="M493" s="23">
        <f>L493-D493</f>
        <v>17</v>
      </c>
      <c r="N493" s="19">
        <v>46122</v>
      </c>
      <c r="O493" s="21">
        <f t="shared" si="48"/>
        <v>46486</v>
      </c>
    </row>
    <row r="494" spans="1:15" ht="20.149999999999999" hidden="1" customHeight="1" x14ac:dyDescent="0.2">
      <c r="A494" s="22">
        <v>46135</v>
      </c>
      <c r="B494" s="22">
        <v>46136</v>
      </c>
      <c r="C494" s="23" t="s">
        <v>868</v>
      </c>
      <c r="D494" s="23">
        <v>4</v>
      </c>
      <c r="E494" s="23">
        <f t="shared" si="47"/>
        <v>780</v>
      </c>
      <c r="F494" s="23" t="s">
        <v>446</v>
      </c>
      <c r="G494" s="38" t="s">
        <v>881</v>
      </c>
      <c r="H494" s="25">
        <f>H493-E494</f>
        <v>17160</v>
      </c>
      <c r="I494" s="43" t="s">
        <v>22</v>
      </c>
      <c r="J494" s="25"/>
      <c r="K494" s="23">
        <v>260422005</v>
      </c>
      <c r="L494" s="23">
        <v>42</v>
      </c>
      <c r="M494" s="23">
        <f>L494-D494</f>
        <v>38</v>
      </c>
      <c r="N494" s="19">
        <v>46123</v>
      </c>
      <c r="O494" s="21">
        <f t="shared" si="48"/>
        <v>46487</v>
      </c>
    </row>
    <row r="495" spans="1:15" ht="20.149999999999999" hidden="1" customHeight="1" x14ac:dyDescent="0.2">
      <c r="A495" s="108">
        <v>46135</v>
      </c>
      <c r="B495" s="108">
        <v>46136</v>
      </c>
      <c r="C495" s="109" t="s">
        <v>875</v>
      </c>
      <c r="D495" s="109">
        <v>8</v>
      </c>
      <c r="E495" s="109">
        <f t="shared" si="47"/>
        <v>1560</v>
      </c>
      <c r="F495" s="110" t="s">
        <v>30</v>
      </c>
      <c r="G495" s="110" t="s">
        <v>885</v>
      </c>
      <c r="H495" s="111">
        <f>H482-E495</f>
        <v>17160</v>
      </c>
      <c r="I495" s="111"/>
      <c r="J495" s="111"/>
      <c r="K495" s="109">
        <v>260422006</v>
      </c>
      <c r="L495" s="109"/>
      <c r="M495" s="109">
        <f>M476-D495</f>
        <v>29</v>
      </c>
      <c r="N495" s="19">
        <v>46115</v>
      </c>
      <c r="O495" s="21">
        <f t="shared" si="48"/>
        <v>46479</v>
      </c>
    </row>
    <row r="496" spans="1:15" ht="20.149999999999999" hidden="1" customHeight="1" x14ac:dyDescent="0.2">
      <c r="A496" s="33">
        <v>46135</v>
      </c>
      <c r="B496" s="33">
        <v>46136</v>
      </c>
      <c r="C496" s="34" t="s">
        <v>764</v>
      </c>
      <c r="D496" s="34">
        <v>4</v>
      </c>
      <c r="E496" s="34">
        <f t="shared" si="47"/>
        <v>780</v>
      </c>
      <c r="F496" s="39" t="s">
        <v>31</v>
      </c>
      <c r="G496" s="39" t="s">
        <v>882</v>
      </c>
      <c r="H496" s="35">
        <f>H483-E496</f>
        <v>160</v>
      </c>
      <c r="I496" s="35"/>
      <c r="J496" s="35"/>
      <c r="K496" s="34">
        <v>260422007</v>
      </c>
      <c r="L496" s="34"/>
      <c r="M496" s="34">
        <f>M492-D496</f>
        <v>9</v>
      </c>
      <c r="N496" s="19">
        <v>46114</v>
      </c>
      <c r="O496" s="21">
        <f t="shared" si="48"/>
        <v>46478</v>
      </c>
    </row>
    <row r="497" spans="1:15" ht="20.149999999999999" hidden="1" customHeight="1" x14ac:dyDescent="0.2">
      <c r="A497" s="33">
        <v>46135</v>
      </c>
      <c r="B497" s="33">
        <v>46136</v>
      </c>
      <c r="C497" s="34" t="s">
        <v>764</v>
      </c>
      <c r="D497" s="34">
        <v>8</v>
      </c>
      <c r="E497" s="34">
        <f t="shared" si="47"/>
        <v>1560</v>
      </c>
      <c r="F497" s="39" t="s">
        <v>31</v>
      </c>
      <c r="G497" s="145" t="s">
        <v>869</v>
      </c>
      <c r="H497" s="35">
        <f>60000-E497</f>
        <v>58440</v>
      </c>
      <c r="I497" s="35"/>
      <c r="J497" s="35"/>
      <c r="K497" s="34" t="s">
        <v>886</v>
      </c>
      <c r="L497" s="34"/>
      <c r="M497" s="34">
        <f>M496-D497</f>
        <v>1</v>
      </c>
      <c r="N497" s="19">
        <v>46114</v>
      </c>
      <c r="O497" s="21">
        <f t="shared" si="48"/>
        <v>46478</v>
      </c>
    </row>
    <row r="498" spans="1:15" ht="20.149999999999999" hidden="1" customHeight="1" x14ac:dyDescent="0.25">
      <c r="A498" s="26">
        <v>46136</v>
      </c>
      <c r="B498" s="26">
        <v>46136</v>
      </c>
      <c r="C498" s="27" t="s">
        <v>891</v>
      </c>
      <c r="D498" s="27">
        <v>8</v>
      </c>
      <c r="E498" s="27">
        <f t="shared" si="47"/>
        <v>1560</v>
      </c>
      <c r="F498" s="36" t="s">
        <v>27</v>
      </c>
      <c r="G498" s="36" t="s">
        <v>893</v>
      </c>
      <c r="H498" s="28">
        <f>H487-E498</f>
        <v>5460</v>
      </c>
      <c r="I498" s="28"/>
      <c r="J498" s="28"/>
      <c r="K498" s="27">
        <v>260423003</v>
      </c>
      <c r="L498" s="27"/>
      <c r="M498" s="27">
        <f>M495-D498</f>
        <v>21</v>
      </c>
      <c r="N498" s="19">
        <v>46115</v>
      </c>
      <c r="O498" s="21">
        <f t="shared" ref="O498:O515" si="49">DATE(YEAR(N498)+1,MONTH(N498),DAY(N498))-1</f>
        <v>46479</v>
      </c>
    </row>
    <row r="499" spans="1:15" ht="20.149999999999999" hidden="1" customHeight="1" x14ac:dyDescent="0.25">
      <c r="A499" s="29">
        <v>46136</v>
      </c>
      <c r="B499" s="29">
        <v>46139</v>
      </c>
      <c r="C499" s="30" t="s">
        <v>873</v>
      </c>
      <c r="D499" s="30">
        <v>1</v>
      </c>
      <c r="E499" s="30">
        <f t="shared" si="47"/>
        <v>195</v>
      </c>
      <c r="F499" s="37" t="s">
        <v>892</v>
      </c>
      <c r="G499" s="37" t="s">
        <v>531</v>
      </c>
      <c r="H499" s="32">
        <f>H465-E499</f>
        <v>19305</v>
      </c>
      <c r="I499" s="32"/>
      <c r="J499" s="32"/>
      <c r="K499" s="30">
        <v>260423004</v>
      </c>
      <c r="L499" s="30"/>
      <c r="M499" s="30">
        <f>M497-D499</f>
        <v>0</v>
      </c>
      <c r="N499" s="19">
        <v>46114</v>
      </c>
      <c r="O499" s="21">
        <f t="shared" si="49"/>
        <v>46478</v>
      </c>
    </row>
    <row r="500" spans="1:15" ht="20.149999999999999" hidden="1" customHeight="1" x14ac:dyDescent="0.25">
      <c r="A500" s="29">
        <v>46136</v>
      </c>
      <c r="B500" s="29">
        <v>46139</v>
      </c>
      <c r="C500" s="30" t="s">
        <v>891</v>
      </c>
      <c r="D500" s="30">
        <v>15</v>
      </c>
      <c r="E500" s="30">
        <f t="shared" si="47"/>
        <v>2925</v>
      </c>
      <c r="F500" s="37" t="s">
        <v>892</v>
      </c>
      <c r="G500" s="37" t="s">
        <v>441</v>
      </c>
      <c r="H500" s="32">
        <f>H499-E500</f>
        <v>16380</v>
      </c>
      <c r="I500" s="32"/>
      <c r="J500" s="32"/>
      <c r="K500" s="30">
        <v>260423004</v>
      </c>
      <c r="L500" s="30"/>
      <c r="M500" s="30">
        <f>M498-D500</f>
        <v>6</v>
      </c>
      <c r="N500" s="19">
        <v>46115</v>
      </c>
      <c r="O500" s="21">
        <f t="shared" si="49"/>
        <v>46479</v>
      </c>
    </row>
    <row r="501" spans="1:15" ht="20.149999999999999" hidden="1" customHeight="1" x14ac:dyDescent="0.2">
      <c r="A501" s="40">
        <v>46139</v>
      </c>
      <c r="B501" s="40">
        <v>46139</v>
      </c>
      <c r="C501" s="41" t="s">
        <v>842</v>
      </c>
      <c r="D501" s="41">
        <v>6</v>
      </c>
      <c r="E501" s="41">
        <f t="shared" si="47"/>
        <v>1170</v>
      </c>
      <c r="F501" s="60" t="s">
        <v>26</v>
      </c>
      <c r="G501" s="60" t="s">
        <v>796</v>
      </c>
      <c r="H501" s="42">
        <f>H475-E501</f>
        <v>29250</v>
      </c>
      <c r="I501" s="42"/>
      <c r="J501" s="42"/>
      <c r="K501" s="41">
        <v>260424002</v>
      </c>
      <c r="L501" s="41"/>
      <c r="M501" s="41">
        <f>M500-D501</f>
        <v>0</v>
      </c>
      <c r="N501" s="19">
        <v>46115</v>
      </c>
      <c r="O501" s="21">
        <f t="shared" si="49"/>
        <v>46479</v>
      </c>
    </row>
    <row r="502" spans="1:15" ht="20.149999999999999" hidden="1" customHeight="1" x14ac:dyDescent="0.2">
      <c r="A502" s="40">
        <v>46139</v>
      </c>
      <c r="B502" s="40">
        <v>46139</v>
      </c>
      <c r="C502" s="41" t="s">
        <v>843</v>
      </c>
      <c r="D502" s="41">
        <v>6</v>
      </c>
      <c r="E502" s="41">
        <f t="shared" si="47"/>
        <v>1170</v>
      </c>
      <c r="F502" s="60" t="s">
        <v>26</v>
      </c>
      <c r="G502" s="60" t="s">
        <v>796</v>
      </c>
      <c r="H502" s="42">
        <f>H501-E502</f>
        <v>28080</v>
      </c>
      <c r="I502" s="42"/>
      <c r="J502" s="42"/>
      <c r="K502" s="41">
        <v>260424002</v>
      </c>
      <c r="L502" s="41"/>
      <c r="M502" s="41">
        <f>M477-D502</f>
        <v>32</v>
      </c>
      <c r="N502" s="19">
        <v>46116</v>
      </c>
      <c r="O502" s="21">
        <f t="shared" si="49"/>
        <v>46480</v>
      </c>
    </row>
    <row r="503" spans="1:15" ht="20.149999999999999" hidden="1" customHeight="1" x14ac:dyDescent="0.25">
      <c r="A503" s="26">
        <v>46139</v>
      </c>
      <c r="B503" s="26">
        <v>46140</v>
      </c>
      <c r="C503" s="27" t="s">
        <v>894</v>
      </c>
      <c r="D503" s="27">
        <v>4</v>
      </c>
      <c r="E503" s="27">
        <f t="shared" si="47"/>
        <v>780</v>
      </c>
      <c r="F503" s="36" t="s">
        <v>267</v>
      </c>
      <c r="G503" s="27" t="s">
        <v>460</v>
      </c>
      <c r="H503" s="28">
        <f>H491-E503</f>
        <v>2340</v>
      </c>
      <c r="I503" s="61" t="s">
        <v>22</v>
      </c>
      <c r="J503" s="28"/>
      <c r="K503" s="27">
        <v>260424003</v>
      </c>
      <c r="L503" s="27">
        <v>41</v>
      </c>
      <c r="M503" s="27">
        <f>L503-D503</f>
        <v>37</v>
      </c>
      <c r="N503" s="19">
        <v>46124</v>
      </c>
      <c r="O503" s="21">
        <f t="shared" si="49"/>
        <v>46488</v>
      </c>
    </row>
    <row r="504" spans="1:15" ht="20.149999999999999" hidden="1" customHeight="1" x14ac:dyDescent="0.25">
      <c r="A504" s="26">
        <v>46139</v>
      </c>
      <c r="B504" s="26">
        <v>46140</v>
      </c>
      <c r="C504" s="27" t="s">
        <v>895</v>
      </c>
      <c r="D504" s="27">
        <v>4</v>
      </c>
      <c r="E504" s="27">
        <f t="shared" si="47"/>
        <v>780</v>
      </c>
      <c r="F504" s="36" t="s">
        <v>267</v>
      </c>
      <c r="G504" s="27" t="s">
        <v>460</v>
      </c>
      <c r="H504" s="28">
        <f>H503-E504</f>
        <v>1560</v>
      </c>
      <c r="I504" s="61" t="s">
        <v>22</v>
      </c>
      <c r="J504" s="28"/>
      <c r="K504" s="27">
        <v>260424003</v>
      </c>
      <c r="L504" s="27">
        <v>41</v>
      </c>
      <c r="M504" s="27">
        <f>L504-D504</f>
        <v>37</v>
      </c>
      <c r="N504" s="19">
        <v>46126</v>
      </c>
      <c r="O504" s="21">
        <f t="shared" si="49"/>
        <v>46490</v>
      </c>
    </row>
    <row r="505" spans="1:15" ht="20.149999999999999" hidden="1" customHeight="1" x14ac:dyDescent="0.25">
      <c r="A505" s="26">
        <v>46139</v>
      </c>
      <c r="B505" s="26">
        <v>46140</v>
      </c>
      <c r="C505" s="27" t="s">
        <v>896</v>
      </c>
      <c r="D505" s="27">
        <v>4</v>
      </c>
      <c r="E505" s="27">
        <f t="shared" si="47"/>
        <v>780</v>
      </c>
      <c r="F505" s="36" t="s">
        <v>267</v>
      </c>
      <c r="G505" s="27" t="s">
        <v>460</v>
      </c>
      <c r="H505" s="28">
        <f>H504-E505</f>
        <v>780</v>
      </c>
      <c r="I505" s="61" t="s">
        <v>22</v>
      </c>
      <c r="J505" s="28"/>
      <c r="K505" s="27">
        <v>260424003</v>
      </c>
      <c r="L505" s="27">
        <v>42</v>
      </c>
      <c r="M505" s="27">
        <f>L505-D505</f>
        <v>38</v>
      </c>
      <c r="N505" s="19">
        <v>46127</v>
      </c>
      <c r="O505" s="21">
        <f t="shared" si="49"/>
        <v>46491</v>
      </c>
    </row>
    <row r="506" spans="1:15" ht="20.149999999999999" hidden="1" customHeight="1" x14ac:dyDescent="0.25">
      <c r="A506" s="22">
        <v>46139</v>
      </c>
      <c r="B506" s="22">
        <v>46140</v>
      </c>
      <c r="C506" s="23" t="s">
        <v>843</v>
      </c>
      <c r="D506" s="23">
        <v>12</v>
      </c>
      <c r="E506" s="23">
        <f t="shared" si="47"/>
        <v>2340</v>
      </c>
      <c r="F506" s="38" t="s">
        <v>897</v>
      </c>
      <c r="G506" s="38" t="s">
        <v>905</v>
      </c>
      <c r="H506" s="25">
        <f>H492-E506</f>
        <v>182840</v>
      </c>
      <c r="I506" s="25"/>
      <c r="J506" s="25"/>
      <c r="K506" s="23">
        <v>260424004</v>
      </c>
      <c r="L506" s="23"/>
      <c r="M506" s="23">
        <f>M502-D506</f>
        <v>20</v>
      </c>
      <c r="N506" s="19">
        <v>46116</v>
      </c>
      <c r="O506" s="21">
        <f t="shared" si="49"/>
        <v>46480</v>
      </c>
    </row>
    <row r="507" spans="1:15" ht="20.149999999999999" hidden="1" customHeight="1" x14ac:dyDescent="0.3">
      <c r="A507" s="33">
        <v>46139</v>
      </c>
      <c r="B507" s="33">
        <v>46140</v>
      </c>
      <c r="C507" s="34" t="s">
        <v>898</v>
      </c>
      <c r="D507" s="34">
        <v>4</v>
      </c>
      <c r="E507" s="34">
        <f t="shared" si="47"/>
        <v>780</v>
      </c>
      <c r="F507" s="39" t="s">
        <v>274</v>
      </c>
      <c r="G507" s="39" t="s">
        <v>670</v>
      </c>
      <c r="H507" s="35">
        <f>H494-E507</f>
        <v>16380</v>
      </c>
      <c r="I507" s="63" t="s">
        <v>22</v>
      </c>
      <c r="J507" s="35"/>
      <c r="K507" s="34">
        <v>260424005</v>
      </c>
      <c r="L507" s="34">
        <v>41</v>
      </c>
      <c r="M507" s="34">
        <f>L507-D507</f>
        <v>37</v>
      </c>
      <c r="N507" s="19">
        <v>46128</v>
      </c>
      <c r="O507" s="21">
        <f t="shared" si="49"/>
        <v>46492</v>
      </c>
    </row>
    <row r="508" spans="1:15" ht="20.149999999999999" hidden="1" customHeight="1" x14ac:dyDescent="0.3">
      <c r="A508" s="33">
        <v>46139</v>
      </c>
      <c r="B508" s="33">
        <v>46140</v>
      </c>
      <c r="C508" s="34" t="s">
        <v>899</v>
      </c>
      <c r="D508" s="34">
        <v>4</v>
      </c>
      <c r="E508" s="34">
        <f t="shared" si="47"/>
        <v>780</v>
      </c>
      <c r="F508" s="39" t="s">
        <v>274</v>
      </c>
      <c r="G508" s="39" t="s">
        <v>670</v>
      </c>
      <c r="H508" s="35">
        <f>H507-E508</f>
        <v>15600</v>
      </c>
      <c r="I508" s="63" t="s">
        <v>22</v>
      </c>
      <c r="J508" s="35"/>
      <c r="K508" s="34">
        <v>260424005</v>
      </c>
      <c r="L508" s="34">
        <v>41</v>
      </c>
      <c r="M508" s="34">
        <f>L508-D508</f>
        <v>37</v>
      </c>
      <c r="N508" s="19">
        <v>46129</v>
      </c>
      <c r="O508" s="21">
        <f t="shared" si="49"/>
        <v>46493</v>
      </c>
    </row>
    <row r="509" spans="1:15" ht="20.149999999999999" hidden="1" customHeight="1" x14ac:dyDescent="0.3">
      <c r="A509" s="33">
        <v>46139</v>
      </c>
      <c r="B509" s="33">
        <v>46140</v>
      </c>
      <c r="C509" s="34" t="s">
        <v>900</v>
      </c>
      <c r="D509" s="34">
        <v>4</v>
      </c>
      <c r="E509" s="34">
        <f t="shared" si="47"/>
        <v>780</v>
      </c>
      <c r="F509" s="39" t="s">
        <v>274</v>
      </c>
      <c r="G509" s="39" t="s">
        <v>670</v>
      </c>
      <c r="H509" s="35">
        <f>H508-E509</f>
        <v>14820</v>
      </c>
      <c r="I509" s="63" t="s">
        <v>22</v>
      </c>
      <c r="J509" s="35"/>
      <c r="K509" s="34">
        <v>260424005</v>
      </c>
      <c r="L509" s="34">
        <v>42</v>
      </c>
      <c r="M509" s="34">
        <f>L509-D509</f>
        <v>38</v>
      </c>
      <c r="N509" s="19">
        <v>46130</v>
      </c>
      <c r="O509" s="21">
        <f t="shared" si="49"/>
        <v>46494</v>
      </c>
    </row>
    <row r="510" spans="1:15" ht="20.149999999999999" hidden="1" customHeight="1" x14ac:dyDescent="0.25">
      <c r="A510" s="29">
        <v>46140</v>
      </c>
      <c r="B510" s="29">
        <v>46140</v>
      </c>
      <c r="C510" s="30" t="s">
        <v>843</v>
      </c>
      <c r="D510" s="30">
        <v>4</v>
      </c>
      <c r="E510" s="30">
        <f t="shared" si="47"/>
        <v>780</v>
      </c>
      <c r="F510" s="37" t="s">
        <v>29</v>
      </c>
      <c r="G510" s="37" t="s">
        <v>81</v>
      </c>
      <c r="H510" s="32">
        <f>H485-E510</f>
        <v>66460</v>
      </c>
      <c r="I510" s="32"/>
      <c r="J510" s="32"/>
      <c r="K510" s="30">
        <v>260427002</v>
      </c>
      <c r="L510" s="30"/>
      <c r="M510" s="30">
        <f>M506-D510</f>
        <v>16</v>
      </c>
      <c r="N510" s="19">
        <v>46116</v>
      </c>
      <c r="O510" s="21">
        <f t="shared" si="49"/>
        <v>46480</v>
      </c>
    </row>
    <row r="511" spans="1:15" ht="20.149999999999999" hidden="1" customHeight="1" x14ac:dyDescent="0.25">
      <c r="A511" s="40">
        <v>46140</v>
      </c>
      <c r="B511" s="40">
        <v>46140</v>
      </c>
      <c r="C511" s="41" t="s">
        <v>843</v>
      </c>
      <c r="D511" s="41">
        <v>16</v>
      </c>
      <c r="E511" s="41">
        <f t="shared" si="47"/>
        <v>3120</v>
      </c>
      <c r="F511" s="60" t="s">
        <v>27</v>
      </c>
      <c r="G511" s="60" t="s">
        <v>518</v>
      </c>
      <c r="H511" s="42">
        <f>H498-E511</f>
        <v>2340</v>
      </c>
      <c r="I511" s="42"/>
      <c r="J511" s="42"/>
      <c r="K511" s="41">
        <v>260427003</v>
      </c>
      <c r="L511" s="41"/>
      <c r="M511" s="41">
        <f>M510-D511</f>
        <v>0</v>
      </c>
      <c r="N511" s="19">
        <v>46116</v>
      </c>
      <c r="O511" s="21">
        <f t="shared" si="49"/>
        <v>46480</v>
      </c>
    </row>
    <row r="512" spans="1:15" ht="20.149999999999999" hidden="1" customHeight="1" x14ac:dyDescent="0.25">
      <c r="A512" s="40">
        <v>46140</v>
      </c>
      <c r="B512" s="40">
        <v>46140</v>
      </c>
      <c r="C512" s="41" t="s">
        <v>838</v>
      </c>
      <c r="D512" s="41">
        <v>8</v>
      </c>
      <c r="E512" s="41">
        <f t="shared" si="47"/>
        <v>1560</v>
      </c>
      <c r="F512" s="60" t="s">
        <v>27</v>
      </c>
      <c r="G512" s="60" t="s">
        <v>518</v>
      </c>
      <c r="H512" s="42">
        <f>H511-E512</f>
        <v>780</v>
      </c>
      <c r="I512" s="42"/>
      <c r="J512" s="42"/>
      <c r="K512" s="41">
        <v>260427003</v>
      </c>
      <c r="L512" s="41"/>
      <c r="M512" s="41">
        <f>M478-D512</f>
        <v>29</v>
      </c>
      <c r="N512" s="19">
        <v>46117</v>
      </c>
      <c r="O512" s="21">
        <f t="shared" si="49"/>
        <v>46481</v>
      </c>
    </row>
    <row r="513" spans="1:15" ht="20.149999999999999" hidden="1" customHeight="1" x14ac:dyDescent="0.25">
      <c r="A513" s="33">
        <v>46140</v>
      </c>
      <c r="B513" s="33">
        <v>46141</v>
      </c>
      <c r="C513" s="34" t="s">
        <v>838</v>
      </c>
      <c r="D513" s="34">
        <v>21</v>
      </c>
      <c r="E513" s="34">
        <f t="shared" si="47"/>
        <v>4095</v>
      </c>
      <c r="F513" s="39" t="s">
        <v>339</v>
      </c>
      <c r="G513" s="39" t="s">
        <v>867</v>
      </c>
      <c r="H513" s="35">
        <f>H489-E513</f>
        <v>21645</v>
      </c>
      <c r="I513" s="35"/>
      <c r="J513" s="35"/>
      <c r="K513" s="34">
        <v>260427004</v>
      </c>
      <c r="L513" s="34"/>
      <c r="M513" s="34">
        <f>M512-D513</f>
        <v>8</v>
      </c>
      <c r="N513" s="19">
        <v>46117</v>
      </c>
      <c r="O513" s="21">
        <f t="shared" si="49"/>
        <v>46481</v>
      </c>
    </row>
    <row r="514" spans="1:15" ht="20.149999999999999" hidden="1" customHeight="1" x14ac:dyDescent="0.25">
      <c r="A514" s="33">
        <v>46140</v>
      </c>
      <c r="B514" s="33">
        <v>46141</v>
      </c>
      <c r="C514" s="34" t="s">
        <v>844</v>
      </c>
      <c r="D514" s="34">
        <v>7</v>
      </c>
      <c r="E514" s="34">
        <f t="shared" si="47"/>
        <v>1365</v>
      </c>
      <c r="F514" s="39" t="s">
        <v>339</v>
      </c>
      <c r="G514" s="39" t="s">
        <v>867</v>
      </c>
      <c r="H514" s="35">
        <f>H513-E514</f>
        <v>20280</v>
      </c>
      <c r="I514" s="35"/>
      <c r="J514" s="35"/>
      <c r="K514" s="34">
        <v>260427004</v>
      </c>
      <c r="L514" s="34"/>
      <c r="M514" s="34">
        <f>M479-D514</f>
        <v>15</v>
      </c>
      <c r="N514" s="19">
        <v>46118</v>
      </c>
      <c r="O514" s="21">
        <f t="shared" si="49"/>
        <v>46482</v>
      </c>
    </row>
    <row r="515" spans="1:15" ht="20.149999999999999" hidden="1" customHeight="1" x14ac:dyDescent="0.3">
      <c r="A515" s="90">
        <v>46140</v>
      </c>
      <c r="B515" s="90">
        <v>46140</v>
      </c>
      <c r="C515" s="91" t="s">
        <v>906</v>
      </c>
      <c r="D515" s="91">
        <v>4</v>
      </c>
      <c r="E515" s="91">
        <f t="shared" si="47"/>
        <v>780</v>
      </c>
      <c r="F515" s="92" t="s">
        <v>274</v>
      </c>
      <c r="G515" s="92" t="s">
        <v>670</v>
      </c>
      <c r="H515" s="93">
        <f>H509-E515</f>
        <v>14040</v>
      </c>
      <c r="I515" s="140" t="s">
        <v>22</v>
      </c>
      <c r="J515" s="93"/>
      <c r="K515" s="91">
        <v>260427005</v>
      </c>
      <c r="L515" s="91">
        <v>41</v>
      </c>
      <c r="M515" s="91">
        <f>L515-D515</f>
        <v>37</v>
      </c>
      <c r="N515" s="19">
        <v>46136</v>
      </c>
      <c r="O515" s="21">
        <f t="shared" si="49"/>
        <v>46500</v>
      </c>
    </row>
    <row r="516" spans="1:15" ht="20.149999999999999" hidden="1" customHeight="1" x14ac:dyDescent="0.25">
      <c r="A516" s="22">
        <v>46141</v>
      </c>
      <c r="B516" s="22">
        <v>46142</v>
      </c>
      <c r="C516" s="23" t="s">
        <v>838</v>
      </c>
      <c r="D516" s="23">
        <v>8</v>
      </c>
      <c r="E516" s="23">
        <f>D516*195</f>
        <v>1560</v>
      </c>
      <c r="F516" s="38" t="s">
        <v>907</v>
      </c>
      <c r="G516" s="75" t="s">
        <v>909</v>
      </c>
      <c r="H516" s="25">
        <f>31980-E516</f>
        <v>30420</v>
      </c>
      <c r="I516" s="25"/>
      <c r="J516" s="25"/>
      <c r="K516" s="23">
        <v>260428012</v>
      </c>
      <c r="L516" s="23"/>
      <c r="M516" s="23">
        <f>M513-D516</f>
        <v>0</v>
      </c>
      <c r="N516" s="19">
        <v>46117</v>
      </c>
      <c r="O516" s="21">
        <f t="shared" ref="O516:O579" si="50">DATE(YEAR(N516)+1,MONTH(N516),DAY(N516))-1</f>
        <v>46481</v>
      </c>
    </row>
    <row r="517" spans="1:15" ht="20.149999999999999" hidden="1" customHeight="1" x14ac:dyDescent="0.25">
      <c r="A517" s="22">
        <v>46141</v>
      </c>
      <c r="B517" s="22">
        <v>46142</v>
      </c>
      <c r="C517" s="23" t="s">
        <v>844</v>
      </c>
      <c r="D517" s="23">
        <v>4</v>
      </c>
      <c r="E517" s="23">
        <f t="shared" ref="E517:E580" si="51">D517*195</f>
        <v>780</v>
      </c>
      <c r="F517" s="38" t="s">
        <v>907</v>
      </c>
      <c r="G517" s="23" t="s">
        <v>460</v>
      </c>
      <c r="H517" s="25">
        <f>H505-E517</f>
        <v>0</v>
      </c>
      <c r="I517" s="25"/>
      <c r="J517" s="25"/>
      <c r="K517" s="23">
        <v>260428012</v>
      </c>
      <c r="L517" s="23"/>
      <c r="M517" s="23">
        <f>M514-D517</f>
        <v>11</v>
      </c>
      <c r="N517" s="19">
        <v>46118</v>
      </c>
      <c r="O517" s="21">
        <f t="shared" si="50"/>
        <v>46482</v>
      </c>
    </row>
    <row r="518" spans="1:15" ht="20.149999999999999" hidden="1" customHeight="1" x14ac:dyDescent="0.25">
      <c r="A518" s="26">
        <v>46141</v>
      </c>
      <c r="B518" s="26">
        <v>46142</v>
      </c>
      <c r="C518" s="27" t="s">
        <v>844</v>
      </c>
      <c r="D518" s="27">
        <v>8</v>
      </c>
      <c r="E518" s="27">
        <f t="shared" si="51"/>
        <v>1560</v>
      </c>
      <c r="F518" s="36" t="s">
        <v>908</v>
      </c>
      <c r="G518" s="36" t="s">
        <v>297</v>
      </c>
      <c r="H518" s="28">
        <f>H506-E518</f>
        <v>181280</v>
      </c>
      <c r="I518" s="28"/>
      <c r="J518" s="28"/>
      <c r="K518" s="27">
        <v>260428013</v>
      </c>
      <c r="L518" s="27"/>
      <c r="M518" s="27">
        <f>M517-D518</f>
        <v>3</v>
      </c>
      <c r="N518" s="19">
        <v>46118</v>
      </c>
      <c r="O518" s="21">
        <f t="shared" si="50"/>
        <v>46482</v>
      </c>
    </row>
    <row r="519" spans="1:15" ht="20.149999999999999" hidden="1" customHeight="1" x14ac:dyDescent="0.2">
      <c r="A519" s="33">
        <v>46141</v>
      </c>
      <c r="B519" s="33">
        <v>46142</v>
      </c>
      <c r="C519" s="34" t="s">
        <v>844</v>
      </c>
      <c r="D519" s="34">
        <v>3</v>
      </c>
      <c r="E519" s="34">
        <f t="shared" si="51"/>
        <v>585</v>
      </c>
      <c r="F519" s="39" t="s">
        <v>30</v>
      </c>
      <c r="G519" s="39" t="s">
        <v>779</v>
      </c>
      <c r="H519" s="35">
        <f>H495-E519</f>
        <v>16575</v>
      </c>
      <c r="I519" s="35"/>
      <c r="J519" s="35"/>
      <c r="K519" s="34">
        <v>260428014</v>
      </c>
      <c r="L519" s="34"/>
      <c r="M519" s="34">
        <f>M518-D519</f>
        <v>0</v>
      </c>
      <c r="N519" s="19">
        <v>46118</v>
      </c>
      <c r="O519" s="21">
        <f t="shared" si="50"/>
        <v>46482</v>
      </c>
    </row>
    <row r="520" spans="1:15" ht="20.149999999999999" hidden="1" customHeight="1" x14ac:dyDescent="0.2">
      <c r="A520" s="33">
        <v>46141</v>
      </c>
      <c r="B520" s="33">
        <v>46142</v>
      </c>
      <c r="C520" s="34" t="s">
        <v>839</v>
      </c>
      <c r="D520" s="34">
        <v>13</v>
      </c>
      <c r="E520" s="34">
        <f t="shared" si="51"/>
        <v>2535</v>
      </c>
      <c r="F520" s="39" t="s">
        <v>30</v>
      </c>
      <c r="G520" s="39" t="s">
        <v>779</v>
      </c>
      <c r="H520" s="35">
        <f>H519-E520</f>
        <v>14040</v>
      </c>
      <c r="I520" s="35"/>
      <c r="J520" s="35"/>
      <c r="K520" s="34">
        <v>260428014</v>
      </c>
      <c r="L520" s="34"/>
      <c r="M520" s="34">
        <f>M480-D520</f>
        <v>8</v>
      </c>
      <c r="N520" s="19">
        <v>46119</v>
      </c>
      <c r="O520" s="21">
        <f t="shared" si="50"/>
        <v>46483</v>
      </c>
    </row>
    <row r="521" spans="1:15" ht="20.149999999999999" hidden="1" customHeight="1" x14ac:dyDescent="0.3">
      <c r="A521" s="40">
        <v>46142</v>
      </c>
      <c r="B521" s="129">
        <v>46143</v>
      </c>
      <c r="C521" s="41" t="s">
        <v>910</v>
      </c>
      <c r="D521" s="41">
        <v>8</v>
      </c>
      <c r="E521" s="41">
        <f t="shared" si="51"/>
        <v>1560</v>
      </c>
      <c r="F521" s="60" t="s">
        <v>274</v>
      </c>
      <c r="G521" s="60" t="s">
        <v>919</v>
      </c>
      <c r="H521" s="42">
        <f>H515-E521</f>
        <v>12480</v>
      </c>
      <c r="I521" s="42"/>
      <c r="J521" s="42"/>
      <c r="K521" s="41">
        <v>260429006</v>
      </c>
      <c r="L521" s="41"/>
      <c r="M521" s="41">
        <f>M520-D521</f>
        <v>0</v>
      </c>
      <c r="N521" s="19">
        <v>46119</v>
      </c>
      <c r="O521" s="21">
        <f t="shared" si="50"/>
        <v>46483</v>
      </c>
    </row>
    <row r="522" spans="1:15" ht="20.149999999999999" hidden="1" customHeight="1" x14ac:dyDescent="0.25">
      <c r="A522" s="29">
        <v>46146</v>
      </c>
      <c r="B522" s="29">
        <v>46147</v>
      </c>
      <c r="C522" s="30" t="s">
        <v>922</v>
      </c>
      <c r="D522" s="30">
        <v>12</v>
      </c>
      <c r="E522" s="30">
        <f t="shared" si="51"/>
        <v>2340</v>
      </c>
      <c r="F522" s="37" t="s">
        <v>924</v>
      </c>
      <c r="G522" s="37" t="s">
        <v>909</v>
      </c>
      <c r="H522" s="32">
        <f>H516-E522</f>
        <v>28080</v>
      </c>
      <c r="I522" s="32"/>
      <c r="J522" s="32"/>
      <c r="K522" s="30">
        <v>260430001</v>
      </c>
      <c r="L522" s="30"/>
      <c r="M522" s="30">
        <f>M481-D522</f>
        <v>6</v>
      </c>
      <c r="N522" s="19">
        <v>46120</v>
      </c>
      <c r="O522" s="21">
        <f t="shared" si="50"/>
        <v>46484</v>
      </c>
    </row>
    <row r="523" spans="1:15" ht="20.149999999999999" hidden="1" customHeight="1" x14ac:dyDescent="0.25">
      <c r="A523" s="22">
        <v>46146</v>
      </c>
      <c r="B523" s="22">
        <v>46147</v>
      </c>
      <c r="C523" s="23" t="s">
        <v>922</v>
      </c>
      <c r="D523" s="23">
        <v>6</v>
      </c>
      <c r="E523" s="23">
        <f t="shared" si="51"/>
        <v>1170</v>
      </c>
      <c r="F523" s="38" t="s">
        <v>908</v>
      </c>
      <c r="G523" s="38" t="s">
        <v>297</v>
      </c>
      <c r="H523" s="25">
        <f>H518-E523</f>
        <v>180110</v>
      </c>
      <c r="I523" s="25"/>
      <c r="J523" s="25"/>
      <c r="K523" s="23">
        <v>260430002</v>
      </c>
      <c r="L523" s="23"/>
      <c r="M523" s="23">
        <f>M522-D523</f>
        <v>0</v>
      </c>
      <c r="N523" s="19">
        <v>46120</v>
      </c>
      <c r="O523" s="21">
        <f t="shared" si="50"/>
        <v>46484</v>
      </c>
    </row>
    <row r="524" spans="1:15" ht="20.149999999999999" hidden="1" customHeight="1" x14ac:dyDescent="0.25">
      <c r="A524" s="22">
        <v>46146</v>
      </c>
      <c r="B524" s="22">
        <v>46147</v>
      </c>
      <c r="C524" s="23" t="s">
        <v>923</v>
      </c>
      <c r="D524" s="23">
        <v>6</v>
      </c>
      <c r="E524" s="23">
        <f t="shared" si="51"/>
        <v>1170</v>
      </c>
      <c r="F524" s="38" t="s">
        <v>908</v>
      </c>
      <c r="G524" s="38" t="s">
        <v>297</v>
      </c>
      <c r="H524" s="25">
        <f>H523-E524</f>
        <v>178940</v>
      </c>
      <c r="I524" s="25"/>
      <c r="J524" s="25"/>
      <c r="K524" s="23">
        <v>260430002</v>
      </c>
      <c r="L524" s="23"/>
      <c r="M524" s="23">
        <f>M491-D524</f>
        <v>15</v>
      </c>
      <c r="N524" s="19">
        <v>46121</v>
      </c>
      <c r="O524" s="21">
        <f t="shared" si="50"/>
        <v>46485</v>
      </c>
    </row>
    <row r="525" spans="1:15" ht="20.149999999999999" hidden="1" customHeight="1" x14ac:dyDescent="0.3">
      <c r="A525" s="26">
        <v>46146</v>
      </c>
      <c r="B525" s="26">
        <v>46147</v>
      </c>
      <c r="C525" s="27" t="s">
        <v>923</v>
      </c>
      <c r="D525" s="27">
        <v>12</v>
      </c>
      <c r="E525" s="27">
        <f t="shared" si="51"/>
        <v>2340</v>
      </c>
      <c r="F525" s="36" t="s">
        <v>274</v>
      </c>
      <c r="G525" s="36" t="s">
        <v>670</v>
      </c>
      <c r="H525" s="28">
        <f>H521-E525</f>
        <v>10140</v>
      </c>
      <c r="I525" s="28"/>
      <c r="J525" s="28"/>
      <c r="K525" s="27">
        <v>260430003</v>
      </c>
      <c r="L525" s="27"/>
      <c r="M525" s="27">
        <f>M524-D525</f>
        <v>3</v>
      </c>
      <c r="N525" s="19">
        <v>46121</v>
      </c>
      <c r="O525" s="21">
        <f t="shared" si="50"/>
        <v>46485</v>
      </c>
    </row>
    <row r="526" spans="1:15" ht="20.149999999999999" hidden="1" customHeight="1" x14ac:dyDescent="0.25">
      <c r="A526" s="33">
        <v>46147</v>
      </c>
      <c r="B526" s="33">
        <v>46147</v>
      </c>
      <c r="C526" s="34" t="s">
        <v>934</v>
      </c>
      <c r="D526" s="34">
        <v>3</v>
      </c>
      <c r="E526" s="34">
        <f t="shared" si="51"/>
        <v>585</v>
      </c>
      <c r="F526" s="39" t="s">
        <v>29</v>
      </c>
      <c r="G526" s="39" t="s">
        <v>81</v>
      </c>
      <c r="H526" s="35">
        <f>H510-E526</f>
        <v>65875</v>
      </c>
      <c r="I526" s="35"/>
      <c r="J526" s="35"/>
      <c r="K526" s="34">
        <v>260504007</v>
      </c>
      <c r="L526" s="34"/>
      <c r="M526" s="34">
        <f>M525-D526</f>
        <v>0</v>
      </c>
      <c r="N526" s="19">
        <v>46121</v>
      </c>
      <c r="O526" s="21">
        <f t="shared" si="50"/>
        <v>46485</v>
      </c>
    </row>
    <row r="527" spans="1:15" ht="20.149999999999999" hidden="1" customHeight="1" x14ac:dyDescent="0.25">
      <c r="A527" s="33">
        <v>46147</v>
      </c>
      <c r="B527" s="33">
        <v>46147</v>
      </c>
      <c r="C527" s="34" t="s">
        <v>874</v>
      </c>
      <c r="D527" s="34">
        <v>1</v>
      </c>
      <c r="E527" s="34">
        <f t="shared" si="51"/>
        <v>195</v>
      </c>
      <c r="F527" s="39" t="s">
        <v>29</v>
      </c>
      <c r="G527" s="39" t="s">
        <v>930</v>
      </c>
      <c r="H527" s="35">
        <f>H526-E527</f>
        <v>65680</v>
      </c>
      <c r="I527" s="35"/>
      <c r="J527" s="35"/>
      <c r="K527" s="34">
        <v>260504007</v>
      </c>
      <c r="L527" s="34"/>
      <c r="M527" s="34">
        <f>M493-D527</f>
        <v>16</v>
      </c>
      <c r="N527" s="19">
        <v>46122</v>
      </c>
      <c r="O527" s="21">
        <f t="shared" si="50"/>
        <v>46486</v>
      </c>
    </row>
    <row r="528" spans="1:15" ht="20.149999999999999" hidden="1" customHeight="1" x14ac:dyDescent="0.25">
      <c r="A528" s="29">
        <v>46147</v>
      </c>
      <c r="B528" s="29">
        <v>46147</v>
      </c>
      <c r="C528" s="30" t="s">
        <v>935</v>
      </c>
      <c r="D528" s="30">
        <v>4</v>
      </c>
      <c r="E528" s="30">
        <f>D528*195</f>
        <v>780</v>
      </c>
      <c r="F528" s="37" t="s">
        <v>27</v>
      </c>
      <c r="G528" s="37" t="s">
        <v>511</v>
      </c>
      <c r="H528" s="32">
        <f>H512-E528</f>
        <v>0</v>
      </c>
      <c r="I528" s="32"/>
      <c r="J528" s="32"/>
      <c r="K528" s="30">
        <v>260504008</v>
      </c>
      <c r="L528" s="30"/>
      <c r="M528" s="30">
        <f>M494-D528</f>
        <v>34</v>
      </c>
      <c r="N528" s="19">
        <v>46123</v>
      </c>
      <c r="O528" s="21">
        <f t="shared" si="50"/>
        <v>46487</v>
      </c>
    </row>
    <row r="529" spans="1:15" ht="20.149999999999999" hidden="1" customHeight="1" x14ac:dyDescent="0.25">
      <c r="A529" s="29">
        <v>46147</v>
      </c>
      <c r="B529" s="29">
        <v>46147</v>
      </c>
      <c r="C529" s="30" t="s">
        <v>927</v>
      </c>
      <c r="D529" s="30">
        <v>4</v>
      </c>
      <c r="E529" s="30">
        <f>D529*195</f>
        <v>780</v>
      </c>
      <c r="F529" s="37" t="s">
        <v>27</v>
      </c>
      <c r="G529" s="161" t="s">
        <v>939</v>
      </c>
      <c r="H529" s="32">
        <f>26520-E529</f>
        <v>25740</v>
      </c>
      <c r="I529" s="32"/>
      <c r="J529" s="32"/>
      <c r="K529" s="30" t="s">
        <v>937</v>
      </c>
      <c r="L529" s="30"/>
      <c r="M529" s="30">
        <f>M528-D529</f>
        <v>30</v>
      </c>
      <c r="N529" s="19">
        <v>46123</v>
      </c>
      <c r="O529" s="21">
        <f t="shared" si="50"/>
        <v>46487</v>
      </c>
    </row>
    <row r="530" spans="1:15" ht="20.149999999999999" hidden="1" customHeight="1" x14ac:dyDescent="0.2">
      <c r="A530" s="40">
        <v>46147</v>
      </c>
      <c r="B530" s="40">
        <v>46148</v>
      </c>
      <c r="C530" s="41" t="s">
        <v>874</v>
      </c>
      <c r="D530" s="41">
        <v>16</v>
      </c>
      <c r="E530" s="41">
        <f t="shared" si="51"/>
        <v>3120</v>
      </c>
      <c r="F530" s="60" t="s">
        <v>928</v>
      </c>
      <c r="G530" s="60" t="s">
        <v>779</v>
      </c>
      <c r="H530" s="42">
        <f>H520-E530</f>
        <v>10920</v>
      </c>
      <c r="I530" s="42"/>
      <c r="J530" s="42"/>
      <c r="K530" s="41">
        <v>260504009</v>
      </c>
      <c r="L530" s="41"/>
      <c r="M530" s="41">
        <f>M527-D530</f>
        <v>0</v>
      </c>
      <c r="N530" s="19">
        <v>46122</v>
      </c>
      <c r="O530" s="21">
        <f t="shared" si="50"/>
        <v>46486</v>
      </c>
    </row>
    <row r="531" spans="1:15" ht="20.149999999999999" hidden="1" customHeight="1" x14ac:dyDescent="0.2">
      <c r="A531" s="26">
        <v>46147</v>
      </c>
      <c r="B531" s="26">
        <v>46148</v>
      </c>
      <c r="C531" s="27" t="s">
        <v>936</v>
      </c>
      <c r="D531" s="27">
        <v>16</v>
      </c>
      <c r="E531" s="27">
        <f t="shared" si="51"/>
        <v>3120</v>
      </c>
      <c r="F531" s="27" t="s">
        <v>929</v>
      </c>
      <c r="G531" s="36" t="s">
        <v>940</v>
      </c>
      <c r="H531" s="28">
        <f>H497-E531</f>
        <v>55320</v>
      </c>
      <c r="I531" s="28"/>
      <c r="J531" s="28"/>
      <c r="K531" s="27">
        <v>260504010</v>
      </c>
      <c r="L531" s="27"/>
      <c r="M531" s="27">
        <f>M529-D531</f>
        <v>14</v>
      </c>
      <c r="N531" s="19">
        <v>46123</v>
      </c>
      <c r="O531" s="21">
        <f t="shared" si="50"/>
        <v>46487</v>
      </c>
    </row>
    <row r="532" spans="1:15" ht="20.149999999999999" hidden="1" customHeight="1" x14ac:dyDescent="0.25">
      <c r="A532" s="22">
        <v>46148</v>
      </c>
      <c r="B532" s="22">
        <v>46149</v>
      </c>
      <c r="C532" s="23" t="s">
        <v>935</v>
      </c>
      <c r="D532" s="23">
        <v>14</v>
      </c>
      <c r="E532" s="23">
        <f t="shared" si="51"/>
        <v>2730</v>
      </c>
      <c r="F532" s="38" t="s">
        <v>307</v>
      </c>
      <c r="G532" s="38" t="s">
        <v>949</v>
      </c>
      <c r="H532" s="25">
        <f>H514-E532</f>
        <v>17550</v>
      </c>
      <c r="I532" s="25"/>
      <c r="J532" s="25"/>
      <c r="K532" s="23">
        <v>260505008</v>
      </c>
      <c r="L532" s="23"/>
      <c r="M532" s="23">
        <f>M531-D532</f>
        <v>0</v>
      </c>
      <c r="N532" s="19">
        <v>46123</v>
      </c>
      <c r="O532" s="21">
        <f t="shared" si="50"/>
        <v>46487</v>
      </c>
    </row>
    <row r="533" spans="1:15" ht="20.149999999999999" hidden="1" customHeight="1" x14ac:dyDescent="0.25">
      <c r="A533" s="22">
        <v>46148</v>
      </c>
      <c r="B533" s="22">
        <v>46149</v>
      </c>
      <c r="C533" s="23" t="s">
        <v>948</v>
      </c>
      <c r="D533" s="23">
        <v>14</v>
      </c>
      <c r="E533" s="23">
        <f t="shared" si="51"/>
        <v>2730</v>
      </c>
      <c r="F533" s="38" t="s">
        <v>307</v>
      </c>
      <c r="G533" s="38" t="s">
        <v>946</v>
      </c>
      <c r="H533" s="25">
        <f>H532-E533</f>
        <v>14820</v>
      </c>
      <c r="I533" s="25"/>
      <c r="J533" s="25"/>
      <c r="K533" s="23">
        <v>260505008</v>
      </c>
      <c r="L533" s="23"/>
      <c r="M533" s="23">
        <f>M503-D533</f>
        <v>23</v>
      </c>
      <c r="N533" s="19">
        <v>46124</v>
      </c>
      <c r="O533" s="21">
        <f t="shared" si="50"/>
        <v>46488</v>
      </c>
    </row>
    <row r="534" spans="1:15" ht="20.149999999999999" hidden="1" customHeight="1" x14ac:dyDescent="0.25">
      <c r="A534" s="33">
        <v>46149</v>
      </c>
      <c r="B534" s="33">
        <v>46150</v>
      </c>
      <c r="C534" s="34" t="s">
        <v>954</v>
      </c>
      <c r="D534" s="34">
        <v>8</v>
      </c>
      <c r="E534" s="34">
        <f t="shared" si="51"/>
        <v>1560</v>
      </c>
      <c r="F534" s="39" t="s">
        <v>924</v>
      </c>
      <c r="G534" s="39" t="s">
        <v>964</v>
      </c>
      <c r="H534" s="35">
        <f>H522-E534</f>
        <v>26520</v>
      </c>
      <c r="I534" s="35"/>
      <c r="J534" s="35"/>
      <c r="K534" s="34">
        <v>260506003</v>
      </c>
      <c r="L534" s="34"/>
      <c r="M534" s="34">
        <f>M533-D534</f>
        <v>15</v>
      </c>
      <c r="N534" s="19">
        <v>46124</v>
      </c>
      <c r="O534" s="21">
        <f t="shared" si="50"/>
        <v>46488</v>
      </c>
    </row>
    <row r="535" spans="1:15" ht="20.149999999999999" hidden="1" customHeight="1" x14ac:dyDescent="0.25">
      <c r="A535" s="40">
        <v>46149</v>
      </c>
      <c r="B535" s="40">
        <v>46150</v>
      </c>
      <c r="C535" s="41" t="s">
        <v>955</v>
      </c>
      <c r="D535" s="41">
        <v>3</v>
      </c>
      <c r="E535" s="41">
        <f t="shared" si="51"/>
        <v>585</v>
      </c>
      <c r="F535" s="60" t="s">
        <v>908</v>
      </c>
      <c r="G535" s="60" t="s">
        <v>965</v>
      </c>
      <c r="H535" s="42">
        <f>H524-E535</f>
        <v>178355</v>
      </c>
      <c r="I535" s="42"/>
      <c r="J535" s="42"/>
      <c r="K535" s="41">
        <v>260506004</v>
      </c>
      <c r="L535" s="41"/>
      <c r="M535" s="41">
        <f>M534-D535</f>
        <v>12</v>
      </c>
      <c r="N535" s="19">
        <v>46124</v>
      </c>
      <c r="O535" s="21">
        <f t="shared" si="50"/>
        <v>46488</v>
      </c>
    </row>
    <row r="536" spans="1:15" ht="20.149999999999999" hidden="1" customHeight="1" x14ac:dyDescent="0.25">
      <c r="A536" s="40">
        <v>46149</v>
      </c>
      <c r="B536" s="40">
        <v>46150</v>
      </c>
      <c r="C536" s="41" t="s">
        <v>895</v>
      </c>
      <c r="D536" s="41">
        <v>5</v>
      </c>
      <c r="E536" s="41">
        <f t="shared" si="51"/>
        <v>975</v>
      </c>
      <c r="F536" s="60" t="s">
        <v>908</v>
      </c>
      <c r="G536" s="60" t="s">
        <v>951</v>
      </c>
      <c r="H536" s="42">
        <f>H535-E536</f>
        <v>177380</v>
      </c>
      <c r="I536" s="42"/>
      <c r="J536" s="42"/>
      <c r="K536" s="41">
        <v>260506004</v>
      </c>
      <c r="L536" s="41"/>
      <c r="M536" s="41">
        <f>M504-D536</f>
        <v>32</v>
      </c>
      <c r="N536" s="19">
        <v>46126</v>
      </c>
      <c r="O536" s="21">
        <f t="shared" si="50"/>
        <v>46490</v>
      </c>
    </row>
    <row r="537" spans="1:15" ht="20.149999999999999" hidden="1" customHeight="1" x14ac:dyDescent="0.3">
      <c r="A537" s="29">
        <v>46149</v>
      </c>
      <c r="B537" s="29">
        <v>46150</v>
      </c>
      <c r="C537" s="30" t="s">
        <v>956</v>
      </c>
      <c r="D537" s="30">
        <v>8</v>
      </c>
      <c r="E537" s="30">
        <f t="shared" si="51"/>
        <v>1560</v>
      </c>
      <c r="F537" s="37" t="s">
        <v>274</v>
      </c>
      <c r="G537" s="37" t="s">
        <v>670</v>
      </c>
      <c r="H537" s="32">
        <f>H525-E537</f>
        <v>8580</v>
      </c>
      <c r="I537" s="70"/>
      <c r="J537" s="32"/>
      <c r="K537" s="30">
        <v>260506005</v>
      </c>
      <c r="L537" s="30"/>
      <c r="M537" s="30">
        <f>M536-D537</f>
        <v>24</v>
      </c>
      <c r="N537" s="19">
        <v>46126</v>
      </c>
      <c r="O537" s="21">
        <f t="shared" si="50"/>
        <v>46490</v>
      </c>
    </row>
    <row r="538" spans="1:15" ht="20.149999999999999" hidden="1" customHeight="1" x14ac:dyDescent="0.3">
      <c r="A538" s="29">
        <v>46149</v>
      </c>
      <c r="B538" s="29">
        <v>46150</v>
      </c>
      <c r="C538" s="30" t="s">
        <v>957</v>
      </c>
      <c r="D538" s="30">
        <v>4</v>
      </c>
      <c r="E538" s="30">
        <f t="shared" si="51"/>
        <v>780</v>
      </c>
      <c r="F538" s="37" t="s">
        <v>274</v>
      </c>
      <c r="G538" s="37" t="s">
        <v>670</v>
      </c>
      <c r="H538" s="32">
        <f>H537-E538</f>
        <v>7800</v>
      </c>
      <c r="I538" s="70" t="s">
        <v>22</v>
      </c>
      <c r="J538" s="32"/>
      <c r="K538" s="30">
        <v>260506005</v>
      </c>
      <c r="L538" s="30">
        <v>41</v>
      </c>
      <c r="M538" s="30">
        <f>L538-D538</f>
        <v>37</v>
      </c>
      <c r="N538" s="19">
        <v>46131</v>
      </c>
      <c r="O538" s="21">
        <f t="shared" si="50"/>
        <v>46495</v>
      </c>
    </row>
    <row r="539" spans="1:15" ht="20.149999999999999" hidden="1" customHeight="1" x14ac:dyDescent="0.3">
      <c r="A539" s="29">
        <v>46149</v>
      </c>
      <c r="B539" s="29">
        <v>46150</v>
      </c>
      <c r="C539" s="30" t="s">
        <v>950</v>
      </c>
      <c r="D539" s="30">
        <v>4</v>
      </c>
      <c r="E539" s="30">
        <f t="shared" si="51"/>
        <v>780</v>
      </c>
      <c r="F539" s="37" t="s">
        <v>274</v>
      </c>
      <c r="G539" s="37" t="s">
        <v>670</v>
      </c>
      <c r="H539" s="32">
        <f>H538-E539</f>
        <v>7020</v>
      </c>
      <c r="I539" s="70" t="s">
        <v>22</v>
      </c>
      <c r="J539" s="32"/>
      <c r="K539" s="30">
        <v>260506005</v>
      </c>
      <c r="L539" s="30">
        <v>41</v>
      </c>
      <c r="M539" s="30">
        <f>L539-D539</f>
        <v>37</v>
      </c>
      <c r="N539" s="19">
        <v>46138</v>
      </c>
      <c r="O539" s="21">
        <f t="shared" si="50"/>
        <v>46502</v>
      </c>
    </row>
    <row r="540" spans="1:15" ht="20.149999999999999" hidden="1" customHeight="1" x14ac:dyDescent="0.2">
      <c r="A540" s="26">
        <v>46149</v>
      </c>
      <c r="B540" s="26">
        <v>46150</v>
      </c>
      <c r="C540" s="27" t="s">
        <v>955</v>
      </c>
      <c r="D540" s="27">
        <v>8</v>
      </c>
      <c r="E540" s="27">
        <f t="shared" si="51"/>
        <v>1560</v>
      </c>
      <c r="F540" s="36" t="s">
        <v>928</v>
      </c>
      <c r="G540" s="36" t="s">
        <v>966</v>
      </c>
      <c r="H540" s="28">
        <f>H530-E540</f>
        <v>9360</v>
      </c>
      <c r="I540" s="28"/>
      <c r="J540" s="28"/>
      <c r="K540" s="27">
        <v>260506006</v>
      </c>
      <c r="L540" s="27"/>
      <c r="M540" s="27">
        <f>M535-D540</f>
        <v>4</v>
      </c>
      <c r="N540" s="19">
        <v>46124</v>
      </c>
      <c r="O540" s="21">
        <f t="shared" si="50"/>
        <v>46488</v>
      </c>
    </row>
    <row r="541" spans="1:15" ht="20.149999999999999" hidden="1" customHeight="1" x14ac:dyDescent="0.2">
      <c r="A541" s="22">
        <v>46149</v>
      </c>
      <c r="B541" s="22">
        <v>46150</v>
      </c>
      <c r="C541" s="23" t="s">
        <v>958</v>
      </c>
      <c r="D541" s="23">
        <v>8</v>
      </c>
      <c r="E541" s="23">
        <f t="shared" si="51"/>
        <v>1560</v>
      </c>
      <c r="F541" s="23" t="s">
        <v>929</v>
      </c>
      <c r="G541" s="38" t="s">
        <v>869</v>
      </c>
      <c r="H541" s="25">
        <f>H531-E541</f>
        <v>53760</v>
      </c>
      <c r="I541" s="25"/>
      <c r="J541" s="25"/>
      <c r="K541" s="23">
        <v>260506007</v>
      </c>
      <c r="L541" s="23"/>
      <c r="M541" s="23">
        <f>M537-D541</f>
        <v>16</v>
      </c>
      <c r="N541" s="19">
        <v>46126</v>
      </c>
      <c r="O541" s="21">
        <f t="shared" si="50"/>
        <v>46490</v>
      </c>
    </row>
    <row r="542" spans="1:15" ht="20.149999999999999" hidden="1" customHeight="1" x14ac:dyDescent="0.2">
      <c r="A542" s="108">
        <v>46149</v>
      </c>
      <c r="B542" s="108">
        <v>46150</v>
      </c>
      <c r="C542" s="109" t="s">
        <v>894</v>
      </c>
      <c r="D542" s="109">
        <v>4</v>
      </c>
      <c r="E542" s="109">
        <f t="shared" si="51"/>
        <v>780</v>
      </c>
      <c r="F542" s="163" t="s">
        <v>444</v>
      </c>
      <c r="G542" s="110" t="s">
        <v>656</v>
      </c>
      <c r="H542" s="111">
        <f>H470-E542</f>
        <v>192980</v>
      </c>
      <c r="I542" s="111"/>
      <c r="J542" s="111"/>
      <c r="K542" s="109">
        <v>260506008</v>
      </c>
      <c r="L542" s="109"/>
      <c r="M542" s="109">
        <f>M540-D542</f>
        <v>0</v>
      </c>
      <c r="N542" s="19">
        <v>46124</v>
      </c>
      <c r="O542" s="21">
        <f t="shared" si="50"/>
        <v>46488</v>
      </c>
    </row>
    <row r="543" spans="1:15" ht="20.149999999999999" hidden="1" customHeight="1" x14ac:dyDescent="0.25">
      <c r="A543" s="29">
        <v>46150</v>
      </c>
      <c r="B543" s="29">
        <v>46150</v>
      </c>
      <c r="C543" s="30" t="s">
        <v>895</v>
      </c>
      <c r="D543" s="30">
        <v>4</v>
      </c>
      <c r="E543" s="30">
        <f t="shared" si="51"/>
        <v>780</v>
      </c>
      <c r="F543" s="37" t="s">
        <v>29</v>
      </c>
      <c r="G543" s="37" t="s">
        <v>974</v>
      </c>
      <c r="H543" s="32">
        <f>H527-E543</f>
        <v>64900</v>
      </c>
      <c r="I543" s="32"/>
      <c r="J543" s="32"/>
      <c r="K543" s="30">
        <v>260507003</v>
      </c>
      <c r="L543" s="30"/>
      <c r="M543" s="30">
        <f>M541-D543</f>
        <v>12</v>
      </c>
      <c r="N543" s="19">
        <v>46126</v>
      </c>
      <c r="O543" s="21">
        <f t="shared" si="50"/>
        <v>46490</v>
      </c>
    </row>
    <row r="544" spans="1:15" ht="20.149999999999999" hidden="1" customHeight="1" x14ac:dyDescent="0.25">
      <c r="A544" s="33">
        <v>46150</v>
      </c>
      <c r="B544" s="33">
        <v>46150</v>
      </c>
      <c r="C544" s="34" t="s">
        <v>895</v>
      </c>
      <c r="D544" s="34">
        <v>8</v>
      </c>
      <c r="E544" s="34">
        <f t="shared" si="51"/>
        <v>1560</v>
      </c>
      <c r="F544" s="39" t="s">
        <v>27</v>
      </c>
      <c r="G544" s="39" t="s">
        <v>939</v>
      </c>
      <c r="H544" s="35">
        <f>H529-E544</f>
        <v>24180</v>
      </c>
      <c r="I544" s="35"/>
      <c r="J544" s="35"/>
      <c r="K544" s="34">
        <v>260507004</v>
      </c>
      <c r="L544" s="34"/>
      <c r="M544" s="34">
        <f>M543-D544</f>
        <v>4</v>
      </c>
      <c r="N544" s="19">
        <v>46126</v>
      </c>
      <c r="O544" s="21">
        <f t="shared" si="50"/>
        <v>46490</v>
      </c>
    </row>
    <row r="545" spans="1:15" ht="20.149999999999999" hidden="1" customHeight="1" x14ac:dyDescent="0.2">
      <c r="A545" s="40">
        <v>46150</v>
      </c>
      <c r="B545" s="40">
        <v>46153</v>
      </c>
      <c r="C545" s="41" t="s">
        <v>978</v>
      </c>
      <c r="D545" s="41">
        <v>4</v>
      </c>
      <c r="E545" s="41">
        <f t="shared" si="51"/>
        <v>780</v>
      </c>
      <c r="F545" s="146" t="s">
        <v>444</v>
      </c>
      <c r="G545" s="60" t="s">
        <v>981</v>
      </c>
      <c r="H545" s="42">
        <f>H542-E545</f>
        <v>192200</v>
      </c>
      <c r="I545" s="42"/>
      <c r="J545" s="42"/>
      <c r="K545" s="41">
        <v>260508001</v>
      </c>
      <c r="L545" s="41"/>
      <c r="M545" s="41">
        <f>M544-D545</f>
        <v>0</v>
      </c>
      <c r="N545" s="19">
        <v>46126</v>
      </c>
      <c r="O545" s="21">
        <f t="shared" si="50"/>
        <v>46490</v>
      </c>
    </row>
    <row r="546" spans="1:15" ht="20.149999999999999" hidden="1" customHeight="1" x14ac:dyDescent="0.2">
      <c r="A546" s="40">
        <v>46150</v>
      </c>
      <c r="B546" s="40">
        <v>46153</v>
      </c>
      <c r="C546" s="41" t="s">
        <v>979</v>
      </c>
      <c r="D546" s="41">
        <v>8</v>
      </c>
      <c r="E546" s="41">
        <f t="shared" si="51"/>
        <v>1560</v>
      </c>
      <c r="F546" s="146" t="s">
        <v>444</v>
      </c>
      <c r="G546" s="60" t="s">
        <v>980</v>
      </c>
      <c r="H546" s="42">
        <f>H545-E546</f>
        <v>190640</v>
      </c>
      <c r="I546" s="42"/>
      <c r="J546" s="42"/>
      <c r="K546" s="41">
        <v>260508001</v>
      </c>
      <c r="L546" s="41"/>
      <c r="M546" s="41">
        <f>M505-D546</f>
        <v>30</v>
      </c>
      <c r="N546" s="19">
        <v>46127</v>
      </c>
      <c r="O546" s="21">
        <f t="shared" si="50"/>
        <v>46491</v>
      </c>
    </row>
    <row r="547" spans="1:15" ht="20.149999999999999" hidden="1" customHeight="1" x14ac:dyDescent="0.25">
      <c r="A547" s="26">
        <v>46153</v>
      </c>
      <c r="B547" s="26">
        <v>46154</v>
      </c>
      <c r="C547" s="27" t="s">
        <v>982</v>
      </c>
      <c r="D547" s="27">
        <v>4</v>
      </c>
      <c r="E547" s="27">
        <f t="shared" si="51"/>
        <v>780</v>
      </c>
      <c r="F547" s="36" t="s">
        <v>267</v>
      </c>
      <c r="G547" s="36" t="s">
        <v>909</v>
      </c>
      <c r="H547" s="28">
        <f>H534-E547</f>
        <v>25740</v>
      </c>
      <c r="I547" s="61" t="s">
        <v>22</v>
      </c>
      <c r="J547" s="28" t="s">
        <v>701</v>
      </c>
      <c r="K547" s="27">
        <v>260508003</v>
      </c>
      <c r="L547" s="27">
        <f>42-16</f>
        <v>26</v>
      </c>
      <c r="M547" s="27">
        <f>L547-D547</f>
        <v>22</v>
      </c>
      <c r="N547" s="19">
        <v>46140</v>
      </c>
      <c r="O547" s="21">
        <f t="shared" si="50"/>
        <v>46504</v>
      </c>
    </row>
    <row r="548" spans="1:15" ht="20.149999999999999" hidden="1" customHeight="1" x14ac:dyDescent="0.25">
      <c r="A548" s="26">
        <v>46153</v>
      </c>
      <c r="B548" s="26">
        <v>46154</v>
      </c>
      <c r="C548" s="27" t="s">
        <v>986</v>
      </c>
      <c r="D548" s="27">
        <v>4</v>
      </c>
      <c r="E548" s="27">
        <f t="shared" si="51"/>
        <v>780</v>
      </c>
      <c r="F548" s="36" t="s">
        <v>267</v>
      </c>
      <c r="G548" s="36" t="s">
        <v>909</v>
      </c>
      <c r="H548" s="28">
        <f>H547-E548</f>
        <v>24960</v>
      </c>
      <c r="I548" s="61" t="s">
        <v>22</v>
      </c>
      <c r="J548" s="28" t="s">
        <v>702</v>
      </c>
      <c r="K548" s="27">
        <v>260508003</v>
      </c>
      <c r="L548" s="27">
        <f>41-20</f>
        <v>21</v>
      </c>
      <c r="M548" s="27">
        <f>L548-D548</f>
        <v>17</v>
      </c>
      <c r="N548" s="19">
        <v>46141</v>
      </c>
      <c r="O548" s="21">
        <f t="shared" si="50"/>
        <v>46505</v>
      </c>
    </row>
    <row r="549" spans="1:15" ht="20.149999999999999" hidden="1" customHeight="1" x14ac:dyDescent="0.25">
      <c r="A549" s="26">
        <v>46153</v>
      </c>
      <c r="B549" s="26">
        <v>46154</v>
      </c>
      <c r="C549" s="27" t="s">
        <v>983</v>
      </c>
      <c r="D549" s="27">
        <v>4</v>
      </c>
      <c r="E549" s="27">
        <f t="shared" si="51"/>
        <v>780</v>
      </c>
      <c r="F549" s="36" t="s">
        <v>267</v>
      </c>
      <c r="G549" s="36" t="s">
        <v>984</v>
      </c>
      <c r="H549" s="28">
        <f>H548-E549</f>
        <v>24180</v>
      </c>
      <c r="I549" s="61" t="s">
        <v>22</v>
      </c>
      <c r="J549" s="28" t="s">
        <v>701</v>
      </c>
      <c r="K549" s="27">
        <v>260508003</v>
      </c>
      <c r="L549" s="27">
        <f>42-16</f>
        <v>26</v>
      </c>
      <c r="M549" s="27">
        <f>L549-D549</f>
        <v>22</v>
      </c>
      <c r="N549" s="19">
        <v>46142</v>
      </c>
      <c r="O549" s="21">
        <f t="shared" si="50"/>
        <v>46506</v>
      </c>
    </row>
    <row r="550" spans="1:15" ht="20.149999999999999" hidden="1" customHeight="1" x14ac:dyDescent="0.25">
      <c r="A550" s="22">
        <v>46153</v>
      </c>
      <c r="B550" s="22">
        <v>46154</v>
      </c>
      <c r="C550" s="23" t="s">
        <v>987</v>
      </c>
      <c r="D550" s="23">
        <v>12</v>
      </c>
      <c r="E550" s="23">
        <f t="shared" si="51"/>
        <v>2340</v>
      </c>
      <c r="F550" s="38" t="s">
        <v>294</v>
      </c>
      <c r="G550" s="38" t="s">
        <v>297</v>
      </c>
      <c r="H550" s="25">
        <f>H536-E550</f>
        <v>175040</v>
      </c>
      <c r="I550" s="25"/>
      <c r="J550" s="25"/>
      <c r="K550" s="23">
        <v>260508004</v>
      </c>
      <c r="L550" s="23"/>
      <c r="M550" s="23">
        <f>M546-D550</f>
        <v>18</v>
      </c>
      <c r="N550" s="19">
        <v>46127</v>
      </c>
      <c r="O550" s="21">
        <f t="shared" si="50"/>
        <v>46491</v>
      </c>
    </row>
    <row r="551" spans="1:15" ht="20.149999999999999" hidden="1" customHeight="1" x14ac:dyDescent="0.3">
      <c r="A551" s="33">
        <v>46153</v>
      </c>
      <c r="B551" s="33">
        <v>46154</v>
      </c>
      <c r="C551" s="34" t="s">
        <v>988</v>
      </c>
      <c r="D551" s="34">
        <v>4</v>
      </c>
      <c r="E551" s="34">
        <f t="shared" si="51"/>
        <v>780</v>
      </c>
      <c r="F551" s="39" t="s">
        <v>274</v>
      </c>
      <c r="G551" s="39" t="s">
        <v>995</v>
      </c>
      <c r="H551" s="125">
        <f>H539-E551</f>
        <v>6240</v>
      </c>
      <c r="I551" s="63" t="s">
        <v>22</v>
      </c>
      <c r="J551" s="35" t="s">
        <v>702</v>
      </c>
      <c r="K551" s="34">
        <v>260508005</v>
      </c>
      <c r="L551" s="34">
        <f>41-20</f>
        <v>21</v>
      </c>
      <c r="M551" s="34">
        <f>L551-D551</f>
        <v>17</v>
      </c>
      <c r="N551" s="19">
        <v>46143</v>
      </c>
      <c r="O551" s="21">
        <f t="shared" si="50"/>
        <v>46507</v>
      </c>
    </row>
    <row r="552" spans="1:15" ht="20.149999999999999" hidden="1" customHeight="1" x14ac:dyDescent="0.3">
      <c r="A552" s="33">
        <v>46153</v>
      </c>
      <c r="B552" s="33">
        <v>46154</v>
      </c>
      <c r="C552" s="34" t="s">
        <v>989</v>
      </c>
      <c r="D552" s="34">
        <v>4</v>
      </c>
      <c r="E552" s="34">
        <f t="shared" si="51"/>
        <v>780</v>
      </c>
      <c r="F552" s="39" t="s">
        <v>274</v>
      </c>
      <c r="G552" s="39" t="s">
        <v>985</v>
      </c>
      <c r="H552" s="35">
        <f>H551-E552</f>
        <v>5460</v>
      </c>
      <c r="I552" s="63" t="s">
        <v>22</v>
      </c>
      <c r="J552" s="35"/>
      <c r="K552" s="34">
        <v>260508005</v>
      </c>
      <c r="L552" s="34">
        <v>42</v>
      </c>
      <c r="M552" s="34">
        <f>L552-D552</f>
        <v>38</v>
      </c>
      <c r="N552" s="19">
        <v>46144</v>
      </c>
      <c r="O552" s="21">
        <f t="shared" si="50"/>
        <v>46508</v>
      </c>
    </row>
    <row r="553" spans="1:15" ht="20.149999999999999" hidden="1" customHeight="1" x14ac:dyDescent="0.3">
      <c r="A553" s="33">
        <v>46153</v>
      </c>
      <c r="B553" s="33">
        <v>46154</v>
      </c>
      <c r="C553" s="34" t="s">
        <v>990</v>
      </c>
      <c r="D553" s="34">
        <v>4</v>
      </c>
      <c r="E553" s="34">
        <f t="shared" si="51"/>
        <v>780</v>
      </c>
      <c r="F553" s="39" t="s">
        <v>274</v>
      </c>
      <c r="G553" s="39" t="s">
        <v>997</v>
      </c>
      <c r="H553" s="35">
        <f>H552-E553</f>
        <v>4680</v>
      </c>
      <c r="I553" s="63" t="s">
        <v>22</v>
      </c>
      <c r="J553" s="35"/>
      <c r="K553" s="34" t="s">
        <v>996</v>
      </c>
      <c r="L553" s="34">
        <v>41</v>
      </c>
      <c r="M553" s="34">
        <f>L553-D553</f>
        <v>37</v>
      </c>
      <c r="N553" s="19">
        <v>46145</v>
      </c>
      <c r="O553" s="21">
        <f t="shared" si="50"/>
        <v>46509</v>
      </c>
    </row>
    <row r="554" spans="1:15" ht="20.149999999999999" hidden="1" customHeight="1" x14ac:dyDescent="0.25">
      <c r="A554" s="40">
        <v>46154</v>
      </c>
      <c r="B554" s="40">
        <v>46154</v>
      </c>
      <c r="C554" s="41" t="s">
        <v>896</v>
      </c>
      <c r="D554" s="41">
        <v>4</v>
      </c>
      <c r="E554" s="41">
        <f t="shared" si="51"/>
        <v>780</v>
      </c>
      <c r="F554" s="60" t="s">
        <v>29</v>
      </c>
      <c r="G554" s="60" t="s">
        <v>81</v>
      </c>
      <c r="H554" s="42">
        <f>H543-E554</f>
        <v>64120</v>
      </c>
      <c r="I554" s="42"/>
      <c r="J554" s="42"/>
      <c r="K554" s="41">
        <v>260511004</v>
      </c>
      <c r="L554" s="41"/>
      <c r="M554" s="41">
        <f>M550-D554</f>
        <v>14</v>
      </c>
      <c r="N554" s="19">
        <v>46127</v>
      </c>
      <c r="O554" s="21">
        <f t="shared" si="50"/>
        <v>46491</v>
      </c>
    </row>
    <row r="555" spans="1:15" ht="20.149999999999999" hidden="1" customHeight="1" x14ac:dyDescent="0.25">
      <c r="A555" s="26">
        <v>46154</v>
      </c>
      <c r="B555" s="26">
        <v>46154</v>
      </c>
      <c r="C555" s="27" t="s">
        <v>1002</v>
      </c>
      <c r="D555" s="27">
        <v>2</v>
      </c>
      <c r="E555" s="27">
        <f t="shared" si="51"/>
        <v>390</v>
      </c>
      <c r="F555" s="36" t="s">
        <v>27</v>
      </c>
      <c r="G555" s="36" t="s">
        <v>939</v>
      </c>
      <c r="H555" s="28">
        <f>H544-E555</f>
        <v>23790</v>
      </c>
      <c r="I555" s="28"/>
      <c r="J555" s="28"/>
      <c r="K555" s="27">
        <v>260511005</v>
      </c>
      <c r="L555" s="27"/>
      <c r="M555" s="27">
        <f>M554-D555</f>
        <v>12</v>
      </c>
      <c r="N555" s="19">
        <v>46127</v>
      </c>
      <c r="O555" s="21">
        <f t="shared" si="50"/>
        <v>46491</v>
      </c>
    </row>
    <row r="556" spans="1:15" ht="20.149999999999999" hidden="1" customHeight="1" x14ac:dyDescent="0.25">
      <c r="A556" s="26">
        <v>46154</v>
      </c>
      <c r="B556" s="26">
        <v>46154</v>
      </c>
      <c r="C556" s="27" t="s">
        <v>1003</v>
      </c>
      <c r="D556" s="27">
        <v>6</v>
      </c>
      <c r="E556" s="27">
        <f t="shared" si="51"/>
        <v>1170</v>
      </c>
      <c r="F556" s="36" t="s">
        <v>27</v>
      </c>
      <c r="G556" s="36" t="s">
        <v>939</v>
      </c>
      <c r="H556" s="28">
        <f>H555-E556</f>
        <v>22620</v>
      </c>
      <c r="I556" s="28"/>
      <c r="J556" s="28"/>
      <c r="K556" s="27">
        <v>260511005</v>
      </c>
      <c r="L556" s="27"/>
      <c r="M556" s="27">
        <f>M507-D556</f>
        <v>31</v>
      </c>
      <c r="N556" s="19">
        <v>46128</v>
      </c>
      <c r="O556" s="21">
        <f t="shared" si="50"/>
        <v>46492</v>
      </c>
    </row>
    <row r="557" spans="1:15" ht="20.149999999999999" hidden="1" customHeight="1" x14ac:dyDescent="0.2">
      <c r="A557" s="29">
        <v>46154</v>
      </c>
      <c r="B557" s="29">
        <v>46155</v>
      </c>
      <c r="C557" s="30" t="s">
        <v>898</v>
      </c>
      <c r="D557" s="30">
        <v>12</v>
      </c>
      <c r="E557" s="30">
        <f t="shared" si="51"/>
        <v>2340</v>
      </c>
      <c r="F557" s="37" t="s">
        <v>30</v>
      </c>
      <c r="G557" s="37" t="s">
        <v>1010</v>
      </c>
      <c r="H557" s="32">
        <f>H540-E557</f>
        <v>7020</v>
      </c>
      <c r="I557" s="32"/>
      <c r="J557" s="32"/>
      <c r="K557" s="30">
        <v>260511006</v>
      </c>
      <c r="L557" s="30"/>
      <c r="M557" s="30">
        <f>M556-D557</f>
        <v>19</v>
      </c>
      <c r="N557" s="19">
        <v>46128</v>
      </c>
      <c r="O557" s="21">
        <f t="shared" si="50"/>
        <v>46492</v>
      </c>
    </row>
    <row r="558" spans="1:15" ht="20.149999999999999" hidden="1" customHeight="1" x14ac:dyDescent="0.2">
      <c r="A558" s="164">
        <v>46154</v>
      </c>
      <c r="B558" s="164">
        <v>46155</v>
      </c>
      <c r="C558" s="165" t="s">
        <v>896</v>
      </c>
      <c r="D558" s="165">
        <v>12</v>
      </c>
      <c r="E558" s="165">
        <f t="shared" si="51"/>
        <v>2340</v>
      </c>
      <c r="F558" s="165" t="s">
        <v>929</v>
      </c>
      <c r="G558" s="166" t="s">
        <v>869</v>
      </c>
      <c r="H558" s="167">
        <f>H541-E558</f>
        <v>51420</v>
      </c>
      <c r="I558" s="167"/>
      <c r="J558" s="167"/>
      <c r="K558" s="165">
        <v>260511007</v>
      </c>
      <c r="L558" s="165"/>
      <c r="M558" s="165">
        <f>M555-D558</f>
        <v>0</v>
      </c>
      <c r="N558" s="19">
        <v>46127</v>
      </c>
      <c r="O558" s="21">
        <f t="shared" si="50"/>
        <v>46491</v>
      </c>
    </row>
    <row r="559" spans="1:15" ht="20.149999999999999" hidden="1" customHeight="1" x14ac:dyDescent="0.2">
      <c r="A559" s="22">
        <v>46154</v>
      </c>
      <c r="B559" s="22">
        <v>46155</v>
      </c>
      <c r="C559" s="23" t="s">
        <v>1005</v>
      </c>
      <c r="D559" s="23">
        <v>4</v>
      </c>
      <c r="E559" s="23">
        <f t="shared" si="51"/>
        <v>780</v>
      </c>
      <c r="F559" s="148" t="s">
        <v>444</v>
      </c>
      <c r="G559" s="38" t="s">
        <v>1012</v>
      </c>
      <c r="H559" s="25">
        <f>H546-E559</f>
        <v>189860</v>
      </c>
      <c r="I559" s="25"/>
      <c r="J559" s="25"/>
      <c r="K559" s="23">
        <v>260511008</v>
      </c>
      <c r="L559" s="23"/>
      <c r="M559" s="23">
        <f>M557-D559</f>
        <v>15</v>
      </c>
      <c r="N559" s="19">
        <v>46128</v>
      </c>
      <c r="O559" s="21">
        <f t="shared" si="50"/>
        <v>46492</v>
      </c>
    </row>
    <row r="560" spans="1:15" ht="20.149999999999999" hidden="1" customHeight="1" x14ac:dyDescent="0.25">
      <c r="A560" s="33">
        <v>46154</v>
      </c>
      <c r="B560" s="33">
        <v>46155</v>
      </c>
      <c r="C560" s="34" t="s">
        <v>1016</v>
      </c>
      <c r="D560" s="34">
        <v>15</v>
      </c>
      <c r="E560" s="34">
        <f t="shared" si="51"/>
        <v>2925</v>
      </c>
      <c r="F560" s="39" t="s">
        <v>307</v>
      </c>
      <c r="G560" s="39" t="s">
        <v>867</v>
      </c>
      <c r="H560" s="35">
        <f>H533-E560</f>
        <v>11895</v>
      </c>
      <c r="I560" s="35"/>
      <c r="J560" s="35"/>
      <c r="K560" s="34">
        <v>260512001</v>
      </c>
      <c r="L560" s="34"/>
      <c r="M560" s="34">
        <f>M559-D560</f>
        <v>0</v>
      </c>
      <c r="N560" s="19">
        <v>46128</v>
      </c>
      <c r="O560" s="21">
        <f t="shared" si="50"/>
        <v>46492</v>
      </c>
    </row>
    <row r="561" spans="1:15" ht="20.149999999999999" hidden="1" customHeight="1" x14ac:dyDescent="0.25">
      <c r="A561" s="33">
        <v>46154</v>
      </c>
      <c r="B561" s="33">
        <v>46155</v>
      </c>
      <c r="C561" s="34" t="s">
        <v>899</v>
      </c>
      <c r="D561" s="34">
        <v>17</v>
      </c>
      <c r="E561" s="34">
        <f t="shared" si="51"/>
        <v>3315</v>
      </c>
      <c r="F561" s="39" t="s">
        <v>307</v>
      </c>
      <c r="G561" s="39" t="s">
        <v>1015</v>
      </c>
      <c r="H561" s="35">
        <f>H560-E561</f>
        <v>8580</v>
      </c>
      <c r="I561" s="35"/>
      <c r="J561" s="35"/>
      <c r="K561" s="34">
        <v>260512001</v>
      </c>
      <c r="L561" s="34"/>
      <c r="M561" s="34">
        <f>M508-D561</f>
        <v>20</v>
      </c>
      <c r="N561" s="19">
        <v>46129</v>
      </c>
      <c r="O561" s="21">
        <f t="shared" si="50"/>
        <v>46493</v>
      </c>
    </row>
    <row r="562" spans="1:15" ht="20.149999999999999" hidden="1" customHeight="1" x14ac:dyDescent="0.25">
      <c r="A562" s="29">
        <v>46156</v>
      </c>
      <c r="B562" s="29">
        <v>46157</v>
      </c>
      <c r="C562" s="30" t="s">
        <v>1031</v>
      </c>
      <c r="D562" s="126">
        <v>12</v>
      </c>
      <c r="E562" s="30">
        <f t="shared" si="51"/>
        <v>2340</v>
      </c>
      <c r="F562" s="37" t="s">
        <v>267</v>
      </c>
      <c r="G562" s="37" t="s">
        <v>909</v>
      </c>
      <c r="H562" s="32">
        <f>H549-E562</f>
        <v>21840</v>
      </c>
      <c r="I562" s="32"/>
      <c r="J562" s="32"/>
      <c r="K562" s="30">
        <v>260513003</v>
      </c>
      <c r="L562" s="30"/>
      <c r="M562" s="30">
        <f>M509-D562</f>
        <v>26</v>
      </c>
      <c r="N562" s="19">
        <v>46130</v>
      </c>
      <c r="O562" s="21">
        <f t="shared" si="50"/>
        <v>46494</v>
      </c>
    </row>
    <row r="563" spans="1:15" ht="20.149999999999999" hidden="1" customHeight="1" x14ac:dyDescent="0.25">
      <c r="A563" s="168">
        <v>46156</v>
      </c>
      <c r="B563" s="168">
        <v>46157</v>
      </c>
      <c r="C563" s="169" t="s">
        <v>1033</v>
      </c>
      <c r="D563" s="169">
        <v>4</v>
      </c>
      <c r="E563" s="169">
        <f t="shared" si="51"/>
        <v>780</v>
      </c>
      <c r="F563" s="170" t="s">
        <v>1030</v>
      </c>
      <c r="G563" s="170" t="s">
        <v>909</v>
      </c>
      <c r="H563" s="171"/>
      <c r="I563" s="171"/>
      <c r="J563" s="180" t="s">
        <v>1032</v>
      </c>
      <c r="K563" s="169">
        <v>260513003</v>
      </c>
      <c r="L563" s="169"/>
      <c r="M563" s="169"/>
      <c r="N563" s="172"/>
      <c r="O563" s="173"/>
    </row>
    <row r="564" spans="1:15" ht="20.149999999999999" hidden="1" customHeight="1" x14ac:dyDescent="0.25">
      <c r="A564" s="40">
        <v>46156</v>
      </c>
      <c r="B564" s="40">
        <v>46157</v>
      </c>
      <c r="C564" s="41" t="s">
        <v>899</v>
      </c>
      <c r="D564" s="41">
        <v>4</v>
      </c>
      <c r="E564" s="41">
        <f t="shared" si="51"/>
        <v>780</v>
      </c>
      <c r="F564" s="60" t="s">
        <v>294</v>
      </c>
      <c r="G564" s="60" t="s">
        <v>861</v>
      </c>
      <c r="H564" s="42">
        <f>H550-E564</f>
        <v>174260</v>
      </c>
      <c r="I564" s="42"/>
      <c r="J564" s="42"/>
      <c r="K564" s="41">
        <v>260513004</v>
      </c>
      <c r="L564" s="41"/>
      <c r="M564" s="41">
        <f>M561-D564</f>
        <v>16</v>
      </c>
      <c r="N564" s="19">
        <v>46129</v>
      </c>
      <c r="O564" s="21">
        <f t="shared" si="50"/>
        <v>46493</v>
      </c>
    </row>
    <row r="565" spans="1:15" ht="20.149999999999999" hidden="1" customHeight="1" x14ac:dyDescent="0.25">
      <c r="A565" s="40">
        <v>46156</v>
      </c>
      <c r="B565" s="40">
        <v>46157</v>
      </c>
      <c r="C565" s="41" t="s">
        <v>1019</v>
      </c>
      <c r="D565" s="41">
        <v>4</v>
      </c>
      <c r="E565" s="41">
        <f t="shared" si="51"/>
        <v>780</v>
      </c>
      <c r="F565" s="60" t="s">
        <v>294</v>
      </c>
      <c r="G565" s="60" t="s">
        <v>1017</v>
      </c>
      <c r="H565" s="42">
        <f>H564-E565</f>
        <v>173480</v>
      </c>
      <c r="I565" s="42"/>
      <c r="J565" s="42"/>
      <c r="K565" s="41">
        <v>260513004</v>
      </c>
      <c r="L565" s="41"/>
      <c r="M565" s="41">
        <f>M562-D565</f>
        <v>22</v>
      </c>
      <c r="N565" s="19">
        <v>46130</v>
      </c>
      <c r="O565" s="21">
        <f t="shared" si="50"/>
        <v>46494</v>
      </c>
    </row>
    <row r="566" spans="1:15" ht="20.149999999999999" hidden="1" customHeight="1" x14ac:dyDescent="0.3">
      <c r="A566" s="26">
        <v>46156</v>
      </c>
      <c r="B566" s="26">
        <v>46157</v>
      </c>
      <c r="C566" s="27" t="s">
        <v>899</v>
      </c>
      <c r="D566" s="27">
        <v>8</v>
      </c>
      <c r="E566" s="27">
        <f t="shared" si="51"/>
        <v>1560</v>
      </c>
      <c r="F566" s="36" t="s">
        <v>274</v>
      </c>
      <c r="G566" s="36" t="s">
        <v>1029</v>
      </c>
      <c r="H566" s="28">
        <f>H553-E566</f>
        <v>3120</v>
      </c>
      <c r="I566" s="28"/>
      <c r="J566" s="28"/>
      <c r="K566" s="27">
        <v>260513005</v>
      </c>
      <c r="L566" s="27"/>
      <c r="M566" s="27">
        <f>M564-D566</f>
        <v>8</v>
      </c>
      <c r="N566" s="19">
        <v>46129</v>
      </c>
      <c r="O566" s="21">
        <f t="shared" si="50"/>
        <v>46493</v>
      </c>
    </row>
    <row r="567" spans="1:15" ht="20.149999999999999" hidden="1" customHeight="1" x14ac:dyDescent="0.3">
      <c r="A567" s="26">
        <v>46156</v>
      </c>
      <c r="B567" s="26">
        <v>46157</v>
      </c>
      <c r="C567" s="27" t="s">
        <v>1020</v>
      </c>
      <c r="D567" s="27">
        <v>4</v>
      </c>
      <c r="E567" s="27">
        <f t="shared" si="51"/>
        <v>780</v>
      </c>
      <c r="F567" s="36" t="s">
        <v>274</v>
      </c>
      <c r="G567" s="36" t="s">
        <v>670</v>
      </c>
      <c r="H567" s="28">
        <f>H566-E567</f>
        <v>2340</v>
      </c>
      <c r="I567" s="61" t="s">
        <v>22</v>
      </c>
      <c r="J567" s="28"/>
      <c r="K567" s="27">
        <v>260513005</v>
      </c>
      <c r="L567" s="27">
        <v>40</v>
      </c>
      <c r="M567" s="27">
        <f>L567-D567</f>
        <v>36</v>
      </c>
      <c r="N567" s="19">
        <v>46146</v>
      </c>
      <c r="O567" s="21">
        <f t="shared" si="50"/>
        <v>46510</v>
      </c>
    </row>
    <row r="568" spans="1:15" ht="20.149999999999999" hidden="1" customHeight="1" x14ac:dyDescent="0.2">
      <c r="A568" s="22">
        <v>46156</v>
      </c>
      <c r="B568" s="22">
        <v>46157</v>
      </c>
      <c r="C568" s="23" t="s">
        <v>1021</v>
      </c>
      <c r="D568" s="23">
        <v>8</v>
      </c>
      <c r="E568" s="23">
        <f t="shared" si="51"/>
        <v>1560</v>
      </c>
      <c r="F568" s="38" t="s">
        <v>30</v>
      </c>
      <c r="G568" s="38" t="s">
        <v>1027</v>
      </c>
      <c r="H568" s="25">
        <f>H557-E568</f>
        <v>5460</v>
      </c>
      <c r="I568" s="25"/>
      <c r="J568" s="25"/>
      <c r="K568" s="23">
        <v>260513006</v>
      </c>
      <c r="L568" s="23"/>
      <c r="M568" s="23">
        <f>M566-D568</f>
        <v>0</v>
      </c>
      <c r="N568" s="19">
        <v>46129</v>
      </c>
      <c r="O568" s="21">
        <f t="shared" si="50"/>
        <v>46493</v>
      </c>
    </row>
    <row r="569" spans="1:15" ht="20.149999999999999" hidden="1" customHeight="1" x14ac:dyDescent="0.2">
      <c r="A569" s="33">
        <v>46156</v>
      </c>
      <c r="B569" s="33">
        <v>46157</v>
      </c>
      <c r="C569" s="34" t="s">
        <v>900</v>
      </c>
      <c r="D569" s="34">
        <v>8</v>
      </c>
      <c r="E569" s="34">
        <f t="shared" si="51"/>
        <v>1560</v>
      </c>
      <c r="F569" s="34" t="s">
        <v>31</v>
      </c>
      <c r="G569" s="39" t="s">
        <v>1028</v>
      </c>
      <c r="H569" s="35">
        <f>H558-E569</f>
        <v>49860</v>
      </c>
      <c r="I569" s="35"/>
      <c r="J569" s="35"/>
      <c r="K569" s="34">
        <v>260513007</v>
      </c>
      <c r="L569" s="34"/>
      <c r="M569" s="34">
        <f>M565-D569</f>
        <v>14</v>
      </c>
      <c r="N569" s="19">
        <v>46130</v>
      </c>
      <c r="O569" s="21">
        <f t="shared" si="50"/>
        <v>46494</v>
      </c>
    </row>
    <row r="570" spans="1:15" ht="20.149999999999999" hidden="1" customHeight="1" x14ac:dyDescent="0.25">
      <c r="A570" s="29">
        <v>46157</v>
      </c>
      <c r="B570" s="29">
        <v>46157</v>
      </c>
      <c r="C570" s="30" t="s">
        <v>1034</v>
      </c>
      <c r="D570" s="30">
        <v>8</v>
      </c>
      <c r="E570" s="30">
        <f t="shared" si="51"/>
        <v>1560</v>
      </c>
      <c r="F570" s="37" t="s">
        <v>27</v>
      </c>
      <c r="G570" s="37" t="s">
        <v>939</v>
      </c>
      <c r="H570" s="32">
        <f>H556-E570</f>
        <v>21060</v>
      </c>
      <c r="I570" s="32"/>
      <c r="J570" s="32"/>
      <c r="K570" s="30">
        <v>260514003</v>
      </c>
      <c r="L570" s="30"/>
      <c r="M570" s="30">
        <f>M569-D570</f>
        <v>6</v>
      </c>
      <c r="N570" s="19">
        <v>46130</v>
      </c>
      <c r="O570" s="21">
        <f t="shared" si="50"/>
        <v>46494</v>
      </c>
    </row>
    <row r="571" spans="1:15" ht="20.149999999999999" hidden="1" customHeight="1" x14ac:dyDescent="0.25">
      <c r="A571" s="26">
        <v>46160</v>
      </c>
      <c r="B571" s="26">
        <v>46161</v>
      </c>
      <c r="C571" s="27" t="s">
        <v>900</v>
      </c>
      <c r="D571" s="27">
        <v>6</v>
      </c>
      <c r="E571" s="27">
        <f t="shared" si="51"/>
        <v>1170</v>
      </c>
      <c r="F571" s="36" t="s">
        <v>294</v>
      </c>
      <c r="G571" s="36" t="s">
        <v>330</v>
      </c>
      <c r="H571" s="28">
        <f>H565-E571</f>
        <v>172310</v>
      </c>
      <c r="I571" s="28"/>
      <c r="J571" s="28"/>
      <c r="K571" s="27">
        <v>260515002</v>
      </c>
      <c r="L571" s="27"/>
      <c r="M571" s="27">
        <f>M570-D571</f>
        <v>0</v>
      </c>
      <c r="N571" s="19">
        <v>46130</v>
      </c>
      <c r="O571" s="21">
        <f t="shared" si="50"/>
        <v>46494</v>
      </c>
    </row>
    <row r="572" spans="1:15" ht="20.149999999999999" hidden="1" customHeight="1" x14ac:dyDescent="0.25">
      <c r="A572" s="26">
        <v>46160</v>
      </c>
      <c r="B572" s="26">
        <v>46161</v>
      </c>
      <c r="C572" s="27" t="s">
        <v>1054</v>
      </c>
      <c r="D572" s="27">
        <v>6</v>
      </c>
      <c r="E572" s="27">
        <f t="shared" si="51"/>
        <v>1170</v>
      </c>
      <c r="F572" s="36" t="s">
        <v>294</v>
      </c>
      <c r="G572" s="36" t="s">
        <v>297</v>
      </c>
      <c r="H572" s="28">
        <f>H571-E572</f>
        <v>171140</v>
      </c>
      <c r="I572" s="28"/>
      <c r="J572" s="28"/>
      <c r="K572" s="27">
        <v>260515002</v>
      </c>
      <c r="L572" s="27"/>
      <c r="M572" s="27">
        <f>M538-D572</f>
        <v>31</v>
      </c>
      <c r="N572" s="19">
        <v>46131</v>
      </c>
      <c r="O572" s="21">
        <f t="shared" si="50"/>
        <v>46495</v>
      </c>
    </row>
    <row r="573" spans="1:15" ht="20.149999999999999" hidden="1" customHeight="1" x14ac:dyDescent="0.3">
      <c r="A573" s="22">
        <v>46160</v>
      </c>
      <c r="B573" s="22">
        <v>46161</v>
      </c>
      <c r="C573" s="23" t="s">
        <v>1040</v>
      </c>
      <c r="D573" s="23">
        <v>4</v>
      </c>
      <c r="E573" s="23">
        <f t="shared" si="51"/>
        <v>780</v>
      </c>
      <c r="F573" s="38" t="s">
        <v>274</v>
      </c>
      <c r="G573" s="38" t="s">
        <v>1062</v>
      </c>
      <c r="H573" s="25">
        <f>H567-E573</f>
        <v>1560</v>
      </c>
      <c r="I573" s="43" t="s">
        <v>22</v>
      </c>
      <c r="J573" s="25" t="s">
        <v>701</v>
      </c>
      <c r="K573" s="23">
        <v>260515003</v>
      </c>
      <c r="L573" s="23">
        <f>41-16</f>
        <v>25</v>
      </c>
      <c r="M573" s="23">
        <f>L573-D573</f>
        <v>21</v>
      </c>
      <c r="N573" s="19">
        <v>46147</v>
      </c>
      <c r="O573" s="21">
        <f t="shared" si="50"/>
        <v>46511</v>
      </c>
    </row>
    <row r="574" spans="1:15" ht="20.149999999999999" hidden="1" customHeight="1" x14ac:dyDescent="0.3">
      <c r="A574" s="22">
        <v>46160</v>
      </c>
      <c r="B574" s="22">
        <v>46161</v>
      </c>
      <c r="C574" s="23" t="s">
        <v>1041</v>
      </c>
      <c r="D574" s="23">
        <v>4</v>
      </c>
      <c r="E574" s="23">
        <f t="shared" si="51"/>
        <v>780</v>
      </c>
      <c r="F574" s="38" t="s">
        <v>274</v>
      </c>
      <c r="G574" s="38" t="s">
        <v>1052</v>
      </c>
      <c r="H574" s="25">
        <f>H573-E574</f>
        <v>780</v>
      </c>
      <c r="I574" s="43" t="s">
        <v>22</v>
      </c>
      <c r="J574" s="25" t="s">
        <v>702</v>
      </c>
      <c r="K574" s="23">
        <v>260515003</v>
      </c>
      <c r="L574" s="23">
        <f>42-20</f>
        <v>22</v>
      </c>
      <c r="M574" s="23">
        <f>L574-D574</f>
        <v>18</v>
      </c>
      <c r="N574" s="19">
        <v>46148</v>
      </c>
      <c r="O574" s="21">
        <f t="shared" si="50"/>
        <v>46512</v>
      </c>
    </row>
    <row r="575" spans="1:15" ht="20.149999999999999" hidden="1" customHeight="1" x14ac:dyDescent="0.3">
      <c r="A575" s="22">
        <v>46160</v>
      </c>
      <c r="B575" s="22">
        <v>46161</v>
      </c>
      <c r="C575" s="23" t="s">
        <v>1055</v>
      </c>
      <c r="D575" s="23">
        <v>4</v>
      </c>
      <c r="E575" s="23">
        <f t="shared" si="51"/>
        <v>780</v>
      </c>
      <c r="F575" s="38" t="s">
        <v>274</v>
      </c>
      <c r="G575" s="38" t="s">
        <v>1053</v>
      </c>
      <c r="H575" s="25">
        <f>H574-E575</f>
        <v>0</v>
      </c>
      <c r="I575" s="43" t="s">
        <v>22</v>
      </c>
      <c r="J575" s="25" t="s">
        <v>701</v>
      </c>
      <c r="K575" s="23">
        <v>260515003</v>
      </c>
      <c r="L575" s="23">
        <f>41-16</f>
        <v>25</v>
      </c>
      <c r="M575" s="23">
        <f>L575-D575</f>
        <v>21</v>
      </c>
      <c r="N575" s="19">
        <v>46149</v>
      </c>
      <c r="O575" s="21">
        <f t="shared" si="50"/>
        <v>46513</v>
      </c>
    </row>
    <row r="576" spans="1:15" ht="20.149999999999999" hidden="1" customHeight="1" x14ac:dyDescent="0.2">
      <c r="A576" s="40">
        <v>46160</v>
      </c>
      <c r="B576" s="40">
        <v>46161</v>
      </c>
      <c r="C576" s="41" t="s">
        <v>957</v>
      </c>
      <c r="D576" s="41">
        <v>12</v>
      </c>
      <c r="E576" s="41">
        <f t="shared" si="51"/>
        <v>2340</v>
      </c>
      <c r="F576" s="60" t="s">
        <v>30</v>
      </c>
      <c r="G576" s="60" t="s">
        <v>1063</v>
      </c>
      <c r="H576" s="42">
        <f>H568-E576</f>
        <v>3120</v>
      </c>
      <c r="I576" s="42"/>
      <c r="J576" s="42"/>
      <c r="K576" s="41">
        <v>260515004</v>
      </c>
      <c r="L576" s="41"/>
      <c r="M576" s="41">
        <f>M572-D576</f>
        <v>19</v>
      </c>
      <c r="N576" s="19">
        <v>46131</v>
      </c>
      <c r="O576" s="21">
        <f t="shared" si="50"/>
        <v>46495</v>
      </c>
    </row>
    <row r="577" spans="1:15" ht="20.149999999999999" hidden="1" customHeight="1" x14ac:dyDescent="0.2">
      <c r="A577" s="90">
        <v>46160</v>
      </c>
      <c r="B577" s="90">
        <v>46161</v>
      </c>
      <c r="C577" s="91" t="s">
        <v>906</v>
      </c>
      <c r="D577" s="91">
        <v>12</v>
      </c>
      <c r="E577" s="91">
        <f t="shared" si="51"/>
        <v>2340</v>
      </c>
      <c r="F577" s="91" t="s">
        <v>31</v>
      </c>
      <c r="G577" s="92" t="s">
        <v>1064</v>
      </c>
      <c r="H577" s="93">
        <f>H569-E577</f>
        <v>47520</v>
      </c>
      <c r="I577" s="93"/>
      <c r="J577" s="93"/>
      <c r="K577" s="91">
        <v>260515005</v>
      </c>
      <c r="L577" s="91"/>
      <c r="M577" s="91">
        <f>M515-D577</f>
        <v>25</v>
      </c>
      <c r="N577" s="19">
        <v>46136</v>
      </c>
      <c r="O577" s="21">
        <f t="shared" si="50"/>
        <v>46500</v>
      </c>
    </row>
    <row r="578" spans="1:15" ht="20.149999999999999" hidden="1" customHeight="1" x14ac:dyDescent="0.25">
      <c r="A578" s="29">
        <v>46161</v>
      </c>
      <c r="B578" s="29">
        <v>46161</v>
      </c>
      <c r="C578" s="30" t="s">
        <v>1072</v>
      </c>
      <c r="D578" s="30">
        <v>4</v>
      </c>
      <c r="E578" s="30">
        <f t="shared" si="51"/>
        <v>780</v>
      </c>
      <c r="F578" s="37" t="s">
        <v>29</v>
      </c>
      <c r="G578" s="37" t="s">
        <v>1079</v>
      </c>
      <c r="H578" s="32">
        <f>H554-E578</f>
        <v>63340</v>
      </c>
      <c r="I578" s="32"/>
      <c r="J578" s="32"/>
      <c r="K578" s="30">
        <v>260518002</v>
      </c>
      <c r="L578" s="30"/>
      <c r="M578" s="30">
        <f>M576-D578</f>
        <v>15</v>
      </c>
      <c r="N578" s="19">
        <v>46131</v>
      </c>
      <c r="O578" s="21">
        <f t="shared" si="50"/>
        <v>46495</v>
      </c>
    </row>
    <row r="579" spans="1:15" ht="20.149999999999999" hidden="1" customHeight="1" x14ac:dyDescent="0.25">
      <c r="A579" s="33">
        <v>46161</v>
      </c>
      <c r="B579" s="33">
        <v>46161</v>
      </c>
      <c r="C579" s="34" t="s">
        <v>1073</v>
      </c>
      <c r="D579" s="34">
        <v>8</v>
      </c>
      <c r="E579" s="34">
        <f t="shared" si="51"/>
        <v>1560</v>
      </c>
      <c r="F579" s="39" t="s">
        <v>27</v>
      </c>
      <c r="G579" s="39" t="s">
        <v>1080</v>
      </c>
      <c r="H579" s="35">
        <f>H570-E579</f>
        <v>19500</v>
      </c>
      <c r="I579" s="35"/>
      <c r="J579" s="35"/>
      <c r="K579" s="34">
        <v>260518003</v>
      </c>
      <c r="L579" s="34"/>
      <c r="M579" s="34">
        <f>M578-D579</f>
        <v>7</v>
      </c>
      <c r="N579" s="19">
        <v>46131</v>
      </c>
      <c r="O579" s="21">
        <f t="shared" si="50"/>
        <v>46495</v>
      </c>
    </row>
    <row r="580" spans="1:15" ht="20.149999999999999" hidden="1" customHeight="1" x14ac:dyDescent="0.25">
      <c r="A580" s="40">
        <v>46161</v>
      </c>
      <c r="B580" s="40">
        <v>46162</v>
      </c>
      <c r="C580" s="41" t="s">
        <v>1074</v>
      </c>
      <c r="D580" s="41">
        <v>7</v>
      </c>
      <c r="E580" s="41">
        <f t="shared" si="51"/>
        <v>1365</v>
      </c>
      <c r="F580" s="60" t="s">
        <v>307</v>
      </c>
      <c r="G580" s="60" t="s">
        <v>946</v>
      </c>
      <c r="H580" s="42">
        <f>H561-E580</f>
        <v>7215</v>
      </c>
      <c r="I580" s="42"/>
      <c r="J580" s="42"/>
      <c r="K580" s="41">
        <v>260518004</v>
      </c>
      <c r="L580" s="41"/>
      <c r="M580" s="41">
        <f>M579-D580</f>
        <v>0</v>
      </c>
      <c r="N580" s="19">
        <v>46131</v>
      </c>
      <c r="O580" s="21">
        <f t="shared" ref="O580:O646" si="52">DATE(YEAR(N580)+1,MONTH(N580),DAY(N580))-1</f>
        <v>46495</v>
      </c>
    </row>
    <row r="581" spans="1:15" ht="20.149999999999999" hidden="1" customHeight="1" x14ac:dyDescent="0.25">
      <c r="A581" s="40">
        <v>46161</v>
      </c>
      <c r="B581" s="40">
        <v>46162</v>
      </c>
      <c r="C581" s="41" t="s">
        <v>1075</v>
      </c>
      <c r="D581" s="41">
        <v>17</v>
      </c>
      <c r="E581" s="41">
        <f t="shared" ref="E581:E646" si="53">D581*195</f>
        <v>3315</v>
      </c>
      <c r="F581" s="60" t="s">
        <v>307</v>
      </c>
      <c r="G581" s="60" t="s">
        <v>1067</v>
      </c>
      <c r="H581" s="42">
        <f>H580-E581</f>
        <v>3900</v>
      </c>
      <c r="I581" s="42"/>
      <c r="J581" s="42"/>
      <c r="K581" s="41">
        <v>260518004</v>
      </c>
      <c r="L581" s="41"/>
      <c r="M581" s="41">
        <f>M577-D581</f>
        <v>8</v>
      </c>
      <c r="N581" s="19">
        <v>46136</v>
      </c>
      <c r="O581" s="21">
        <f t="shared" si="52"/>
        <v>46500</v>
      </c>
    </row>
    <row r="582" spans="1:15" ht="20.149999999999999" hidden="1" customHeight="1" x14ac:dyDescent="0.25">
      <c r="A582" s="40">
        <v>46161</v>
      </c>
      <c r="B582" s="40">
        <v>46162</v>
      </c>
      <c r="C582" s="41" t="s">
        <v>950</v>
      </c>
      <c r="D582" s="41">
        <v>8</v>
      </c>
      <c r="E582" s="41">
        <f t="shared" si="53"/>
        <v>1560</v>
      </c>
      <c r="F582" s="60" t="s">
        <v>307</v>
      </c>
      <c r="G582" s="60" t="s">
        <v>1067</v>
      </c>
      <c r="H582" s="42">
        <f>H581-E582</f>
        <v>2340</v>
      </c>
      <c r="I582" s="42"/>
      <c r="J582" s="42"/>
      <c r="K582" s="41">
        <v>260518004</v>
      </c>
      <c r="L582" s="41"/>
      <c r="M582" s="41">
        <f>M539-D582</f>
        <v>29</v>
      </c>
      <c r="N582" s="19">
        <v>46138</v>
      </c>
      <c r="O582" s="21">
        <f t="shared" si="52"/>
        <v>46502</v>
      </c>
    </row>
    <row r="583" spans="1:15" ht="20.149999999999999" hidden="1" customHeight="1" x14ac:dyDescent="0.2">
      <c r="A583" s="26">
        <v>46162</v>
      </c>
      <c r="B583" s="26">
        <v>46163</v>
      </c>
      <c r="C583" s="27" t="s">
        <v>1083</v>
      </c>
      <c r="D583" s="27">
        <v>12</v>
      </c>
      <c r="E583" s="27">
        <f t="shared" si="53"/>
        <v>2340</v>
      </c>
      <c r="F583" s="149" t="s">
        <v>444</v>
      </c>
      <c r="G583" s="36" t="s">
        <v>1090</v>
      </c>
      <c r="H583" s="28">
        <f>H559-E583</f>
        <v>187520</v>
      </c>
      <c r="I583" s="28"/>
      <c r="J583" s="28"/>
      <c r="K583" s="27">
        <v>260519003</v>
      </c>
      <c r="L583" s="27"/>
      <c r="M583" s="27">
        <f>M582-D583</f>
        <v>17</v>
      </c>
      <c r="N583" s="19">
        <v>46138</v>
      </c>
      <c r="O583" s="21">
        <f t="shared" si="52"/>
        <v>46502</v>
      </c>
    </row>
    <row r="584" spans="1:15" ht="20.149999999999999" hidden="1" customHeight="1" x14ac:dyDescent="0.2">
      <c r="A584" s="26">
        <v>46162</v>
      </c>
      <c r="B584" s="26">
        <v>46163</v>
      </c>
      <c r="C584" s="27" t="s">
        <v>1089</v>
      </c>
      <c r="D584" s="27">
        <v>8</v>
      </c>
      <c r="E584" s="27">
        <f t="shared" si="53"/>
        <v>1560</v>
      </c>
      <c r="F584" s="149" t="s">
        <v>444</v>
      </c>
      <c r="G584" s="36" t="s">
        <v>656</v>
      </c>
      <c r="H584" s="28">
        <f>H583-E584</f>
        <v>185960</v>
      </c>
      <c r="I584" s="28"/>
      <c r="J584" s="28"/>
      <c r="K584" s="27">
        <v>260519003</v>
      </c>
      <c r="L584" s="27"/>
      <c r="M584" s="27">
        <f>M547-D584</f>
        <v>14</v>
      </c>
      <c r="N584" s="19">
        <v>46140</v>
      </c>
      <c r="O584" s="21">
        <f t="shared" si="52"/>
        <v>46504</v>
      </c>
    </row>
    <row r="585" spans="1:15" ht="20.149999999999999" hidden="1" customHeight="1" x14ac:dyDescent="0.25">
      <c r="A585" s="22">
        <v>46163</v>
      </c>
      <c r="B585" s="22">
        <v>46164</v>
      </c>
      <c r="C585" s="23" t="s">
        <v>906</v>
      </c>
      <c r="D585" s="23">
        <v>8</v>
      </c>
      <c r="E585" s="23">
        <f t="shared" si="53"/>
        <v>1560</v>
      </c>
      <c r="F585" s="38" t="s">
        <v>267</v>
      </c>
      <c r="G585" s="38" t="s">
        <v>1102</v>
      </c>
      <c r="H585" s="25">
        <f>H562-E585</f>
        <v>20280</v>
      </c>
      <c r="I585" s="25"/>
      <c r="J585" s="25"/>
      <c r="K585" s="23">
        <v>260520002</v>
      </c>
      <c r="L585" s="23"/>
      <c r="M585" s="23">
        <f>M581-D585</f>
        <v>0</v>
      </c>
      <c r="N585" s="19">
        <v>46136</v>
      </c>
      <c r="O585" s="21">
        <f t="shared" si="52"/>
        <v>46500</v>
      </c>
    </row>
    <row r="586" spans="1:15" ht="20.149999999999999" hidden="1" customHeight="1" x14ac:dyDescent="0.25">
      <c r="A586" s="33">
        <v>46163</v>
      </c>
      <c r="B586" s="33">
        <v>46164</v>
      </c>
      <c r="C586" s="34" t="s">
        <v>1094</v>
      </c>
      <c r="D586" s="34">
        <v>9</v>
      </c>
      <c r="E586" s="34">
        <f t="shared" si="53"/>
        <v>1755</v>
      </c>
      <c r="F586" s="39" t="s">
        <v>294</v>
      </c>
      <c r="G586" s="39" t="s">
        <v>1103</v>
      </c>
      <c r="H586" s="35">
        <f>H572-E586</f>
        <v>169385</v>
      </c>
      <c r="I586" s="35"/>
      <c r="J586" s="35"/>
      <c r="K586" s="34">
        <v>260520003</v>
      </c>
      <c r="L586" s="34"/>
      <c r="M586" s="34">
        <f>M583-D586</f>
        <v>8</v>
      </c>
      <c r="N586" s="19">
        <v>46138</v>
      </c>
      <c r="O586" s="21">
        <f t="shared" si="52"/>
        <v>46502</v>
      </c>
    </row>
    <row r="587" spans="1:15" ht="20.149999999999999" hidden="1" customHeight="1" x14ac:dyDescent="0.25">
      <c r="A587" s="33">
        <v>46163</v>
      </c>
      <c r="B587" s="33">
        <v>46164</v>
      </c>
      <c r="C587" s="34" t="s">
        <v>1095</v>
      </c>
      <c r="D587" s="34">
        <v>3</v>
      </c>
      <c r="E587" s="34">
        <f t="shared" si="53"/>
        <v>585</v>
      </c>
      <c r="F587" s="39" t="s">
        <v>294</v>
      </c>
      <c r="G587" s="39" t="s">
        <v>1092</v>
      </c>
      <c r="H587" s="35">
        <f>H586-E587</f>
        <v>168800</v>
      </c>
      <c r="I587" s="35"/>
      <c r="J587" s="35"/>
      <c r="K587" s="34">
        <v>260520003</v>
      </c>
      <c r="L587" s="34"/>
      <c r="M587" s="34">
        <f>M584-D587</f>
        <v>11</v>
      </c>
      <c r="N587" s="19">
        <v>46140</v>
      </c>
      <c r="O587" s="21">
        <f t="shared" si="52"/>
        <v>46504</v>
      </c>
    </row>
    <row r="588" spans="1:15" ht="20.149999999999999" hidden="1" customHeight="1" x14ac:dyDescent="0.3">
      <c r="A588" s="29">
        <v>46163</v>
      </c>
      <c r="B588" s="29">
        <v>46164</v>
      </c>
      <c r="C588" s="30" t="s">
        <v>1096</v>
      </c>
      <c r="D588" s="30">
        <v>4</v>
      </c>
      <c r="E588" s="30">
        <f t="shared" si="53"/>
        <v>780</v>
      </c>
      <c r="F588" s="37" t="s">
        <v>274</v>
      </c>
      <c r="G588" s="161" t="s">
        <v>1104</v>
      </c>
      <c r="H588" s="32">
        <f>31200-E588</f>
        <v>30420</v>
      </c>
      <c r="I588" s="32"/>
      <c r="J588" s="32"/>
      <c r="K588" s="30">
        <v>260520004</v>
      </c>
      <c r="L588" s="30"/>
      <c r="M588" s="30">
        <f>M548-D588</f>
        <v>13</v>
      </c>
      <c r="N588" s="19">
        <v>46141</v>
      </c>
      <c r="O588" s="21">
        <f t="shared" si="52"/>
        <v>46505</v>
      </c>
    </row>
    <row r="589" spans="1:15" ht="20.149999999999999" hidden="1" customHeight="1" x14ac:dyDescent="0.3">
      <c r="A589" s="29">
        <v>46163</v>
      </c>
      <c r="B589" s="29">
        <v>46164</v>
      </c>
      <c r="C589" s="30" t="s">
        <v>1087</v>
      </c>
      <c r="D589" s="30">
        <v>4</v>
      </c>
      <c r="E589" s="30">
        <f t="shared" si="53"/>
        <v>780</v>
      </c>
      <c r="F589" s="37" t="s">
        <v>274</v>
      </c>
      <c r="G589" s="161" t="s">
        <v>1088</v>
      </c>
      <c r="H589" s="32">
        <f>H588-E589</f>
        <v>29640</v>
      </c>
      <c r="I589" s="70" t="s">
        <v>22</v>
      </c>
      <c r="J589" s="32" t="s">
        <v>702</v>
      </c>
      <c r="K589" s="30">
        <v>260520004</v>
      </c>
      <c r="L589" s="30">
        <f>40-20</f>
        <v>20</v>
      </c>
      <c r="M589" s="30">
        <f>L589-D589</f>
        <v>16</v>
      </c>
      <c r="N589" s="19">
        <v>46150</v>
      </c>
      <c r="O589" s="21">
        <f t="shared" si="52"/>
        <v>46514</v>
      </c>
    </row>
    <row r="590" spans="1:15" ht="20.149999999999999" hidden="1" customHeight="1" x14ac:dyDescent="0.3">
      <c r="A590" s="29">
        <v>46163</v>
      </c>
      <c r="B590" s="29">
        <v>46164</v>
      </c>
      <c r="C590" s="30" t="s">
        <v>1097</v>
      </c>
      <c r="D590" s="30">
        <v>4</v>
      </c>
      <c r="E590" s="30">
        <f t="shared" si="53"/>
        <v>780</v>
      </c>
      <c r="F590" s="37" t="s">
        <v>274</v>
      </c>
      <c r="G590" s="161" t="s">
        <v>1088</v>
      </c>
      <c r="H590" s="32">
        <f>H589-E590</f>
        <v>28860</v>
      </c>
      <c r="I590" s="70" t="s">
        <v>22</v>
      </c>
      <c r="J590" s="32"/>
      <c r="K590" s="30">
        <v>260520004</v>
      </c>
      <c r="L590" s="30">
        <v>41</v>
      </c>
      <c r="M590" s="30">
        <f>L590-D590</f>
        <v>37</v>
      </c>
      <c r="N590" s="19">
        <v>46151</v>
      </c>
      <c r="O590" s="21">
        <f t="shared" si="52"/>
        <v>46515</v>
      </c>
    </row>
    <row r="591" spans="1:15" ht="20.149999999999999" hidden="1" customHeight="1" x14ac:dyDescent="0.3">
      <c r="A591" s="29">
        <v>46163</v>
      </c>
      <c r="B591" s="29">
        <v>46164</v>
      </c>
      <c r="C591" s="30" t="s">
        <v>1098</v>
      </c>
      <c r="D591" s="30">
        <v>4</v>
      </c>
      <c r="E591" s="30">
        <f t="shared" si="53"/>
        <v>780</v>
      </c>
      <c r="F591" s="37" t="s">
        <v>274</v>
      </c>
      <c r="G591" s="161" t="s">
        <v>1088</v>
      </c>
      <c r="H591" s="32">
        <f>H590-E591</f>
        <v>28080</v>
      </c>
      <c r="I591" s="70" t="s">
        <v>22</v>
      </c>
      <c r="J591" s="32"/>
      <c r="K591" s="30">
        <v>260520004</v>
      </c>
      <c r="L591" s="30">
        <v>42</v>
      </c>
      <c r="M591" s="30">
        <f>L591-D591</f>
        <v>38</v>
      </c>
      <c r="N591" s="19">
        <v>46152</v>
      </c>
      <c r="O591" s="21">
        <f t="shared" si="52"/>
        <v>46516</v>
      </c>
    </row>
    <row r="592" spans="1:15" ht="20.149999999999999" hidden="1" customHeight="1" x14ac:dyDescent="0.2">
      <c r="A592" s="40">
        <v>46163</v>
      </c>
      <c r="B592" s="40">
        <v>46164</v>
      </c>
      <c r="C592" s="41" t="s">
        <v>950</v>
      </c>
      <c r="D592" s="41">
        <v>8</v>
      </c>
      <c r="E592" s="41">
        <f t="shared" si="53"/>
        <v>1560</v>
      </c>
      <c r="F592" s="60" t="s">
        <v>30</v>
      </c>
      <c r="G592" s="60" t="s">
        <v>779</v>
      </c>
      <c r="H592" s="42">
        <f>H576-E592</f>
        <v>1560</v>
      </c>
      <c r="I592" s="42"/>
      <c r="J592" s="42"/>
      <c r="K592" s="41">
        <v>260520005</v>
      </c>
      <c r="L592" s="41"/>
      <c r="M592" s="41">
        <f>M586-D592</f>
        <v>0</v>
      </c>
      <c r="N592" s="19">
        <v>46138</v>
      </c>
      <c r="O592" s="21">
        <f t="shared" si="52"/>
        <v>46502</v>
      </c>
    </row>
    <row r="593" spans="1:15" ht="20.149999999999999" hidden="1" customHeight="1" x14ac:dyDescent="0.2">
      <c r="A593" s="26">
        <v>46163</v>
      </c>
      <c r="B593" s="26">
        <v>46164</v>
      </c>
      <c r="C593" s="27" t="s">
        <v>1099</v>
      </c>
      <c r="D593" s="27">
        <v>8</v>
      </c>
      <c r="E593" s="27">
        <f t="shared" si="53"/>
        <v>1560</v>
      </c>
      <c r="F593" s="27" t="s">
        <v>31</v>
      </c>
      <c r="G593" s="36" t="s">
        <v>1105</v>
      </c>
      <c r="H593" s="28">
        <f>H577-E593</f>
        <v>45960</v>
      </c>
      <c r="I593" s="28"/>
      <c r="J593" s="28"/>
      <c r="K593" s="27">
        <v>260520006</v>
      </c>
      <c r="L593" s="27"/>
      <c r="M593" s="27">
        <f>M587-D593</f>
        <v>3</v>
      </c>
      <c r="N593" s="19">
        <v>46140</v>
      </c>
      <c r="O593" s="21">
        <f t="shared" si="52"/>
        <v>46504</v>
      </c>
    </row>
    <row r="594" spans="1:15" ht="20.149999999999999" hidden="1" customHeight="1" x14ac:dyDescent="0.25">
      <c r="A594" s="22">
        <v>46164</v>
      </c>
      <c r="B594" s="22">
        <v>46164</v>
      </c>
      <c r="C594" s="23" t="s">
        <v>983</v>
      </c>
      <c r="D594" s="23">
        <v>4</v>
      </c>
      <c r="E594" s="23">
        <f t="shared" si="53"/>
        <v>780</v>
      </c>
      <c r="F594" s="38" t="s">
        <v>29</v>
      </c>
      <c r="G594" s="38" t="s">
        <v>1116</v>
      </c>
      <c r="H594" s="25">
        <f>H578-E594</f>
        <v>62560</v>
      </c>
      <c r="I594" s="25"/>
      <c r="J594" s="25"/>
      <c r="K594" s="23">
        <v>260521003</v>
      </c>
      <c r="L594" s="23"/>
      <c r="M594" s="23">
        <f>M549-D594</f>
        <v>18</v>
      </c>
      <c r="N594" s="19">
        <v>46142</v>
      </c>
      <c r="O594" s="21">
        <f t="shared" si="52"/>
        <v>46506</v>
      </c>
    </row>
    <row r="595" spans="1:15" ht="20.149999999999999" hidden="1" customHeight="1" x14ac:dyDescent="0.25">
      <c r="A595" s="29">
        <v>46164</v>
      </c>
      <c r="B595" s="29">
        <v>46164</v>
      </c>
      <c r="C595" s="30" t="s">
        <v>1110</v>
      </c>
      <c r="D595" s="30">
        <v>3</v>
      </c>
      <c r="E595" s="30">
        <f t="shared" si="53"/>
        <v>585</v>
      </c>
      <c r="F595" s="37" t="s">
        <v>27</v>
      </c>
      <c r="G595" s="37" t="s">
        <v>1117</v>
      </c>
      <c r="H595" s="32">
        <f>H579-E595</f>
        <v>18915</v>
      </c>
      <c r="I595" s="32"/>
      <c r="J595" s="32"/>
      <c r="K595" s="30">
        <v>260521004</v>
      </c>
      <c r="L595" s="30"/>
      <c r="M595" s="30">
        <f>M593-D595</f>
        <v>0</v>
      </c>
      <c r="N595" s="19">
        <v>46140</v>
      </c>
      <c r="O595" s="21">
        <f t="shared" si="52"/>
        <v>46504</v>
      </c>
    </row>
    <row r="596" spans="1:15" ht="20.149999999999999" hidden="1" customHeight="1" x14ac:dyDescent="0.25">
      <c r="A596" s="29">
        <v>46164</v>
      </c>
      <c r="B596" s="29">
        <v>46164</v>
      </c>
      <c r="C596" s="30" t="s">
        <v>986</v>
      </c>
      <c r="D596" s="30">
        <v>5</v>
      </c>
      <c r="E596" s="30">
        <f t="shared" si="53"/>
        <v>975</v>
      </c>
      <c r="F596" s="37" t="s">
        <v>27</v>
      </c>
      <c r="G596" s="37" t="s">
        <v>1107</v>
      </c>
      <c r="H596" s="32">
        <f>H595-E596</f>
        <v>17940</v>
      </c>
      <c r="I596" s="32"/>
      <c r="J596" s="32"/>
      <c r="K596" s="30">
        <v>260521004</v>
      </c>
      <c r="L596" s="30"/>
      <c r="M596" s="30">
        <f>M588-D596</f>
        <v>8</v>
      </c>
      <c r="N596" s="19">
        <v>46141</v>
      </c>
      <c r="O596" s="21">
        <f t="shared" si="52"/>
        <v>46505</v>
      </c>
    </row>
    <row r="597" spans="1:15" ht="20.149999999999999" hidden="1" customHeight="1" x14ac:dyDescent="0.2">
      <c r="A597" s="33">
        <v>46164</v>
      </c>
      <c r="B597" s="33">
        <v>46167</v>
      </c>
      <c r="C597" s="34" t="s">
        <v>1111</v>
      </c>
      <c r="D597" s="34">
        <v>8</v>
      </c>
      <c r="E597" s="34">
        <f t="shared" si="53"/>
        <v>1560</v>
      </c>
      <c r="F597" s="145" t="s">
        <v>444</v>
      </c>
      <c r="G597" s="39" t="s">
        <v>1118</v>
      </c>
      <c r="H597" s="35">
        <f>H584-E597</f>
        <v>184400</v>
      </c>
      <c r="I597" s="35"/>
      <c r="J597" s="35"/>
      <c r="K597" s="34">
        <v>260521005</v>
      </c>
      <c r="L597" s="34"/>
      <c r="M597" s="34">
        <f>M596-D597</f>
        <v>0</v>
      </c>
      <c r="N597" s="19">
        <v>46141</v>
      </c>
      <c r="O597" s="21">
        <f t="shared" si="52"/>
        <v>46505</v>
      </c>
    </row>
    <row r="598" spans="1:15" ht="20.149999999999999" hidden="1" customHeight="1" x14ac:dyDescent="0.2">
      <c r="A598" s="33">
        <v>46164</v>
      </c>
      <c r="B598" s="33">
        <v>46167</v>
      </c>
      <c r="C598" s="34" t="s">
        <v>983</v>
      </c>
      <c r="D598" s="34">
        <v>12</v>
      </c>
      <c r="E598" s="34">
        <f t="shared" si="53"/>
        <v>2340</v>
      </c>
      <c r="F598" s="145" t="s">
        <v>444</v>
      </c>
      <c r="G598" s="39" t="s">
        <v>1108</v>
      </c>
      <c r="H598" s="35">
        <f>H597-E598</f>
        <v>182060</v>
      </c>
      <c r="I598" s="35"/>
      <c r="J598" s="35"/>
      <c r="K598" s="34">
        <v>260521005</v>
      </c>
      <c r="L598" s="34"/>
      <c r="M598" s="34">
        <f>M594-D598</f>
        <v>6</v>
      </c>
      <c r="N598" s="19">
        <v>46142</v>
      </c>
      <c r="O598" s="21">
        <f t="shared" si="52"/>
        <v>46506</v>
      </c>
    </row>
    <row r="599" spans="1:15" ht="20.149999999999999" hidden="1" customHeight="1" x14ac:dyDescent="0.25">
      <c r="A599" s="40">
        <v>46167</v>
      </c>
      <c r="B599" s="40">
        <v>46168</v>
      </c>
      <c r="C599" s="41" t="s">
        <v>1121</v>
      </c>
      <c r="D599" s="41">
        <v>4</v>
      </c>
      <c r="E599" s="41">
        <f t="shared" si="53"/>
        <v>780</v>
      </c>
      <c r="F599" s="60" t="s">
        <v>267</v>
      </c>
      <c r="G599" s="60" t="s">
        <v>909</v>
      </c>
      <c r="H599" s="42">
        <f>H585-E599</f>
        <v>19500</v>
      </c>
      <c r="I599" s="121" t="s">
        <v>22</v>
      </c>
      <c r="J599" s="42"/>
      <c r="K599" s="41">
        <v>260522009</v>
      </c>
      <c r="L599" s="41">
        <v>41</v>
      </c>
      <c r="M599" s="41">
        <f>L599-D599</f>
        <v>37</v>
      </c>
      <c r="N599" s="19">
        <v>46154</v>
      </c>
      <c r="O599" s="21">
        <f t="shared" si="52"/>
        <v>46518</v>
      </c>
    </row>
    <row r="600" spans="1:15" ht="20.149999999999999" hidden="1" customHeight="1" x14ac:dyDescent="0.25">
      <c r="A600" s="40">
        <v>46167</v>
      </c>
      <c r="B600" s="40">
        <v>46168</v>
      </c>
      <c r="C600" s="41" t="s">
        <v>1122</v>
      </c>
      <c r="D600" s="41">
        <v>4</v>
      </c>
      <c r="E600" s="41">
        <f t="shared" si="53"/>
        <v>780</v>
      </c>
      <c r="F600" s="60" t="s">
        <v>267</v>
      </c>
      <c r="G600" s="60" t="s">
        <v>1125</v>
      </c>
      <c r="H600" s="42">
        <f>H599-E600</f>
        <v>18720</v>
      </c>
      <c r="I600" s="121" t="s">
        <v>22</v>
      </c>
      <c r="J600" s="42"/>
      <c r="K600" s="41">
        <v>260522009</v>
      </c>
      <c r="L600" s="41">
        <v>41</v>
      </c>
      <c r="M600" s="41">
        <f>L600-D600</f>
        <v>37</v>
      </c>
      <c r="N600" s="19">
        <v>46155</v>
      </c>
      <c r="O600" s="21">
        <f t="shared" si="52"/>
        <v>46519</v>
      </c>
    </row>
    <row r="601" spans="1:15" ht="20.149999999999999" hidden="1" customHeight="1" x14ac:dyDescent="0.25">
      <c r="A601" s="40">
        <v>46167</v>
      </c>
      <c r="B601" s="40">
        <v>46168</v>
      </c>
      <c r="C601" s="41" t="s">
        <v>1129</v>
      </c>
      <c r="D601" s="41">
        <v>4</v>
      </c>
      <c r="E601" s="41">
        <f t="shared" si="53"/>
        <v>780</v>
      </c>
      <c r="F601" s="60" t="s">
        <v>267</v>
      </c>
      <c r="G601" s="60" t="s">
        <v>1126</v>
      </c>
      <c r="H601" s="42">
        <f>H600-E601</f>
        <v>17940</v>
      </c>
      <c r="I601" s="121" t="s">
        <v>22</v>
      </c>
      <c r="J601" s="42"/>
      <c r="K601" s="41">
        <v>260522009</v>
      </c>
      <c r="L601" s="41">
        <v>42</v>
      </c>
      <c r="M601" s="41">
        <f>L601-D601</f>
        <v>38</v>
      </c>
      <c r="N601" s="19">
        <v>46156</v>
      </c>
      <c r="O601" s="21">
        <f t="shared" si="52"/>
        <v>46520</v>
      </c>
    </row>
    <row r="602" spans="1:15" ht="20.149999999999999" hidden="1" customHeight="1" x14ac:dyDescent="0.25">
      <c r="A602" s="26">
        <v>46167</v>
      </c>
      <c r="B602" s="26">
        <v>46168</v>
      </c>
      <c r="C602" s="27" t="s">
        <v>983</v>
      </c>
      <c r="D602" s="27">
        <v>6</v>
      </c>
      <c r="E602" s="27">
        <f t="shared" si="53"/>
        <v>1170</v>
      </c>
      <c r="F602" s="36" t="s">
        <v>294</v>
      </c>
      <c r="G602" s="36" t="s">
        <v>297</v>
      </c>
      <c r="H602" s="28">
        <f>H587-E602</f>
        <v>167630</v>
      </c>
      <c r="I602" s="28"/>
      <c r="J602" s="28"/>
      <c r="K602" s="27">
        <v>260522010</v>
      </c>
      <c r="L602" s="27"/>
      <c r="M602" s="27">
        <f>M598-D602</f>
        <v>0</v>
      </c>
      <c r="N602" s="19">
        <v>46142</v>
      </c>
      <c r="O602" s="21">
        <f t="shared" si="52"/>
        <v>46506</v>
      </c>
    </row>
    <row r="603" spans="1:15" ht="20.149999999999999" hidden="1" customHeight="1" x14ac:dyDescent="0.25">
      <c r="A603" s="26">
        <v>46167</v>
      </c>
      <c r="B603" s="26">
        <v>46168</v>
      </c>
      <c r="C603" s="27" t="s">
        <v>988</v>
      </c>
      <c r="D603" s="27">
        <v>6</v>
      </c>
      <c r="E603" s="27">
        <f t="shared" si="53"/>
        <v>1170</v>
      </c>
      <c r="F603" s="36" t="s">
        <v>294</v>
      </c>
      <c r="G603" s="36" t="s">
        <v>1127</v>
      </c>
      <c r="H603" s="28">
        <f>H602-E603</f>
        <v>166460</v>
      </c>
      <c r="I603" s="28"/>
      <c r="J603" s="28"/>
      <c r="K603" s="27">
        <v>260522010</v>
      </c>
      <c r="L603" s="27"/>
      <c r="M603" s="27">
        <f>M551-D603</f>
        <v>11</v>
      </c>
      <c r="N603" s="19">
        <v>46143</v>
      </c>
      <c r="O603" s="21">
        <f t="shared" si="52"/>
        <v>46507</v>
      </c>
    </row>
    <row r="604" spans="1:15" ht="20.149999999999999" hidden="1" customHeight="1" x14ac:dyDescent="0.3">
      <c r="A604" s="22">
        <v>46167</v>
      </c>
      <c r="B604" s="22">
        <v>46168</v>
      </c>
      <c r="C604" s="23" t="s">
        <v>1130</v>
      </c>
      <c r="D604" s="23">
        <v>4</v>
      </c>
      <c r="E604" s="23">
        <f t="shared" si="53"/>
        <v>780</v>
      </c>
      <c r="F604" s="38" t="s">
        <v>274</v>
      </c>
      <c r="G604" s="38" t="s">
        <v>1136</v>
      </c>
      <c r="H604" s="25">
        <f>H591-E604</f>
        <v>27300</v>
      </c>
      <c r="I604" s="43" t="s">
        <v>22</v>
      </c>
      <c r="J604" s="25"/>
      <c r="K604" s="23">
        <v>260522011</v>
      </c>
      <c r="L604" s="23">
        <v>41</v>
      </c>
      <c r="M604" s="23">
        <f>L604-D604</f>
        <v>37</v>
      </c>
      <c r="N604" s="19">
        <v>46157</v>
      </c>
      <c r="O604" s="21">
        <f t="shared" si="52"/>
        <v>46521</v>
      </c>
    </row>
    <row r="605" spans="1:15" ht="20.149999999999999" hidden="1" customHeight="1" x14ac:dyDescent="0.3">
      <c r="A605" s="22">
        <v>46167</v>
      </c>
      <c r="B605" s="22">
        <v>46168</v>
      </c>
      <c r="C605" s="23" t="s">
        <v>1123</v>
      </c>
      <c r="D605" s="23">
        <v>4</v>
      </c>
      <c r="E605" s="23">
        <f t="shared" si="53"/>
        <v>780</v>
      </c>
      <c r="F605" s="38" t="s">
        <v>274</v>
      </c>
      <c r="G605" s="38" t="s">
        <v>1088</v>
      </c>
      <c r="H605" s="25">
        <f>H604-E605</f>
        <v>26520</v>
      </c>
      <c r="I605" s="43" t="s">
        <v>22</v>
      </c>
      <c r="J605" s="25"/>
      <c r="K605" s="23">
        <v>260522011</v>
      </c>
      <c r="L605" s="23">
        <v>41</v>
      </c>
      <c r="M605" s="23">
        <f>L605-D605</f>
        <v>37</v>
      </c>
      <c r="N605" s="19">
        <v>46158</v>
      </c>
      <c r="O605" s="21">
        <f t="shared" si="52"/>
        <v>46522</v>
      </c>
    </row>
    <row r="606" spans="1:15" ht="20.149999999999999" hidden="1" customHeight="1" x14ac:dyDescent="0.3">
      <c r="A606" s="22">
        <v>46167</v>
      </c>
      <c r="B606" s="22">
        <v>46168</v>
      </c>
      <c r="C606" s="23" t="s">
        <v>1131</v>
      </c>
      <c r="D606" s="23">
        <v>4</v>
      </c>
      <c r="E606" s="23">
        <f t="shared" si="53"/>
        <v>780</v>
      </c>
      <c r="F606" s="38" t="s">
        <v>274</v>
      </c>
      <c r="G606" s="38" t="s">
        <v>1088</v>
      </c>
      <c r="H606" s="25">
        <f>H605-E606</f>
        <v>25740</v>
      </c>
      <c r="I606" s="43" t="s">
        <v>22</v>
      </c>
      <c r="J606" s="25"/>
      <c r="K606" s="23">
        <v>260522011</v>
      </c>
      <c r="L606" s="23">
        <v>42</v>
      </c>
      <c r="M606" s="23">
        <f>L606-D606</f>
        <v>38</v>
      </c>
      <c r="N606" s="19">
        <v>46159</v>
      </c>
      <c r="O606" s="21">
        <f t="shared" si="52"/>
        <v>46523</v>
      </c>
    </row>
    <row r="607" spans="1:15" ht="20.149999999999999" hidden="1" customHeight="1" x14ac:dyDescent="0.2">
      <c r="A607" s="33">
        <v>46167</v>
      </c>
      <c r="B607" s="33">
        <v>46168</v>
      </c>
      <c r="C607" s="34" t="s">
        <v>989</v>
      </c>
      <c r="D607" s="34">
        <v>8</v>
      </c>
      <c r="E607" s="34">
        <f t="shared" si="53"/>
        <v>1560</v>
      </c>
      <c r="F607" s="39" t="s">
        <v>30</v>
      </c>
      <c r="G607" s="39" t="s">
        <v>1137</v>
      </c>
      <c r="H607" s="35">
        <f>H592-E607</f>
        <v>0</v>
      </c>
      <c r="I607" s="35"/>
      <c r="J607" s="35"/>
      <c r="K607" s="34">
        <v>260522012</v>
      </c>
      <c r="L607" s="34"/>
      <c r="M607" s="34">
        <f>M552-D607</f>
        <v>30</v>
      </c>
      <c r="N607" s="19">
        <v>46144</v>
      </c>
      <c r="O607" s="21">
        <f t="shared" si="52"/>
        <v>46508</v>
      </c>
    </row>
    <row r="608" spans="1:15" ht="20.149999999999999" hidden="1" customHeight="1" x14ac:dyDescent="0.2">
      <c r="A608" s="33">
        <v>46167</v>
      </c>
      <c r="B608" s="33">
        <v>46168</v>
      </c>
      <c r="C608" s="34" t="s">
        <v>989</v>
      </c>
      <c r="D608" s="34">
        <v>4</v>
      </c>
      <c r="E608" s="34">
        <f t="shared" si="53"/>
        <v>780</v>
      </c>
      <c r="F608" s="39" t="s">
        <v>30</v>
      </c>
      <c r="G608" s="145" t="s">
        <v>1124</v>
      </c>
      <c r="H608" s="35">
        <f>22620-E608</f>
        <v>21840</v>
      </c>
      <c r="I608" s="35"/>
      <c r="J608" s="35"/>
      <c r="K608" s="34" t="s">
        <v>1135</v>
      </c>
      <c r="L608" s="34"/>
      <c r="M608" s="34">
        <f>M607-D608</f>
        <v>26</v>
      </c>
      <c r="N608" s="19">
        <v>46144</v>
      </c>
      <c r="O608" s="21">
        <f t="shared" si="52"/>
        <v>46508</v>
      </c>
    </row>
    <row r="609" spans="1:15" ht="20.149999999999999" hidden="1" customHeight="1" x14ac:dyDescent="0.2">
      <c r="A609" s="29">
        <v>46167</v>
      </c>
      <c r="B609" s="29">
        <v>46168</v>
      </c>
      <c r="C609" s="30" t="s">
        <v>1132</v>
      </c>
      <c r="D609" s="30">
        <v>11</v>
      </c>
      <c r="E609" s="30">
        <f t="shared" si="53"/>
        <v>2145</v>
      </c>
      <c r="F609" s="30" t="s">
        <v>31</v>
      </c>
      <c r="G609" s="37" t="s">
        <v>1138</v>
      </c>
      <c r="H609" s="32">
        <f>H593-E609</f>
        <v>43815</v>
      </c>
      <c r="I609" s="32"/>
      <c r="J609" s="32"/>
      <c r="K609" s="30">
        <v>260522013</v>
      </c>
      <c r="L609" s="30"/>
      <c r="M609" s="30">
        <f>M603-D609</f>
        <v>0</v>
      </c>
      <c r="N609" s="19">
        <v>46143</v>
      </c>
      <c r="O609" s="21">
        <f t="shared" si="52"/>
        <v>46507</v>
      </c>
    </row>
    <row r="610" spans="1:15" ht="20.149999999999999" hidden="1" customHeight="1" x14ac:dyDescent="0.2">
      <c r="A610" s="29">
        <v>46167</v>
      </c>
      <c r="B610" s="29">
        <v>46168</v>
      </c>
      <c r="C610" s="30" t="s">
        <v>990</v>
      </c>
      <c r="D610" s="30">
        <v>1</v>
      </c>
      <c r="E610" s="30">
        <f t="shared" si="53"/>
        <v>195</v>
      </c>
      <c r="F610" s="30" t="s">
        <v>31</v>
      </c>
      <c r="G610" s="37" t="s">
        <v>1128</v>
      </c>
      <c r="H610" s="32">
        <f>H609-E610</f>
        <v>43620</v>
      </c>
      <c r="I610" s="32"/>
      <c r="J610" s="32"/>
      <c r="K610" s="30">
        <v>260522013</v>
      </c>
      <c r="L610" s="30"/>
      <c r="M610" s="30">
        <f>M553-D610</f>
        <v>36</v>
      </c>
      <c r="N610" s="19">
        <v>46145</v>
      </c>
      <c r="O610" s="21">
        <f t="shared" si="52"/>
        <v>46509</v>
      </c>
    </row>
    <row r="611" spans="1:15" ht="20.149999999999999" hidden="1" customHeight="1" x14ac:dyDescent="0.25">
      <c r="A611" s="90">
        <v>46168</v>
      </c>
      <c r="B611" s="90">
        <v>46168</v>
      </c>
      <c r="C611" s="91" t="s">
        <v>1159</v>
      </c>
      <c r="D611" s="91">
        <v>4</v>
      </c>
      <c r="E611" s="91">
        <f t="shared" si="53"/>
        <v>780</v>
      </c>
      <c r="F611" s="92" t="s">
        <v>29</v>
      </c>
      <c r="G611" s="92" t="s">
        <v>1160</v>
      </c>
      <c r="H611" s="93">
        <f>H594-E611</f>
        <v>61780</v>
      </c>
      <c r="I611" s="93"/>
      <c r="J611" s="93"/>
      <c r="K611" s="91">
        <v>260526001</v>
      </c>
      <c r="L611" s="91"/>
      <c r="M611" s="91">
        <f>M610-D611</f>
        <v>32</v>
      </c>
      <c r="N611" s="19">
        <v>46145</v>
      </c>
      <c r="O611" s="21">
        <f t="shared" si="52"/>
        <v>46509</v>
      </c>
    </row>
    <row r="612" spans="1:15" ht="20.149999999999999" hidden="1" customHeight="1" x14ac:dyDescent="0.25">
      <c r="A612" s="40">
        <v>46168</v>
      </c>
      <c r="B612" s="40">
        <v>46168</v>
      </c>
      <c r="C612" s="41" t="s">
        <v>1144</v>
      </c>
      <c r="D612" s="41">
        <v>8</v>
      </c>
      <c r="E612" s="41">
        <f t="shared" si="53"/>
        <v>1560</v>
      </c>
      <c r="F612" s="60" t="s">
        <v>27</v>
      </c>
      <c r="G612" s="60" t="s">
        <v>1154</v>
      </c>
      <c r="H612" s="42">
        <f>H596-E612</f>
        <v>16380</v>
      </c>
      <c r="I612" s="42"/>
      <c r="J612" s="42"/>
      <c r="K612" s="41">
        <v>260525002</v>
      </c>
      <c r="L612" s="41"/>
      <c r="M612" s="41">
        <f>M608-D612</f>
        <v>18</v>
      </c>
      <c r="N612" s="19">
        <v>46144</v>
      </c>
      <c r="O612" s="21">
        <f t="shared" si="52"/>
        <v>46508</v>
      </c>
    </row>
    <row r="613" spans="1:15" ht="20.149999999999999" hidden="1" customHeight="1" x14ac:dyDescent="0.25">
      <c r="A613" s="26">
        <v>46168</v>
      </c>
      <c r="B613" s="26">
        <v>46169</v>
      </c>
      <c r="C613" s="27" t="s">
        <v>1145</v>
      </c>
      <c r="D613" s="27">
        <v>12</v>
      </c>
      <c r="E613" s="27">
        <f t="shared" si="53"/>
        <v>2340</v>
      </c>
      <c r="F613" s="36" t="s">
        <v>307</v>
      </c>
      <c r="G613" s="36" t="s">
        <v>1155</v>
      </c>
      <c r="H613" s="28">
        <f>H582-E613</f>
        <v>0</v>
      </c>
      <c r="I613" s="28"/>
      <c r="J613" s="28"/>
      <c r="K613" s="27">
        <v>260525003</v>
      </c>
      <c r="L613" s="27"/>
      <c r="M613" s="27">
        <f>M612-D613</f>
        <v>6</v>
      </c>
      <c r="N613" s="19">
        <v>46144</v>
      </c>
      <c r="O613" s="21">
        <f t="shared" si="52"/>
        <v>46508</v>
      </c>
    </row>
    <row r="614" spans="1:15" ht="20.149999999999999" hidden="1" customHeight="1" x14ac:dyDescent="0.25">
      <c r="A614" s="26">
        <v>46168</v>
      </c>
      <c r="B614" s="26">
        <v>46169</v>
      </c>
      <c r="C614" s="27" t="s">
        <v>989</v>
      </c>
      <c r="D614" s="27">
        <v>6</v>
      </c>
      <c r="E614" s="27">
        <f>D614*195</f>
        <v>1170</v>
      </c>
      <c r="F614" s="36" t="s">
        <v>307</v>
      </c>
      <c r="G614" s="149" t="s">
        <v>1156</v>
      </c>
      <c r="H614" s="28">
        <f>31980-E614</f>
        <v>30810</v>
      </c>
      <c r="I614" s="28"/>
      <c r="J614" s="28"/>
      <c r="K614" s="27" t="s">
        <v>1151</v>
      </c>
      <c r="L614" s="27"/>
      <c r="M614" s="27">
        <f>M613-D614</f>
        <v>0</v>
      </c>
      <c r="N614" s="19">
        <v>46144</v>
      </c>
      <c r="O614" s="21">
        <f t="shared" si="52"/>
        <v>46508</v>
      </c>
    </row>
    <row r="615" spans="1:15" ht="20.149999999999999" hidden="1" customHeight="1" x14ac:dyDescent="0.25">
      <c r="A615" s="26">
        <v>46168</v>
      </c>
      <c r="B615" s="26">
        <v>46169</v>
      </c>
      <c r="C615" s="27" t="s">
        <v>1146</v>
      </c>
      <c r="D615" s="27">
        <v>14</v>
      </c>
      <c r="E615" s="27">
        <f t="shared" si="53"/>
        <v>2730</v>
      </c>
      <c r="F615" s="36" t="s">
        <v>307</v>
      </c>
      <c r="G615" s="149" t="s">
        <v>1141</v>
      </c>
      <c r="H615" s="28">
        <f>H614-E615</f>
        <v>28080</v>
      </c>
      <c r="I615" s="28"/>
      <c r="J615" s="28"/>
      <c r="K615" s="27" t="s">
        <v>1151</v>
      </c>
      <c r="L615" s="27"/>
      <c r="M615" s="27">
        <f>M611-D615</f>
        <v>18</v>
      </c>
      <c r="N615" s="19">
        <v>46145</v>
      </c>
      <c r="O615" s="21">
        <f t="shared" si="52"/>
        <v>46509</v>
      </c>
    </row>
    <row r="616" spans="1:15" ht="20.149999999999999" hidden="1" customHeight="1" x14ac:dyDescent="0.25">
      <c r="A616" s="22">
        <v>46170</v>
      </c>
      <c r="B616" s="22">
        <v>46171</v>
      </c>
      <c r="C616" s="23" t="s">
        <v>1020</v>
      </c>
      <c r="D616" s="23">
        <v>8</v>
      </c>
      <c r="E616" s="23">
        <f t="shared" si="53"/>
        <v>1560</v>
      </c>
      <c r="F616" s="38" t="s">
        <v>267</v>
      </c>
      <c r="G616" s="38" t="s">
        <v>1172</v>
      </c>
      <c r="H616" s="25">
        <f>H601-E616</f>
        <v>16380</v>
      </c>
      <c r="I616" s="25"/>
      <c r="J616" s="25"/>
      <c r="K616" s="23">
        <v>260527003</v>
      </c>
      <c r="L616" s="23"/>
      <c r="M616" s="23">
        <f>M567-D616</f>
        <v>28</v>
      </c>
      <c r="N616" s="19">
        <v>46146</v>
      </c>
      <c r="O616" s="21">
        <f t="shared" si="52"/>
        <v>46510</v>
      </c>
    </row>
    <row r="617" spans="1:15" ht="20.149999999999999" hidden="1" customHeight="1" x14ac:dyDescent="0.25">
      <c r="A617" s="33">
        <v>46170</v>
      </c>
      <c r="B617" s="33">
        <v>46171</v>
      </c>
      <c r="C617" s="34" t="s">
        <v>1165</v>
      </c>
      <c r="D617" s="34">
        <v>10</v>
      </c>
      <c r="E617" s="34">
        <f t="shared" si="53"/>
        <v>1950</v>
      </c>
      <c r="F617" s="39" t="s">
        <v>294</v>
      </c>
      <c r="G617" s="39" t="s">
        <v>1173</v>
      </c>
      <c r="H617" s="35">
        <f>H603-E617</f>
        <v>164510</v>
      </c>
      <c r="I617" s="35"/>
      <c r="J617" s="35"/>
      <c r="K617" s="34">
        <v>260527004</v>
      </c>
      <c r="L617" s="34"/>
      <c r="M617" s="34">
        <f>M615-D617</f>
        <v>8</v>
      </c>
      <c r="N617" s="19">
        <v>46145</v>
      </c>
      <c r="O617" s="21">
        <f t="shared" si="52"/>
        <v>46509</v>
      </c>
    </row>
    <row r="618" spans="1:15" ht="20.149999999999999" hidden="1" customHeight="1" x14ac:dyDescent="0.25">
      <c r="A618" s="33">
        <v>46170</v>
      </c>
      <c r="B618" s="33">
        <v>46171</v>
      </c>
      <c r="C618" s="34" t="s">
        <v>1166</v>
      </c>
      <c r="D618" s="34">
        <v>6</v>
      </c>
      <c r="E618" s="34">
        <f t="shared" si="53"/>
        <v>1170</v>
      </c>
      <c r="F618" s="39" t="s">
        <v>294</v>
      </c>
      <c r="G618" s="39" t="s">
        <v>297</v>
      </c>
      <c r="H618" s="35">
        <f>H617-E618</f>
        <v>163340</v>
      </c>
      <c r="I618" s="35"/>
      <c r="J618" s="35"/>
      <c r="K618" s="34">
        <v>260527004</v>
      </c>
      <c r="L618" s="34"/>
      <c r="M618" s="34">
        <f>M616-D618</f>
        <v>22</v>
      </c>
      <c r="N618" s="19">
        <v>46146</v>
      </c>
      <c r="O618" s="21">
        <f t="shared" si="52"/>
        <v>46510</v>
      </c>
    </row>
    <row r="619" spans="1:15" ht="20.149999999999999" hidden="1" customHeight="1" x14ac:dyDescent="0.3">
      <c r="A619" s="29">
        <v>46170</v>
      </c>
      <c r="B619" s="29">
        <v>46171</v>
      </c>
      <c r="C619" s="30" t="s">
        <v>1167</v>
      </c>
      <c r="D619" s="30">
        <v>14</v>
      </c>
      <c r="E619" s="30">
        <f t="shared" si="53"/>
        <v>2730</v>
      </c>
      <c r="F619" s="37" t="s">
        <v>274</v>
      </c>
      <c r="G619" s="37" t="s">
        <v>1174</v>
      </c>
      <c r="H619" s="32">
        <f>H606-E619</f>
        <v>23010</v>
      </c>
      <c r="I619" s="32"/>
      <c r="J619" s="32"/>
      <c r="K619" s="30">
        <v>260527005</v>
      </c>
      <c r="L619" s="30"/>
      <c r="M619" s="30">
        <f>M618-D619</f>
        <v>8</v>
      </c>
      <c r="N619" s="19">
        <v>46146</v>
      </c>
      <c r="O619" s="21">
        <f t="shared" si="52"/>
        <v>46510</v>
      </c>
    </row>
    <row r="620" spans="1:15" ht="20.149999999999999" hidden="1" customHeight="1" x14ac:dyDescent="0.3">
      <c r="A620" s="29">
        <v>46170</v>
      </c>
      <c r="B620" s="29">
        <v>46171</v>
      </c>
      <c r="C620" s="30" t="s">
        <v>1040</v>
      </c>
      <c r="D620" s="30">
        <v>2</v>
      </c>
      <c r="E620" s="30">
        <f t="shared" si="53"/>
        <v>390</v>
      </c>
      <c r="F620" s="37" t="s">
        <v>274</v>
      </c>
      <c r="G620" s="37" t="s">
        <v>1161</v>
      </c>
      <c r="H620" s="32">
        <f>H619-E620</f>
        <v>22620</v>
      </c>
      <c r="I620" s="32"/>
      <c r="J620" s="32"/>
      <c r="K620" s="30">
        <v>260527005</v>
      </c>
      <c r="L620" s="30"/>
      <c r="M620" s="30">
        <f>M573-D620</f>
        <v>19</v>
      </c>
      <c r="N620" s="19">
        <v>46147</v>
      </c>
      <c r="O620" s="21">
        <f t="shared" si="52"/>
        <v>46511</v>
      </c>
    </row>
    <row r="621" spans="1:15" ht="20.149999999999999" hidden="1" customHeight="1" x14ac:dyDescent="0.2">
      <c r="A621" s="40">
        <v>46170</v>
      </c>
      <c r="B621" s="40">
        <v>46171</v>
      </c>
      <c r="C621" s="41" t="s">
        <v>1020</v>
      </c>
      <c r="D621" s="41">
        <v>8</v>
      </c>
      <c r="E621" s="41">
        <f t="shared" si="53"/>
        <v>1560</v>
      </c>
      <c r="F621" s="60" t="s">
        <v>30</v>
      </c>
      <c r="G621" s="60" t="s">
        <v>1124</v>
      </c>
      <c r="H621" s="42">
        <f>H608-E621</f>
        <v>20280</v>
      </c>
      <c r="I621" s="42"/>
      <c r="J621" s="42"/>
      <c r="K621" s="41">
        <v>260527006</v>
      </c>
      <c r="L621" s="41"/>
      <c r="M621" s="41">
        <f>M619-D621</f>
        <v>0</v>
      </c>
      <c r="N621" s="19">
        <v>46146</v>
      </c>
      <c r="O621" s="21">
        <f t="shared" si="52"/>
        <v>46510</v>
      </c>
    </row>
    <row r="622" spans="1:15" ht="20.149999999999999" hidden="1" customHeight="1" x14ac:dyDescent="0.25">
      <c r="A622" s="174">
        <v>46170</v>
      </c>
      <c r="B622" s="174">
        <v>46171</v>
      </c>
      <c r="C622" s="175" t="s">
        <v>1168</v>
      </c>
      <c r="D622" s="175">
        <v>8</v>
      </c>
      <c r="E622" s="175">
        <f t="shared" si="53"/>
        <v>1560</v>
      </c>
      <c r="F622" s="175" t="s">
        <v>31</v>
      </c>
      <c r="G622" s="176" t="s">
        <v>1175</v>
      </c>
      <c r="H622" s="177"/>
      <c r="I622" s="177"/>
      <c r="J622" s="178" t="s">
        <v>1181</v>
      </c>
      <c r="K622" s="175">
        <v>260527007</v>
      </c>
      <c r="L622" s="175"/>
      <c r="M622" s="175"/>
      <c r="N622" s="172">
        <v>46145</v>
      </c>
      <c r="O622" s="173">
        <f t="shared" si="52"/>
        <v>46509</v>
      </c>
    </row>
    <row r="623" spans="1:15" ht="20.149999999999999" hidden="1" customHeight="1" x14ac:dyDescent="0.25">
      <c r="A623" s="22">
        <v>46171</v>
      </c>
      <c r="B623" s="22">
        <v>46171</v>
      </c>
      <c r="C623" s="23" t="s">
        <v>990</v>
      </c>
      <c r="D623" s="23">
        <v>4</v>
      </c>
      <c r="E623" s="23">
        <f t="shared" si="53"/>
        <v>780</v>
      </c>
      <c r="F623" s="38" t="s">
        <v>27</v>
      </c>
      <c r="G623" s="38" t="s">
        <v>939</v>
      </c>
      <c r="H623" s="25">
        <f>H612-E623</f>
        <v>15600</v>
      </c>
      <c r="I623" s="25"/>
      <c r="J623" s="25"/>
      <c r="K623" s="23">
        <v>260528002</v>
      </c>
      <c r="L623" s="23"/>
      <c r="M623" s="23">
        <f>M617-D623</f>
        <v>4</v>
      </c>
      <c r="N623" s="19">
        <v>46145</v>
      </c>
      <c r="O623" s="21">
        <f t="shared" si="52"/>
        <v>46509</v>
      </c>
    </row>
    <row r="624" spans="1:15" ht="20.149999999999999" hidden="1" customHeight="1" x14ac:dyDescent="0.25">
      <c r="A624" s="33">
        <v>46174</v>
      </c>
      <c r="B624" s="33">
        <v>46175</v>
      </c>
      <c r="C624" s="34" t="s">
        <v>1192</v>
      </c>
      <c r="D624" s="34">
        <v>4</v>
      </c>
      <c r="E624" s="34">
        <f t="shared" si="53"/>
        <v>780</v>
      </c>
      <c r="F624" s="39" t="s">
        <v>267</v>
      </c>
      <c r="G624" s="39" t="s">
        <v>1214</v>
      </c>
      <c r="H624" s="35">
        <f>H616-E624</f>
        <v>15600</v>
      </c>
      <c r="I624" s="63" t="s">
        <v>22</v>
      </c>
      <c r="J624" s="35"/>
      <c r="K624" s="34">
        <v>26029002</v>
      </c>
      <c r="L624" s="34">
        <v>41</v>
      </c>
      <c r="M624" s="34">
        <f t="shared" ref="M624:M629" si="54">L624-D624</f>
        <v>37</v>
      </c>
      <c r="N624" s="19">
        <v>46161</v>
      </c>
      <c r="O624" s="21">
        <f t="shared" si="52"/>
        <v>46525</v>
      </c>
    </row>
    <row r="625" spans="1:15" ht="20.149999999999999" hidden="1" customHeight="1" x14ac:dyDescent="0.25">
      <c r="A625" s="33">
        <v>46174</v>
      </c>
      <c r="B625" s="33">
        <v>46175</v>
      </c>
      <c r="C625" s="34" t="s">
        <v>1199</v>
      </c>
      <c r="D625" s="34">
        <v>4</v>
      </c>
      <c r="E625" s="34">
        <f t="shared" si="53"/>
        <v>780</v>
      </c>
      <c r="F625" s="39" t="s">
        <v>267</v>
      </c>
      <c r="G625" s="39" t="s">
        <v>909</v>
      </c>
      <c r="H625" s="35">
        <f>H624-E625</f>
        <v>14820</v>
      </c>
      <c r="I625" s="63" t="s">
        <v>22</v>
      </c>
      <c r="J625" s="35"/>
      <c r="K625" s="34">
        <v>26029002</v>
      </c>
      <c r="L625" s="34">
        <v>42</v>
      </c>
      <c r="M625" s="34">
        <f t="shared" si="54"/>
        <v>38</v>
      </c>
      <c r="N625" s="19">
        <v>46162</v>
      </c>
      <c r="O625" s="21">
        <f t="shared" si="52"/>
        <v>46526</v>
      </c>
    </row>
    <row r="626" spans="1:15" ht="20.149999999999999" hidden="1" customHeight="1" x14ac:dyDescent="0.3">
      <c r="A626" s="40">
        <v>46174</v>
      </c>
      <c r="B626" s="40">
        <v>46175</v>
      </c>
      <c r="C626" s="41" t="s">
        <v>1200</v>
      </c>
      <c r="D626" s="41">
        <v>4</v>
      </c>
      <c r="E626" s="41">
        <f t="shared" si="53"/>
        <v>780</v>
      </c>
      <c r="F626" s="60" t="s">
        <v>274</v>
      </c>
      <c r="G626" s="60" t="s">
        <v>1215</v>
      </c>
      <c r="H626" s="42">
        <f>H620-E626</f>
        <v>21840</v>
      </c>
      <c r="I626" s="121" t="s">
        <v>22</v>
      </c>
      <c r="J626" s="42"/>
      <c r="K626" s="41">
        <v>260529003</v>
      </c>
      <c r="L626" s="41">
        <v>40</v>
      </c>
      <c r="M626" s="41">
        <f t="shared" si="54"/>
        <v>36</v>
      </c>
      <c r="N626" s="19">
        <v>46163</v>
      </c>
      <c r="O626" s="21">
        <f t="shared" si="52"/>
        <v>46527</v>
      </c>
    </row>
    <row r="627" spans="1:15" ht="20.149999999999999" hidden="1" customHeight="1" x14ac:dyDescent="0.3">
      <c r="A627" s="40">
        <v>46174</v>
      </c>
      <c r="B627" s="40">
        <v>46175</v>
      </c>
      <c r="C627" s="41" t="s">
        <v>1193</v>
      </c>
      <c r="D627" s="41">
        <v>4</v>
      </c>
      <c r="E627" s="41">
        <f t="shared" si="53"/>
        <v>780</v>
      </c>
      <c r="F627" s="60" t="s">
        <v>274</v>
      </c>
      <c r="G627" s="60" t="s">
        <v>1161</v>
      </c>
      <c r="H627" s="42">
        <f>H626-E627</f>
        <v>21060</v>
      </c>
      <c r="I627" s="121" t="s">
        <v>22</v>
      </c>
      <c r="J627" s="42"/>
      <c r="K627" s="41">
        <v>260529003</v>
      </c>
      <c r="L627" s="41">
        <v>42</v>
      </c>
      <c r="M627" s="41">
        <f t="shared" si="54"/>
        <v>38</v>
      </c>
      <c r="N627" s="19">
        <v>46164</v>
      </c>
      <c r="O627" s="21">
        <f t="shared" si="52"/>
        <v>46528</v>
      </c>
    </row>
    <row r="628" spans="1:15" ht="20.149999999999999" hidden="1" customHeight="1" x14ac:dyDescent="0.3">
      <c r="A628" s="40">
        <v>46174</v>
      </c>
      <c r="B628" s="40">
        <v>46175</v>
      </c>
      <c r="C628" s="41" t="s">
        <v>1194</v>
      </c>
      <c r="D628" s="41">
        <v>4</v>
      </c>
      <c r="E628" s="41">
        <f t="shared" si="53"/>
        <v>780</v>
      </c>
      <c r="F628" s="60" t="s">
        <v>274</v>
      </c>
      <c r="G628" s="60" t="s">
        <v>1161</v>
      </c>
      <c r="H628" s="42">
        <f>H627-E628</f>
        <v>20280</v>
      </c>
      <c r="I628" s="121" t="s">
        <v>22</v>
      </c>
      <c r="J628" s="42"/>
      <c r="K628" s="41">
        <v>260529003</v>
      </c>
      <c r="L628" s="41">
        <v>41</v>
      </c>
      <c r="M628" s="41">
        <f t="shared" si="54"/>
        <v>37</v>
      </c>
      <c r="N628" s="19">
        <v>46165</v>
      </c>
      <c r="O628" s="21">
        <f t="shared" si="52"/>
        <v>46529</v>
      </c>
    </row>
    <row r="629" spans="1:15" ht="20.149999999999999" hidden="1" customHeight="1" x14ac:dyDescent="0.3">
      <c r="A629" s="40">
        <v>46174</v>
      </c>
      <c r="B629" s="40">
        <v>46175</v>
      </c>
      <c r="C629" s="41" t="s">
        <v>1201</v>
      </c>
      <c r="D629" s="41">
        <v>4</v>
      </c>
      <c r="E629" s="41">
        <f t="shared" si="53"/>
        <v>780</v>
      </c>
      <c r="F629" s="60" t="s">
        <v>274</v>
      </c>
      <c r="G629" s="60" t="s">
        <v>1217</v>
      </c>
      <c r="H629" s="42">
        <f>H628-E629</f>
        <v>19500</v>
      </c>
      <c r="I629" s="121" t="s">
        <v>22</v>
      </c>
      <c r="J629" s="42"/>
      <c r="K629" s="41" t="s">
        <v>1216</v>
      </c>
      <c r="L629" s="41">
        <v>42</v>
      </c>
      <c r="M629" s="41">
        <f t="shared" si="54"/>
        <v>38</v>
      </c>
      <c r="N629" s="19">
        <v>46166</v>
      </c>
      <c r="O629" s="21">
        <f t="shared" si="52"/>
        <v>46530</v>
      </c>
    </row>
    <row r="630" spans="1:15" ht="20.149999999999999" hidden="1" customHeight="1" x14ac:dyDescent="0.2">
      <c r="A630" s="26">
        <v>46174</v>
      </c>
      <c r="B630" s="26">
        <v>46175</v>
      </c>
      <c r="C630" s="27" t="s">
        <v>1202</v>
      </c>
      <c r="D630" s="27">
        <v>12</v>
      </c>
      <c r="E630" s="27">
        <f t="shared" si="53"/>
        <v>2340</v>
      </c>
      <c r="F630" s="36" t="s">
        <v>30</v>
      </c>
      <c r="G630" s="36" t="s">
        <v>1218</v>
      </c>
      <c r="H630" s="28">
        <f>H621-E630</f>
        <v>17940</v>
      </c>
      <c r="I630" s="28"/>
      <c r="J630" s="28"/>
      <c r="K630" s="27">
        <v>260529005</v>
      </c>
      <c r="L630" s="27"/>
      <c r="M630" s="27">
        <f>M620-D630</f>
        <v>7</v>
      </c>
      <c r="N630" s="19">
        <v>46147</v>
      </c>
      <c r="O630" s="21">
        <f t="shared" si="52"/>
        <v>46511</v>
      </c>
    </row>
    <row r="631" spans="1:15" ht="20.149999999999999" hidden="1" customHeight="1" x14ac:dyDescent="0.2">
      <c r="A631" s="29">
        <v>46174</v>
      </c>
      <c r="B631" s="29">
        <v>46175</v>
      </c>
      <c r="C631" s="30" t="s">
        <v>1203</v>
      </c>
      <c r="D631" s="30">
        <v>4</v>
      </c>
      <c r="E631" s="30">
        <f t="shared" si="53"/>
        <v>780</v>
      </c>
      <c r="F631" s="30" t="s">
        <v>31</v>
      </c>
      <c r="G631" s="37" t="s">
        <v>1219</v>
      </c>
      <c r="H631" s="32">
        <f>H610-E631</f>
        <v>42840</v>
      </c>
      <c r="I631" s="32"/>
      <c r="J631" s="32"/>
      <c r="K631" s="30">
        <v>260529006</v>
      </c>
      <c r="L631" s="30"/>
      <c r="M631" s="30">
        <f>M623-D631</f>
        <v>0</v>
      </c>
      <c r="N631" s="19">
        <v>46145</v>
      </c>
      <c r="O631" s="21">
        <f t="shared" si="52"/>
        <v>46509</v>
      </c>
    </row>
    <row r="632" spans="1:15" ht="20.149999999999999" hidden="1" customHeight="1" x14ac:dyDescent="0.2">
      <c r="A632" s="29">
        <v>46174</v>
      </c>
      <c r="B632" s="29">
        <v>46175</v>
      </c>
      <c r="C632" s="30" t="s">
        <v>1204</v>
      </c>
      <c r="D632" s="30">
        <v>8</v>
      </c>
      <c r="E632" s="30">
        <f t="shared" si="53"/>
        <v>1560</v>
      </c>
      <c r="F632" s="30" t="s">
        <v>31</v>
      </c>
      <c r="G632" s="37" t="s">
        <v>1197</v>
      </c>
      <c r="H632" s="32">
        <f>H631-E632</f>
        <v>41280</v>
      </c>
      <c r="I632" s="32"/>
      <c r="J632" s="32"/>
      <c r="K632" s="30">
        <v>260529006</v>
      </c>
      <c r="L632" s="30"/>
      <c r="M632" s="30">
        <f>M574-D632</f>
        <v>10</v>
      </c>
      <c r="N632" s="19">
        <v>46148</v>
      </c>
      <c r="O632" s="21">
        <f t="shared" si="52"/>
        <v>46512</v>
      </c>
    </row>
    <row r="633" spans="1:15" ht="20.149999999999999" hidden="1" customHeight="1" x14ac:dyDescent="0.25">
      <c r="A633" s="22">
        <v>46175</v>
      </c>
      <c r="B633" s="22">
        <v>46175</v>
      </c>
      <c r="C633" s="23" t="s">
        <v>1223</v>
      </c>
      <c r="D633" s="23">
        <v>4</v>
      </c>
      <c r="E633" s="23">
        <f t="shared" si="53"/>
        <v>780</v>
      </c>
      <c r="F633" s="38" t="s">
        <v>29</v>
      </c>
      <c r="G633" s="38" t="s">
        <v>81</v>
      </c>
      <c r="H633" s="25">
        <f>H611-E633</f>
        <v>61000</v>
      </c>
      <c r="I633" s="25"/>
      <c r="J633" s="25"/>
      <c r="K633" s="23">
        <v>260601007</v>
      </c>
      <c r="L633" s="23"/>
      <c r="M633" s="23">
        <f>M589-D633</f>
        <v>12</v>
      </c>
      <c r="N633" s="19">
        <v>46150</v>
      </c>
      <c r="O633" s="21">
        <f t="shared" si="52"/>
        <v>46514</v>
      </c>
    </row>
    <row r="634" spans="1:15" ht="20.149999999999999" hidden="1" customHeight="1" x14ac:dyDescent="0.25">
      <c r="A634" s="33">
        <v>46175</v>
      </c>
      <c r="B634" s="33">
        <v>46175</v>
      </c>
      <c r="C634" s="34" t="s">
        <v>1227</v>
      </c>
      <c r="D634" s="34">
        <v>2</v>
      </c>
      <c r="E634" s="34">
        <f t="shared" si="53"/>
        <v>390</v>
      </c>
      <c r="F634" s="39" t="s">
        <v>27</v>
      </c>
      <c r="G634" s="39" t="s">
        <v>1080</v>
      </c>
      <c r="H634" s="35">
        <f>H623-E634</f>
        <v>15210</v>
      </c>
      <c r="I634" s="35"/>
      <c r="J634" s="35"/>
      <c r="K634" s="34">
        <v>260601008</v>
      </c>
      <c r="L634" s="34"/>
      <c r="M634" s="34">
        <f>M575-D634</f>
        <v>19</v>
      </c>
      <c r="N634" s="19">
        <v>46149</v>
      </c>
      <c r="O634" s="21">
        <f t="shared" si="52"/>
        <v>46513</v>
      </c>
    </row>
    <row r="635" spans="1:15" ht="20.149999999999999" hidden="1" customHeight="1" x14ac:dyDescent="0.25">
      <c r="A635" s="33">
        <v>46175</v>
      </c>
      <c r="B635" s="33">
        <v>46175</v>
      </c>
      <c r="C635" s="34" t="s">
        <v>1228</v>
      </c>
      <c r="D635" s="34">
        <v>10</v>
      </c>
      <c r="E635" s="34">
        <f t="shared" si="53"/>
        <v>1950</v>
      </c>
      <c r="F635" s="39" t="s">
        <v>27</v>
      </c>
      <c r="G635" s="39" t="s">
        <v>1230</v>
      </c>
      <c r="H635" s="35">
        <f>H634-E635</f>
        <v>13260</v>
      </c>
      <c r="I635" s="35"/>
      <c r="J635" s="35"/>
      <c r="K635" s="34">
        <v>260601008</v>
      </c>
      <c r="L635" s="34"/>
      <c r="M635" s="34">
        <f>M633-D635</f>
        <v>2</v>
      </c>
      <c r="N635" s="19">
        <v>46150</v>
      </c>
      <c r="O635" s="21">
        <f t="shared" si="52"/>
        <v>46514</v>
      </c>
    </row>
    <row r="636" spans="1:15" ht="20.149999999999999" hidden="1" customHeight="1" x14ac:dyDescent="0.25">
      <c r="A636" s="40">
        <v>46175</v>
      </c>
      <c r="B636" s="40">
        <v>46176</v>
      </c>
      <c r="C636" s="41" t="s">
        <v>1229</v>
      </c>
      <c r="D636" s="41">
        <v>7</v>
      </c>
      <c r="E636" s="41">
        <f t="shared" si="53"/>
        <v>1365</v>
      </c>
      <c r="F636" s="60" t="s">
        <v>307</v>
      </c>
      <c r="G636" s="60" t="s">
        <v>1232</v>
      </c>
      <c r="H636" s="42">
        <f>H615-E636</f>
        <v>26715</v>
      </c>
      <c r="I636" s="42"/>
      <c r="J636" s="42"/>
      <c r="K636" s="41">
        <v>260601009</v>
      </c>
      <c r="L636" s="41"/>
      <c r="M636" s="41">
        <f>M630-D636</f>
        <v>0</v>
      </c>
      <c r="N636" s="19">
        <v>46147</v>
      </c>
      <c r="O636" s="21">
        <f t="shared" si="52"/>
        <v>46511</v>
      </c>
    </row>
    <row r="637" spans="1:15" ht="20.149999999999999" hidden="1" customHeight="1" x14ac:dyDescent="0.25">
      <c r="A637" s="40">
        <v>46175</v>
      </c>
      <c r="B637" s="40">
        <v>46176</v>
      </c>
      <c r="C637" s="41" t="s">
        <v>1041</v>
      </c>
      <c r="D637" s="41">
        <v>10</v>
      </c>
      <c r="E637" s="41">
        <f t="shared" si="53"/>
        <v>1950</v>
      </c>
      <c r="F637" s="60" t="s">
        <v>307</v>
      </c>
      <c r="G637" s="60" t="s">
        <v>1141</v>
      </c>
      <c r="H637" s="42">
        <f>H636-E637</f>
        <v>24765</v>
      </c>
      <c r="I637" s="42"/>
      <c r="J637" s="42"/>
      <c r="K637" s="41">
        <v>260601009</v>
      </c>
      <c r="L637" s="41"/>
      <c r="M637" s="41">
        <f>M632-D637</f>
        <v>0</v>
      </c>
      <c r="N637" s="19">
        <v>46148</v>
      </c>
      <c r="O637" s="21">
        <f t="shared" si="52"/>
        <v>46512</v>
      </c>
    </row>
    <row r="638" spans="1:15" ht="20.149999999999999" hidden="1" customHeight="1" x14ac:dyDescent="0.25">
      <c r="A638" s="40">
        <v>46175</v>
      </c>
      <c r="B638" s="40">
        <v>46176</v>
      </c>
      <c r="C638" s="41" t="s">
        <v>1055</v>
      </c>
      <c r="D638" s="41">
        <v>19</v>
      </c>
      <c r="E638" s="41">
        <f t="shared" si="53"/>
        <v>3705</v>
      </c>
      <c r="F638" s="60" t="s">
        <v>307</v>
      </c>
      <c r="G638" s="60" t="s">
        <v>1231</v>
      </c>
      <c r="H638" s="42">
        <f>H637-E638</f>
        <v>21060</v>
      </c>
      <c r="I638" s="42"/>
      <c r="J638" s="42"/>
      <c r="K638" s="41">
        <v>260601009</v>
      </c>
      <c r="L638" s="41"/>
      <c r="M638" s="41">
        <f>M634-D638</f>
        <v>0</v>
      </c>
      <c r="N638" s="19">
        <v>46149</v>
      </c>
      <c r="O638" s="21">
        <f t="shared" si="52"/>
        <v>46513</v>
      </c>
    </row>
    <row r="639" spans="1:15" ht="20.149999999999999" hidden="1" customHeight="1" x14ac:dyDescent="0.25">
      <c r="A639" s="29">
        <v>46177</v>
      </c>
      <c r="B639" s="29">
        <v>46178</v>
      </c>
      <c r="C639" s="30" t="s">
        <v>1235</v>
      </c>
      <c r="D639" s="30">
        <v>2</v>
      </c>
      <c r="E639" s="30">
        <f t="shared" si="53"/>
        <v>390</v>
      </c>
      <c r="F639" s="37" t="s">
        <v>267</v>
      </c>
      <c r="G639" s="37" t="s">
        <v>909</v>
      </c>
      <c r="H639" s="32">
        <f>H625-E639</f>
        <v>14430</v>
      </c>
      <c r="I639" s="32"/>
      <c r="J639" s="32"/>
      <c r="K639" s="30">
        <v>260603003</v>
      </c>
      <c r="L639" s="30"/>
      <c r="M639" s="30">
        <f>M635-D639</f>
        <v>0</v>
      </c>
      <c r="N639" s="19">
        <v>46150</v>
      </c>
      <c r="O639" s="21">
        <f t="shared" si="52"/>
        <v>46514</v>
      </c>
    </row>
    <row r="640" spans="1:15" ht="20.149999999999999" hidden="1" customHeight="1" x14ac:dyDescent="0.25">
      <c r="A640" s="29">
        <v>46177</v>
      </c>
      <c r="B640" s="29">
        <v>46178</v>
      </c>
      <c r="C640" s="30" t="s">
        <v>1236</v>
      </c>
      <c r="D640" s="30">
        <v>10</v>
      </c>
      <c r="E640" s="30">
        <f t="shared" si="53"/>
        <v>1950</v>
      </c>
      <c r="F640" s="37" t="s">
        <v>267</v>
      </c>
      <c r="G640" s="37" t="s">
        <v>1233</v>
      </c>
      <c r="H640" s="32">
        <f>H639-E640</f>
        <v>12480</v>
      </c>
      <c r="I640" s="32"/>
      <c r="J640" s="32"/>
      <c r="K640" s="30">
        <v>260603003</v>
      </c>
      <c r="L640" s="30"/>
      <c r="M640" s="30">
        <f>M590-D640</f>
        <v>27</v>
      </c>
      <c r="N640" s="19">
        <v>46151</v>
      </c>
      <c r="O640" s="21">
        <f t="shared" si="52"/>
        <v>46515</v>
      </c>
    </row>
    <row r="641" spans="1:15" ht="20.149999999999999" hidden="1" customHeight="1" x14ac:dyDescent="0.3">
      <c r="A641" s="26">
        <v>46177</v>
      </c>
      <c r="B641" s="26">
        <v>46178</v>
      </c>
      <c r="C641" s="27" t="s">
        <v>1237</v>
      </c>
      <c r="D641" s="27">
        <v>8</v>
      </c>
      <c r="E641" s="27">
        <f t="shared" si="53"/>
        <v>1560</v>
      </c>
      <c r="F641" s="36" t="s">
        <v>274</v>
      </c>
      <c r="G641" s="36" t="s">
        <v>1242</v>
      </c>
      <c r="H641" s="28">
        <f>H629-E641</f>
        <v>17940</v>
      </c>
      <c r="I641" s="28"/>
      <c r="J641" s="28"/>
      <c r="K641" s="27">
        <v>260603004</v>
      </c>
      <c r="L641" s="27"/>
      <c r="M641" s="27">
        <f>M640-D641</f>
        <v>19</v>
      </c>
      <c r="N641" s="19">
        <v>46151</v>
      </c>
      <c r="O641" s="21">
        <f t="shared" si="52"/>
        <v>46515</v>
      </c>
    </row>
    <row r="642" spans="1:15" ht="20.149999999999999" hidden="1" customHeight="1" x14ac:dyDescent="0.2">
      <c r="A642" s="22">
        <v>46177</v>
      </c>
      <c r="B642" s="22">
        <v>46178</v>
      </c>
      <c r="C642" s="23" t="s">
        <v>1097</v>
      </c>
      <c r="D642" s="23">
        <v>8</v>
      </c>
      <c r="E642" s="23">
        <f t="shared" si="53"/>
        <v>1560</v>
      </c>
      <c r="F642" s="38" t="s">
        <v>30</v>
      </c>
      <c r="G642" s="38" t="s">
        <v>1124</v>
      </c>
      <c r="H642" s="25">
        <f>H630-E642</f>
        <v>16380</v>
      </c>
      <c r="I642" s="25"/>
      <c r="J642" s="25"/>
      <c r="K642" s="23">
        <v>260603005</v>
      </c>
      <c r="L642" s="23"/>
      <c r="M642" s="23">
        <f>M641-D642</f>
        <v>11</v>
      </c>
      <c r="N642" s="19">
        <v>46151</v>
      </c>
      <c r="O642" s="21">
        <f t="shared" si="52"/>
        <v>46515</v>
      </c>
    </row>
    <row r="643" spans="1:15" ht="20.149999999999999" hidden="1" customHeight="1" x14ac:dyDescent="0.2">
      <c r="A643" s="33">
        <v>46177</v>
      </c>
      <c r="B643" s="33">
        <v>46178</v>
      </c>
      <c r="C643" s="34" t="s">
        <v>1098</v>
      </c>
      <c r="D643" s="34">
        <v>8</v>
      </c>
      <c r="E643" s="34">
        <f t="shared" si="53"/>
        <v>1560</v>
      </c>
      <c r="F643" s="34" t="s">
        <v>31</v>
      </c>
      <c r="G643" s="39" t="s">
        <v>869</v>
      </c>
      <c r="H643" s="35">
        <f>H632-E643</f>
        <v>39720</v>
      </c>
      <c r="I643" s="35"/>
      <c r="J643" s="35"/>
      <c r="K643" s="34">
        <v>260603006</v>
      </c>
      <c r="L643" s="34"/>
      <c r="M643" s="34">
        <f>M591-D643</f>
        <v>30</v>
      </c>
      <c r="N643" s="19">
        <v>46152</v>
      </c>
      <c r="O643" s="21">
        <f t="shared" si="52"/>
        <v>46516</v>
      </c>
    </row>
    <row r="644" spans="1:15" ht="20.149999999999999" hidden="1" customHeight="1" x14ac:dyDescent="0.2">
      <c r="A644" s="90">
        <v>46177</v>
      </c>
      <c r="B644" s="90">
        <v>46178</v>
      </c>
      <c r="C644" s="91" t="s">
        <v>1246</v>
      </c>
      <c r="D644" s="91">
        <v>4</v>
      </c>
      <c r="E644" s="91">
        <f t="shared" si="53"/>
        <v>780</v>
      </c>
      <c r="F644" s="179" t="s">
        <v>444</v>
      </c>
      <c r="G644" s="92" t="s">
        <v>656</v>
      </c>
      <c r="H644" s="93">
        <f>H598-E644</f>
        <v>181280</v>
      </c>
      <c r="I644" s="93"/>
      <c r="J644" s="93"/>
      <c r="K644" s="91">
        <v>260603011</v>
      </c>
      <c r="L644" s="91"/>
      <c r="M644" s="91">
        <f>M642-D644</f>
        <v>7</v>
      </c>
      <c r="N644" s="19">
        <v>46151</v>
      </c>
      <c r="O644" s="21">
        <f t="shared" si="52"/>
        <v>46515</v>
      </c>
    </row>
    <row r="645" spans="1:15" ht="20.149999999999999" hidden="1" customHeight="1" x14ac:dyDescent="0.25">
      <c r="A645" s="29">
        <v>46178</v>
      </c>
      <c r="B645" s="29">
        <v>46178</v>
      </c>
      <c r="C645" s="30" t="s">
        <v>1256</v>
      </c>
      <c r="D645" s="30">
        <v>4</v>
      </c>
      <c r="E645" s="30">
        <f t="shared" si="53"/>
        <v>780</v>
      </c>
      <c r="F645" s="37" t="s">
        <v>29</v>
      </c>
      <c r="G645" s="37" t="s">
        <v>81</v>
      </c>
      <c r="H645" s="32">
        <f>H633-E645</f>
        <v>60220</v>
      </c>
      <c r="I645" s="32"/>
      <c r="J645" s="32"/>
      <c r="K645" s="30">
        <v>260605001</v>
      </c>
      <c r="L645" s="30"/>
      <c r="M645" s="30">
        <f>M643-D645</f>
        <v>26</v>
      </c>
      <c r="N645" s="19">
        <v>46152</v>
      </c>
      <c r="O645" s="21">
        <f t="shared" si="52"/>
        <v>46516</v>
      </c>
    </row>
    <row r="646" spans="1:15" ht="20.149999999999999" hidden="1" customHeight="1" x14ac:dyDescent="0.25">
      <c r="A646" s="40">
        <v>46178</v>
      </c>
      <c r="B646" s="40">
        <v>46178</v>
      </c>
      <c r="C646" s="41" t="s">
        <v>1097</v>
      </c>
      <c r="D646" s="41">
        <v>7</v>
      </c>
      <c r="E646" s="41">
        <f t="shared" si="53"/>
        <v>1365</v>
      </c>
      <c r="F646" s="60" t="s">
        <v>27</v>
      </c>
      <c r="G646" s="60" t="s">
        <v>1254</v>
      </c>
      <c r="H646" s="42">
        <f>H635-E646</f>
        <v>11895</v>
      </c>
      <c r="I646" s="42"/>
      <c r="J646" s="42"/>
      <c r="K646" s="41">
        <v>260604003</v>
      </c>
      <c r="L646" s="41"/>
      <c r="M646" s="41">
        <f>M644-D646</f>
        <v>0</v>
      </c>
      <c r="N646" s="19">
        <v>46151</v>
      </c>
      <c r="O646" s="21">
        <f t="shared" si="52"/>
        <v>46515</v>
      </c>
    </row>
    <row r="647" spans="1:15" ht="20.149999999999999" hidden="1" customHeight="1" x14ac:dyDescent="0.25">
      <c r="A647" s="40">
        <v>46178</v>
      </c>
      <c r="B647" s="40">
        <v>46178</v>
      </c>
      <c r="C647" s="41" t="s">
        <v>1250</v>
      </c>
      <c r="D647" s="41">
        <v>1</v>
      </c>
      <c r="E647" s="41">
        <f t="shared" ref="E647:E663" si="55">D647*195</f>
        <v>195</v>
      </c>
      <c r="F647" s="60" t="s">
        <v>27</v>
      </c>
      <c r="G647" s="60" t="s">
        <v>1247</v>
      </c>
      <c r="H647" s="42">
        <f>H646-E647</f>
        <v>11700</v>
      </c>
      <c r="I647" s="42"/>
      <c r="J647" s="42"/>
      <c r="K647" s="41">
        <v>260604003</v>
      </c>
      <c r="L647" s="41"/>
      <c r="M647" s="41">
        <f>M645-D647</f>
        <v>25</v>
      </c>
      <c r="N647" s="19">
        <v>46152</v>
      </c>
      <c r="O647" s="21">
        <f t="shared" ref="O647:O676" si="56">DATE(YEAR(N647)+1,MONTH(N647),DAY(N647))-1</f>
        <v>46516</v>
      </c>
    </row>
    <row r="648" spans="1:15" ht="20.149999999999999" hidden="1" customHeight="1" x14ac:dyDescent="0.25">
      <c r="A648" s="26">
        <v>46181</v>
      </c>
      <c r="B648" s="26">
        <v>46182</v>
      </c>
      <c r="C648" s="27" t="s">
        <v>1098</v>
      </c>
      <c r="D648" s="27">
        <v>4</v>
      </c>
      <c r="E648" s="27">
        <f t="shared" si="55"/>
        <v>780</v>
      </c>
      <c r="F648" s="36" t="s">
        <v>267</v>
      </c>
      <c r="G648" s="36" t="s">
        <v>1270</v>
      </c>
      <c r="H648" s="28">
        <f>H640-E648</f>
        <v>11700</v>
      </c>
      <c r="I648" s="28"/>
      <c r="J648" s="28"/>
      <c r="K648" s="27" t="s">
        <v>1271</v>
      </c>
      <c r="L648" s="27"/>
      <c r="M648" s="27">
        <f>M647-D648</f>
        <v>21</v>
      </c>
      <c r="N648" s="19">
        <v>46152</v>
      </c>
      <c r="O648" s="21">
        <f t="shared" si="56"/>
        <v>46516</v>
      </c>
    </row>
    <row r="649" spans="1:15" ht="20.149999999999999" hidden="1" customHeight="1" x14ac:dyDescent="0.25">
      <c r="A649" s="26">
        <v>46181</v>
      </c>
      <c r="B649" s="26">
        <v>46182</v>
      </c>
      <c r="C649" s="27" t="s">
        <v>1257</v>
      </c>
      <c r="D649" s="27">
        <v>4</v>
      </c>
      <c r="E649" s="27">
        <f t="shared" si="55"/>
        <v>780</v>
      </c>
      <c r="F649" s="36" t="s">
        <v>267</v>
      </c>
      <c r="G649" s="36" t="s">
        <v>1262</v>
      </c>
      <c r="H649" s="28">
        <f>H648-E649</f>
        <v>10920</v>
      </c>
      <c r="I649" s="61" t="s">
        <v>22</v>
      </c>
      <c r="J649" s="28"/>
      <c r="K649" s="27" t="s">
        <v>1271</v>
      </c>
      <c r="L649" s="27">
        <v>41</v>
      </c>
      <c r="M649" s="27">
        <f t="shared" ref="M649:M654" si="57">L649-D649</f>
        <v>37</v>
      </c>
      <c r="N649" s="19">
        <v>46168</v>
      </c>
      <c r="O649" s="21">
        <f t="shared" si="56"/>
        <v>46532</v>
      </c>
    </row>
    <row r="650" spans="1:15" ht="20.149999999999999" hidden="1" customHeight="1" x14ac:dyDescent="0.25">
      <c r="A650" s="26">
        <v>46181</v>
      </c>
      <c r="B650" s="26">
        <v>46182</v>
      </c>
      <c r="C650" s="27" t="s">
        <v>1258</v>
      </c>
      <c r="D650" s="27">
        <v>4</v>
      </c>
      <c r="E650" s="27">
        <f t="shared" si="55"/>
        <v>780</v>
      </c>
      <c r="F650" s="36" t="s">
        <v>267</v>
      </c>
      <c r="G650" s="36" t="s">
        <v>1263</v>
      </c>
      <c r="H650" s="28">
        <f>H649-E650</f>
        <v>10140</v>
      </c>
      <c r="I650" s="61" t="s">
        <v>22</v>
      </c>
      <c r="J650" s="28"/>
      <c r="K650" s="27" t="s">
        <v>1271</v>
      </c>
      <c r="L650" s="27">
        <v>41</v>
      </c>
      <c r="M650" s="27">
        <f t="shared" si="57"/>
        <v>37</v>
      </c>
      <c r="N650" s="19">
        <v>46169</v>
      </c>
      <c r="O650" s="21">
        <f t="shared" si="56"/>
        <v>46533</v>
      </c>
    </row>
    <row r="651" spans="1:15" ht="20.149999999999999" hidden="1" customHeight="1" x14ac:dyDescent="0.25">
      <c r="A651" s="26">
        <v>46181</v>
      </c>
      <c r="B651" s="26">
        <v>46182</v>
      </c>
      <c r="C651" s="27" t="s">
        <v>1265</v>
      </c>
      <c r="D651" s="27">
        <v>4</v>
      </c>
      <c r="E651" s="27">
        <f t="shared" si="55"/>
        <v>780</v>
      </c>
      <c r="F651" s="36" t="s">
        <v>267</v>
      </c>
      <c r="G651" s="36" t="s">
        <v>1264</v>
      </c>
      <c r="H651" s="28">
        <f>H650-E651</f>
        <v>9360</v>
      </c>
      <c r="I651" s="61" t="s">
        <v>22</v>
      </c>
      <c r="J651" s="28"/>
      <c r="K651" s="27" t="s">
        <v>1271</v>
      </c>
      <c r="L651" s="27">
        <v>42</v>
      </c>
      <c r="M651" s="27">
        <f t="shared" si="57"/>
        <v>38</v>
      </c>
      <c r="N651" s="19">
        <v>46170</v>
      </c>
      <c r="O651" s="21">
        <f t="shared" si="56"/>
        <v>46534</v>
      </c>
    </row>
    <row r="652" spans="1:15" ht="20.149999999999999" hidden="1" customHeight="1" x14ac:dyDescent="0.3">
      <c r="A652" s="22">
        <v>46181</v>
      </c>
      <c r="B652" s="22">
        <v>46182</v>
      </c>
      <c r="C652" s="23" t="s">
        <v>1259</v>
      </c>
      <c r="D652" s="23">
        <v>4</v>
      </c>
      <c r="E652" s="23">
        <f t="shared" si="55"/>
        <v>780</v>
      </c>
      <c r="F652" s="38" t="s">
        <v>274</v>
      </c>
      <c r="G652" s="38" t="s">
        <v>1272</v>
      </c>
      <c r="H652" s="25">
        <f>H641-E652</f>
        <v>17160</v>
      </c>
      <c r="I652" s="43" t="s">
        <v>22</v>
      </c>
      <c r="J652" s="25"/>
      <c r="K652" s="23">
        <v>260605004</v>
      </c>
      <c r="L652" s="23">
        <v>41</v>
      </c>
      <c r="M652" s="23">
        <f t="shared" si="57"/>
        <v>37</v>
      </c>
      <c r="N652" s="19">
        <v>46171</v>
      </c>
      <c r="O652" s="21">
        <f t="shared" si="56"/>
        <v>46535</v>
      </c>
    </row>
    <row r="653" spans="1:15" ht="20.149999999999999" hidden="1" customHeight="1" x14ac:dyDescent="0.3">
      <c r="A653" s="22">
        <v>46181</v>
      </c>
      <c r="B653" s="22">
        <v>46182</v>
      </c>
      <c r="C653" s="23" t="s">
        <v>1266</v>
      </c>
      <c r="D653" s="23">
        <v>4</v>
      </c>
      <c r="E653" s="23">
        <f t="shared" si="55"/>
        <v>780</v>
      </c>
      <c r="F653" s="38" t="s">
        <v>274</v>
      </c>
      <c r="G653" s="38" t="s">
        <v>1242</v>
      </c>
      <c r="H653" s="25">
        <f>H652-E653</f>
        <v>16380</v>
      </c>
      <c r="I653" s="43" t="s">
        <v>22</v>
      </c>
      <c r="J653" s="25"/>
      <c r="K653" s="23">
        <v>260605004</v>
      </c>
      <c r="L653" s="23">
        <v>41</v>
      </c>
      <c r="M653" s="23">
        <f t="shared" si="57"/>
        <v>37</v>
      </c>
      <c r="N653" s="19">
        <v>46172</v>
      </c>
      <c r="O653" s="21">
        <f t="shared" si="56"/>
        <v>46536</v>
      </c>
    </row>
    <row r="654" spans="1:15" ht="20.149999999999999" hidden="1" customHeight="1" x14ac:dyDescent="0.3">
      <c r="A654" s="22">
        <v>46181</v>
      </c>
      <c r="B654" s="22">
        <v>46182</v>
      </c>
      <c r="C654" s="23" t="s">
        <v>1267</v>
      </c>
      <c r="D654" s="23">
        <v>4</v>
      </c>
      <c r="E654" s="23">
        <f t="shared" si="55"/>
        <v>780</v>
      </c>
      <c r="F654" s="38" t="s">
        <v>274</v>
      </c>
      <c r="G654" s="38" t="s">
        <v>1088</v>
      </c>
      <c r="H654" s="25">
        <f>H653-E654</f>
        <v>15600</v>
      </c>
      <c r="I654" s="43" t="s">
        <v>22</v>
      </c>
      <c r="J654" s="25"/>
      <c r="K654" s="23" t="s">
        <v>1273</v>
      </c>
      <c r="L654" s="23">
        <v>42</v>
      </c>
      <c r="M654" s="23">
        <f t="shared" si="57"/>
        <v>38</v>
      </c>
      <c r="N654" s="19">
        <v>46173</v>
      </c>
      <c r="O654" s="21">
        <f t="shared" si="56"/>
        <v>46537</v>
      </c>
    </row>
    <row r="655" spans="1:15" ht="20.149999999999999" hidden="1" customHeight="1" x14ac:dyDescent="0.2">
      <c r="A655" s="33">
        <v>46181</v>
      </c>
      <c r="B655" s="33">
        <v>46182</v>
      </c>
      <c r="C655" s="34" t="s">
        <v>1121</v>
      </c>
      <c r="D655" s="34">
        <v>12</v>
      </c>
      <c r="E655" s="34">
        <f t="shared" si="55"/>
        <v>2340</v>
      </c>
      <c r="F655" s="39" t="s">
        <v>30</v>
      </c>
      <c r="G655" s="39" t="s">
        <v>1124</v>
      </c>
      <c r="H655" s="35">
        <f>H642-E655</f>
        <v>14040</v>
      </c>
      <c r="I655" s="35"/>
      <c r="J655" s="35"/>
      <c r="K655" s="34">
        <v>260605005</v>
      </c>
      <c r="L655" s="34"/>
      <c r="M655" s="34">
        <f>M599-D655</f>
        <v>25</v>
      </c>
      <c r="N655" s="19">
        <v>46154</v>
      </c>
      <c r="O655" s="21">
        <f t="shared" si="56"/>
        <v>46518</v>
      </c>
    </row>
    <row r="656" spans="1:15" ht="20.149999999999999" hidden="1" customHeight="1" x14ac:dyDescent="0.2">
      <c r="A656" s="40">
        <v>46181</v>
      </c>
      <c r="B656" s="40">
        <v>46182</v>
      </c>
      <c r="C656" s="41" t="s">
        <v>1098</v>
      </c>
      <c r="D656" s="41">
        <v>12</v>
      </c>
      <c r="E656" s="41">
        <f t="shared" si="55"/>
        <v>2340</v>
      </c>
      <c r="F656" s="41" t="s">
        <v>31</v>
      </c>
      <c r="G656" s="60" t="s">
        <v>1274</v>
      </c>
      <c r="H656" s="42">
        <f>H643-E656</f>
        <v>37380</v>
      </c>
      <c r="I656" s="42"/>
      <c r="J656" s="42"/>
      <c r="K656" s="41">
        <v>260605006</v>
      </c>
      <c r="L656" s="41"/>
      <c r="M656" s="41">
        <f>M648-D656</f>
        <v>9</v>
      </c>
      <c r="N656" s="19">
        <v>46152</v>
      </c>
      <c r="O656" s="21">
        <f t="shared" si="56"/>
        <v>46516</v>
      </c>
    </row>
    <row r="657" spans="1:15" ht="20.149999999999999" hidden="1" customHeight="1" x14ac:dyDescent="0.2">
      <c r="A657" s="29">
        <v>46181</v>
      </c>
      <c r="B657" s="29">
        <v>46182</v>
      </c>
      <c r="C657" s="30" t="s">
        <v>1121</v>
      </c>
      <c r="D657" s="30">
        <v>8</v>
      </c>
      <c r="E657" s="30">
        <f t="shared" si="55"/>
        <v>1560</v>
      </c>
      <c r="F657" s="161" t="s">
        <v>444</v>
      </c>
      <c r="G657" s="37" t="s">
        <v>1275</v>
      </c>
      <c r="H657" s="32">
        <f>H644-E657</f>
        <v>179720</v>
      </c>
      <c r="I657" s="32"/>
      <c r="J657" s="32"/>
      <c r="K657" s="30">
        <v>260605007</v>
      </c>
      <c r="L657" s="30"/>
      <c r="M657" s="30">
        <f>M655-D657</f>
        <v>17</v>
      </c>
      <c r="N657" s="19">
        <v>46154</v>
      </c>
      <c r="O657" s="21">
        <f t="shared" si="56"/>
        <v>46518</v>
      </c>
    </row>
    <row r="658" spans="1:15" ht="20.149999999999999" hidden="1" customHeight="1" x14ac:dyDescent="0.25">
      <c r="A658" s="26">
        <v>46182</v>
      </c>
      <c r="B658" s="26">
        <v>46182</v>
      </c>
      <c r="C658" s="27" t="s">
        <v>1098</v>
      </c>
      <c r="D658" s="27">
        <v>9</v>
      </c>
      <c r="E658" s="27">
        <f t="shared" si="55"/>
        <v>1755</v>
      </c>
      <c r="F658" s="36" t="s">
        <v>27</v>
      </c>
      <c r="G658" s="36" t="s">
        <v>1284</v>
      </c>
      <c r="H658" s="28">
        <f>H647-E658</f>
        <v>9945</v>
      </c>
      <c r="I658" s="28"/>
      <c r="J658" s="28"/>
      <c r="K658" s="27">
        <v>260608004</v>
      </c>
      <c r="L658" s="27"/>
      <c r="M658" s="27">
        <f>M656-D658</f>
        <v>0</v>
      </c>
      <c r="N658" s="19">
        <v>46152</v>
      </c>
      <c r="O658" s="21">
        <f t="shared" si="56"/>
        <v>46516</v>
      </c>
    </row>
    <row r="659" spans="1:15" ht="20.149999999999999" hidden="1" customHeight="1" x14ac:dyDescent="0.25">
      <c r="A659" s="26">
        <v>46182</v>
      </c>
      <c r="B659" s="26">
        <v>46182</v>
      </c>
      <c r="C659" s="27" t="s">
        <v>1121</v>
      </c>
      <c r="D659" s="27">
        <v>3</v>
      </c>
      <c r="E659" s="27">
        <f t="shared" si="55"/>
        <v>585</v>
      </c>
      <c r="F659" s="36" t="s">
        <v>27</v>
      </c>
      <c r="G659" s="36" t="s">
        <v>1080</v>
      </c>
      <c r="H659" s="28">
        <f>H658-E659</f>
        <v>9360</v>
      </c>
      <c r="I659" s="28"/>
      <c r="J659" s="28"/>
      <c r="K659" s="27">
        <v>260608004</v>
      </c>
      <c r="L659" s="27"/>
      <c r="M659" s="27">
        <f>M657-D659</f>
        <v>14</v>
      </c>
      <c r="N659" s="19">
        <v>46154</v>
      </c>
      <c r="O659" s="21">
        <f t="shared" si="56"/>
        <v>46518</v>
      </c>
    </row>
    <row r="660" spans="1:15" ht="20.149999999999999" hidden="1" customHeight="1" x14ac:dyDescent="0.25">
      <c r="A660" s="22">
        <v>46182</v>
      </c>
      <c r="B660" s="22">
        <v>46183</v>
      </c>
      <c r="C660" s="23" t="s">
        <v>1121</v>
      </c>
      <c r="D660" s="23">
        <v>14</v>
      </c>
      <c r="E660" s="23">
        <f t="shared" si="55"/>
        <v>2730</v>
      </c>
      <c r="F660" s="38" t="s">
        <v>307</v>
      </c>
      <c r="G660" s="38" t="s">
        <v>1141</v>
      </c>
      <c r="H660" s="25">
        <f>H638-E660</f>
        <v>18330</v>
      </c>
      <c r="I660" s="25"/>
      <c r="J660" s="25"/>
      <c r="K660" s="23">
        <v>260608005</v>
      </c>
      <c r="L660" s="23"/>
      <c r="M660" s="23">
        <f>M659-D660</f>
        <v>0</v>
      </c>
      <c r="N660" s="19">
        <v>46154</v>
      </c>
      <c r="O660" s="21">
        <f t="shared" si="56"/>
        <v>46518</v>
      </c>
    </row>
    <row r="661" spans="1:15" ht="20.149999999999999" hidden="1" customHeight="1" x14ac:dyDescent="0.25">
      <c r="A661" s="22">
        <v>46182</v>
      </c>
      <c r="B661" s="22">
        <v>46183</v>
      </c>
      <c r="C661" s="23" t="s">
        <v>1122</v>
      </c>
      <c r="D661" s="23">
        <v>18</v>
      </c>
      <c r="E661" s="23">
        <f t="shared" si="55"/>
        <v>3510</v>
      </c>
      <c r="F661" s="38" t="s">
        <v>307</v>
      </c>
      <c r="G661" s="38" t="s">
        <v>1141</v>
      </c>
      <c r="H661" s="25">
        <f>H660-E661</f>
        <v>14820</v>
      </c>
      <c r="I661" s="25"/>
      <c r="J661" s="25"/>
      <c r="K661" s="23">
        <v>260608005</v>
      </c>
      <c r="L661" s="23"/>
      <c r="M661" s="23">
        <f>M600-D661</f>
        <v>19</v>
      </c>
      <c r="N661" s="19">
        <v>46155</v>
      </c>
      <c r="O661" s="21">
        <f t="shared" si="56"/>
        <v>46519</v>
      </c>
    </row>
    <row r="662" spans="1:15" ht="20.149999999999999" hidden="1" customHeight="1" x14ac:dyDescent="0.25">
      <c r="A662" s="33">
        <v>46184</v>
      </c>
      <c r="B662" s="33">
        <v>46185</v>
      </c>
      <c r="C662" s="34" t="s">
        <v>1122</v>
      </c>
      <c r="D662" s="34">
        <v>8</v>
      </c>
      <c r="E662" s="34">
        <f t="shared" si="55"/>
        <v>1560</v>
      </c>
      <c r="F662" s="39" t="s">
        <v>267</v>
      </c>
      <c r="G662" s="39" t="s">
        <v>1299</v>
      </c>
      <c r="H662" s="35">
        <f>H651-E662</f>
        <v>7800</v>
      </c>
      <c r="I662" s="35"/>
      <c r="J662" s="35"/>
      <c r="K662" s="34">
        <v>260610004</v>
      </c>
      <c r="L662" s="34"/>
      <c r="M662" s="34">
        <f>M661-D662</f>
        <v>11</v>
      </c>
      <c r="N662" s="19">
        <v>46155</v>
      </c>
      <c r="O662" s="21">
        <f t="shared" si="56"/>
        <v>46519</v>
      </c>
    </row>
    <row r="663" spans="1:15" ht="20.149999999999999" hidden="1" customHeight="1" x14ac:dyDescent="0.25">
      <c r="A663" s="33">
        <v>46184</v>
      </c>
      <c r="B663" s="33">
        <v>46185</v>
      </c>
      <c r="C663" s="34" t="s">
        <v>1129</v>
      </c>
      <c r="D663" s="34">
        <v>8</v>
      </c>
      <c r="E663" s="34">
        <f t="shared" si="55"/>
        <v>1560</v>
      </c>
      <c r="F663" s="39" t="s">
        <v>267</v>
      </c>
      <c r="G663" s="39" t="s">
        <v>909</v>
      </c>
      <c r="H663" s="35">
        <f>H662-E663</f>
        <v>6240</v>
      </c>
      <c r="I663" s="35"/>
      <c r="J663" s="35"/>
      <c r="K663" s="34">
        <v>260610004</v>
      </c>
      <c r="L663" s="34"/>
      <c r="M663" s="34">
        <f>M601-D663</f>
        <v>30</v>
      </c>
      <c r="N663" s="19">
        <v>46156</v>
      </c>
      <c r="O663" s="21">
        <f t="shared" si="56"/>
        <v>46520</v>
      </c>
    </row>
    <row r="664" spans="1:15" ht="20.149999999999999" hidden="1" customHeight="1" x14ac:dyDescent="0.3">
      <c r="A664" s="40">
        <v>46184</v>
      </c>
      <c r="B664" s="40">
        <v>46185</v>
      </c>
      <c r="C664" s="41" t="s">
        <v>1291</v>
      </c>
      <c r="D664" s="41">
        <v>3</v>
      </c>
      <c r="E664" s="41">
        <f>D664*195</f>
        <v>585</v>
      </c>
      <c r="F664" s="60" t="s">
        <v>274</v>
      </c>
      <c r="G664" s="60" t="s">
        <v>1088</v>
      </c>
      <c r="H664" s="42">
        <f>H654-E664</f>
        <v>15015</v>
      </c>
      <c r="I664" s="42"/>
      <c r="J664" s="42"/>
      <c r="K664" s="41">
        <v>260610005</v>
      </c>
      <c r="L664" s="41"/>
      <c r="M664" s="41">
        <f>M662-D664</f>
        <v>8</v>
      </c>
      <c r="N664" s="19">
        <v>46155</v>
      </c>
      <c r="O664" s="21">
        <f t="shared" si="56"/>
        <v>46519</v>
      </c>
    </row>
    <row r="665" spans="1:15" ht="20.149999999999999" hidden="1" customHeight="1" x14ac:dyDescent="0.3">
      <c r="A665" s="40">
        <v>46184</v>
      </c>
      <c r="B665" s="40">
        <v>46185</v>
      </c>
      <c r="C665" s="41" t="s">
        <v>1292</v>
      </c>
      <c r="D665" s="41">
        <v>5</v>
      </c>
      <c r="E665" s="41">
        <f>D665*195</f>
        <v>975</v>
      </c>
      <c r="F665" s="60" t="s">
        <v>274</v>
      </c>
      <c r="G665" s="60" t="s">
        <v>1088</v>
      </c>
      <c r="H665" s="42">
        <f>H664-E665</f>
        <v>14040</v>
      </c>
      <c r="I665" s="42"/>
      <c r="J665" s="42"/>
      <c r="K665" s="41">
        <v>260610005</v>
      </c>
      <c r="L665" s="41"/>
      <c r="M665" s="41">
        <f>M663-D665</f>
        <v>25</v>
      </c>
      <c r="N665" s="19">
        <v>46156</v>
      </c>
      <c r="O665" s="21">
        <f t="shared" si="56"/>
        <v>46520</v>
      </c>
    </row>
    <row r="666" spans="1:15" ht="20.149999999999999" hidden="1" customHeight="1" x14ac:dyDescent="0.2">
      <c r="A666" s="29">
        <v>46184</v>
      </c>
      <c r="B666" s="29">
        <v>46185</v>
      </c>
      <c r="C666" s="30" t="s">
        <v>1293</v>
      </c>
      <c r="D666" s="30">
        <v>8</v>
      </c>
      <c r="E666" s="30">
        <f>D666*195</f>
        <v>1560</v>
      </c>
      <c r="F666" s="37" t="s">
        <v>30</v>
      </c>
      <c r="G666" s="37" t="s">
        <v>1124</v>
      </c>
      <c r="H666" s="32">
        <f>H655-E666</f>
        <v>12480</v>
      </c>
      <c r="I666" s="32"/>
      <c r="J666" s="32"/>
      <c r="K666" s="30">
        <v>260610006</v>
      </c>
      <c r="L666" s="30"/>
      <c r="M666" s="30">
        <f>M664-D666</f>
        <v>0</v>
      </c>
      <c r="N666" s="19">
        <v>46155</v>
      </c>
      <c r="O666" s="21">
        <f t="shared" si="56"/>
        <v>46519</v>
      </c>
    </row>
    <row r="667" spans="1:15" ht="20.149999999999999" hidden="1" customHeight="1" x14ac:dyDescent="0.2">
      <c r="A667" s="26">
        <v>46184</v>
      </c>
      <c r="B667" s="26">
        <v>46185</v>
      </c>
      <c r="C667" s="27" t="s">
        <v>1129</v>
      </c>
      <c r="D667" s="27">
        <v>12</v>
      </c>
      <c r="E667" s="27">
        <f t="shared" ref="E667:E676" si="58">D667*195</f>
        <v>2340</v>
      </c>
      <c r="F667" s="27" t="s">
        <v>31</v>
      </c>
      <c r="G667" s="36" t="s">
        <v>1300</v>
      </c>
      <c r="H667" s="28">
        <f>H656-E667</f>
        <v>35040</v>
      </c>
      <c r="I667" s="28"/>
      <c r="J667" s="28"/>
      <c r="K667" s="27">
        <v>260610007</v>
      </c>
      <c r="L667" s="27"/>
      <c r="M667" s="27">
        <f>M665-D667</f>
        <v>13</v>
      </c>
      <c r="N667" s="19">
        <v>46156</v>
      </c>
      <c r="O667" s="21">
        <f t="shared" si="56"/>
        <v>46520</v>
      </c>
    </row>
    <row r="668" spans="1:15" ht="20.149999999999999" hidden="1" customHeight="1" x14ac:dyDescent="0.2">
      <c r="A668" s="22">
        <v>46184</v>
      </c>
      <c r="B668" s="22">
        <v>46185</v>
      </c>
      <c r="C668" s="23" t="s">
        <v>1294</v>
      </c>
      <c r="D668" s="23">
        <v>12</v>
      </c>
      <c r="E668" s="23">
        <f t="shared" si="58"/>
        <v>2340</v>
      </c>
      <c r="F668" s="148" t="s">
        <v>444</v>
      </c>
      <c r="G668" s="38" t="s">
        <v>1301</v>
      </c>
      <c r="H668" s="25">
        <f>H657-E668</f>
        <v>177380</v>
      </c>
      <c r="I668" s="25"/>
      <c r="J668" s="25"/>
      <c r="K668" s="23">
        <v>260610008</v>
      </c>
      <c r="L668" s="23"/>
      <c r="M668" s="23">
        <f>M667-D668</f>
        <v>1</v>
      </c>
      <c r="N668" s="19">
        <v>46156</v>
      </c>
      <c r="O668" s="21">
        <f t="shared" si="56"/>
        <v>46520</v>
      </c>
    </row>
    <row r="669" spans="1:15" ht="20.149999999999999" hidden="1" customHeight="1" x14ac:dyDescent="0.25">
      <c r="A669" s="33">
        <v>46185</v>
      </c>
      <c r="B669" s="33">
        <v>46185</v>
      </c>
      <c r="C669" s="34" t="s">
        <v>1308</v>
      </c>
      <c r="D669" s="34">
        <v>1</v>
      </c>
      <c r="E669" s="34">
        <f t="shared" si="58"/>
        <v>195</v>
      </c>
      <c r="F669" s="39" t="s">
        <v>29</v>
      </c>
      <c r="G669" s="39" t="s">
        <v>1314</v>
      </c>
      <c r="H669" s="35">
        <f>H645-E669</f>
        <v>60025</v>
      </c>
      <c r="I669" s="35"/>
      <c r="J669" s="35"/>
      <c r="K669" s="34">
        <v>260611002</v>
      </c>
      <c r="L669" s="34"/>
      <c r="M669" s="34">
        <f>M668-D669</f>
        <v>0</v>
      </c>
      <c r="N669" s="19">
        <v>46156</v>
      </c>
      <c r="O669" s="21">
        <f t="shared" si="56"/>
        <v>46520</v>
      </c>
    </row>
    <row r="670" spans="1:15" ht="20.149999999999999" hidden="1" customHeight="1" x14ac:dyDescent="0.25">
      <c r="A670" s="33">
        <v>46185</v>
      </c>
      <c r="B670" s="33">
        <v>46185</v>
      </c>
      <c r="C670" s="34" t="s">
        <v>1309</v>
      </c>
      <c r="D670" s="34">
        <v>3</v>
      </c>
      <c r="E670" s="34">
        <f t="shared" si="58"/>
        <v>585</v>
      </c>
      <c r="F670" s="39" t="s">
        <v>29</v>
      </c>
      <c r="G670" s="39" t="s">
        <v>1307</v>
      </c>
      <c r="H670" s="35">
        <f>H669-E670</f>
        <v>59440</v>
      </c>
      <c r="I670" s="35"/>
      <c r="J670" s="35"/>
      <c r="K670" s="34">
        <v>260611002</v>
      </c>
      <c r="L670" s="34"/>
      <c r="M670" s="34">
        <f>M604-D670</f>
        <v>34</v>
      </c>
      <c r="N670" s="19">
        <v>46157</v>
      </c>
      <c r="O670" s="21">
        <f t="shared" si="56"/>
        <v>46521</v>
      </c>
    </row>
    <row r="671" spans="1:15" ht="20.149999999999999" hidden="1" customHeight="1" x14ac:dyDescent="0.25">
      <c r="A671" s="29">
        <v>46185</v>
      </c>
      <c r="B671" s="29">
        <v>46185</v>
      </c>
      <c r="C671" s="30" t="s">
        <v>1310</v>
      </c>
      <c r="D671" s="30">
        <v>8</v>
      </c>
      <c r="E671" s="30">
        <f t="shared" si="58"/>
        <v>1560</v>
      </c>
      <c r="F671" s="37" t="s">
        <v>27</v>
      </c>
      <c r="G671" s="37" t="s">
        <v>1315</v>
      </c>
      <c r="H671" s="32">
        <f>H659-E671</f>
        <v>7800</v>
      </c>
      <c r="I671" s="32"/>
      <c r="J671" s="32"/>
      <c r="K671" s="30">
        <v>260611003</v>
      </c>
      <c r="L671" s="30"/>
      <c r="M671" s="30">
        <f>M670-D671</f>
        <v>26</v>
      </c>
      <c r="N671" s="19">
        <v>46157</v>
      </c>
      <c r="O671" s="21">
        <f t="shared" si="56"/>
        <v>46521</v>
      </c>
    </row>
    <row r="672" spans="1:15" ht="20.149999999999999" hidden="1" customHeight="1" x14ac:dyDescent="0.25">
      <c r="A672" s="40">
        <v>46188</v>
      </c>
      <c r="B672" s="40">
        <v>46189</v>
      </c>
      <c r="C672" s="41" t="s">
        <v>1320</v>
      </c>
      <c r="D672" s="41">
        <v>4</v>
      </c>
      <c r="E672" s="41">
        <f t="shared" si="58"/>
        <v>780</v>
      </c>
      <c r="F672" s="60" t="s">
        <v>267</v>
      </c>
      <c r="G672" s="60" t="s">
        <v>909</v>
      </c>
      <c r="H672" s="42">
        <f>H663-E672</f>
        <v>5460</v>
      </c>
      <c r="I672" s="121" t="s">
        <v>22</v>
      </c>
      <c r="J672" s="42" t="s">
        <v>701</v>
      </c>
      <c r="K672" s="41">
        <v>260612002</v>
      </c>
      <c r="L672" s="41">
        <f>41-16</f>
        <v>25</v>
      </c>
      <c r="M672" s="41">
        <f>L672-D672</f>
        <v>21</v>
      </c>
      <c r="N672" s="19">
        <v>46175</v>
      </c>
      <c r="O672" s="21">
        <f t="shared" si="56"/>
        <v>46539</v>
      </c>
    </row>
    <row r="673" spans="1:15" ht="20.149999999999999" hidden="1" customHeight="1" x14ac:dyDescent="0.25">
      <c r="A673" s="40">
        <v>46188</v>
      </c>
      <c r="B673" s="40">
        <v>46189</v>
      </c>
      <c r="C673" s="41" t="s">
        <v>1322</v>
      </c>
      <c r="D673" s="41">
        <v>4</v>
      </c>
      <c r="E673" s="41">
        <f t="shared" si="58"/>
        <v>780</v>
      </c>
      <c r="F673" s="60" t="s">
        <v>267</v>
      </c>
      <c r="G673" s="60" t="s">
        <v>909</v>
      </c>
      <c r="H673" s="42">
        <f>H672-E673</f>
        <v>4680</v>
      </c>
      <c r="I673" s="121" t="s">
        <v>22</v>
      </c>
      <c r="J673" s="42" t="s">
        <v>702</v>
      </c>
      <c r="K673" s="41">
        <v>260612002</v>
      </c>
      <c r="L673" s="41">
        <f>41-20</f>
        <v>21</v>
      </c>
      <c r="M673" s="41">
        <f>L673-D673</f>
        <v>17</v>
      </c>
      <c r="N673" s="19">
        <v>46176</v>
      </c>
      <c r="O673" s="21">
        <f t="shared" si="56"/>
        <v>46540</v>
      </c>
    </row>
    <row r="674" spans="1:15" ht="20.149999999999999" hidden="1" customHeight="1" x14ac:dyDescent="0.25">
      <c r="A674" s="40">
        <v>46188</v>
      </c>
      <c r="B674" s="40">
        <v>46189</v>
      </c>
      <c r="C674" s="41" t="s">
        <v>1323</v>
      </c>
      <c r="D674" s="41">
        <v>4</v>
      </c>
      <c r="E674" s="41">
        <f t="shared" si="58"/>
        <v>780</v>
      </c>
      <c r="F674" s="60" t="s">
        <v>267</v>
      </c>
      <c r="G674" s="60" t="s">
        <v>1321</v>
      </c>
      <c r="H674" s="42">
        <f>H673-E674</f>
        <v>3900</v>
      </c>
      <c r="I674" s="121" t="s">
        <v>22</v>
      </c>
      <c r="J674" s="42" t="s">
        <v>701</v>
      </c>
      <c r="K674" s="41">
        <v>260612002</v>
      </c>
      <c r="L674" s="41">
        <f>42-16</f>
        <v>26</v>
      </c>
      <c r="M674" s="41">
        <f>L674-D674</f>
        <v>22</v>
      </c>
      <c r="N674" s="19">
        <v>46177</v>
      </c>
      <c r="O674" s="21">
        <f t="shared" si="56"/>
        <v>46541</v>
      </c>
    </row>
    <row r="675" spans="1:15" ht="20.149999999999999" hidden="1" customHeight="1" x14ac:dyDescent="0.3">
      <c r="A675" s="26">
        <v>46188</v>
      </c>
      <c r="B675" s="26">
        <v>46189</v>
      </c>
      <c r="C675" s="27" t="s">
        <v>1324</v>
      </c>
      <c r="D675" s="27">
        <v>4</v>
      </c>
      <c r="E675" s="27">
        <f t="shared" si="58"/>
        <v>780</v>
      </c>
      <c r="F675" s="36" t="s">
        <v>274</v>
      </c>
      <c r="G675" s="36" t="s">
        <v>1327</v>
      </c>
      <c r="H675" s="28">
        <f>H665-E675</f>
        <v>13260</v>
      </c>
      <c r="I675" s="61" t="s">
        <v>22</v>
      </c>
      <c r="J675" s="28" t="s">
        <v>702</v>
      </c>
      <c r="K675" s="27">
        <v>260612003</v>
      </c>
      <c r="L675" s="27">
        <f>41-20</f>
        <v>21</v>
      </c>
      <c r="M675" s="27">
        <f>L675-D675</f>
        <v>17</v>
      </c>
      <c r="N675" s="19">
        <v>46178</v>
      </c>
      <c r="O675" s="21">
        <f t="shared" si="56"/>
        <v>46542</v>
      </c>
    </row>
    <row r="676" spans="1:15" ht="20.149999999999999" hidden="1" customHeight="1" x14ac:dyDescent="0.3">
      <c r="A676" s="26">
        <v>46188</v>
      </c>
      <c r="B676" s="26">
        <v>46189</v>
      </c>
      <c r="C676" s="27" t="s">
        <v>1325</v>
      </c>
      <c r="D676" s="27">
        <v>4</v>
      </c>
      <c r="E676" s="27">
        <f t="shared" si="58"/>
        <v>780</v>
      </c>
      <c r="F676" s="36" t="s">
        <v>274</v>
      </c>
      <c r="G676" s="36" t="s">
        <v>1088</v>
      </c>
      <c r="H676" s="28">
        <f>H675-E676</f>
        <v>12480</v>
      </c>
      <c r="I676" s="61" t="s">
        <v>22</v>
      </c>
      <c r="J676" s="28"/>
      <c r="K676" s="27">
        <v>260612003</v>
      </c>
      <c r="L676" s="27">
        <v>41</v>
      </c>
      <c r="M676" s="27">
        <f>L676-D676</f>
        <v>37</v>
      </c>
      <c r="N676" s="19">
        <v>46179</v>
      </c>
      <c r="O676" s="21">
        <f t="shared" si="56"/>
        <v>46543</v>
      </c>
    </row>
    <row r="677" spans="1:15" ht="20.149999999999999" hidden="1" customHeight="1" x14ac:dyDescent="0.25">
      <c r="A677" s="22">
        <v>46189</v>
      </c>
      <c r="B677" s="22">
        <v>46189</v>
      </c>
      <c r="C677" s="23" t="s">
        <v>1334</v>
      </c>
      <c r="D677" s="23">
        <v>4</v>
      </c>
      <c r="E677" s="23">
        <f>D677*195</f>
        <v>780</v>
      </c>
      <c r="F677" s="38" t="s">
        <v>29</v>
      </c>
      <c r="G677" s="38" t="s">
        <v>81</v>
      </c>
      <c r="H677" s="25">
        <f>H670-E677</f>
        <v>58660</v>
      </c>
      <c r="I677" s="25"/>
      <c r="J677" s="25"/>
      <c r="K677" s="23">
        <v>260615002</v>
      </c>
      <c r="L677" s="23"/>
      <c r="M677" s="23">
        <f>M671-D677</f>
        <v>22</v>
      </c>
      <c r="N677" s="19">
        <v>46157</v>
      </c>
      <c r="O677" s="21">
        <f>DATE(YEAR(N677)+1,MONTH(N677),DAY(N677))-1</f>
        <v>46521</v>
      </c>
    </row>
    <row r="678" spans="1:15" ht="20.149999999999999" hidden="1" customHeight="1" x14ac:dyDescent="0.25">
      <c r="A678" s="33">
        <v>46189</v>
      </c>
      <c r="B678" s="33">
        <v>46189</v>
      </c>
      <c r="C678" s="34" t="s">
        <v>1342</v>
      </c>
      <c r="D678" s="34">
        <v>22</v>
      </c>
      <c r="E678" s="34">
        <f>D678*195</f>
        <v>4290</v>
      </c>
      <c r="F678" s="39" t="s">
        <v>27</v>
      </c>
      <c r="G678" s="39" t="s">
        <v>1341</v>
      </c>
      <c r="H678" s="35">
        <f>H671-E678</f>
        <v>3510</v>
      </c>
      <c r="I678" s="35"/>
      <c r="J678" s="35"/>
      <c r="K678" s="34">
        <v>260615003</v>
      </c>
      <c r="L678" s="34"/>
      <c r="M678" s="34">
        <f>M677-D678</f>
        <v>0</v>
      </c>
      <c r="N678" s="19">
        <v>46157</v>
      </c>
      <c r="O678" s="21">
        <f>DATE(YEAR(N678)+1,MONTH(N678),DAY(N678))-1</f>
        <v>46521</v>
      </c>
    </row>
    <row r="679" spans="1:15" ht="20.149999999999999" hidden="1" customHeight="1" x14ac:dyDescent="0.25">
      <c r="A679" s="33">
        <v>46189</v>
      </c>
      <c r="B679" s="33">
        <v>46189</v>
      </c>
      <c r="C679" s="34" t="s">
        <v>1335</v>
      </c>
      <c r="D679" s="34">
        <v>2</v>
      </c>
      <c r="E679" s="34">
        <f t="shared" ref="E679:E745" si="59">D679*195</f>
        <v>390</v>
      </c>
      <c r="F679" s="39" t="s">
        <v>27</v>
      </c>
      <c r="G679" s="39" t="s">
        <v>1338</v>
      </c>
      <c r="H679" s="35">
        <f>H678-E679</f>
        <v>3120</v>
      </c>
      <c r="I679" s="35"/>
      <c r="J679" s="35"/>
      <c r="K679" s="34">
        <v>260615003</v>
      </c>
      <c r="L679" s="34"/>
      <c r="M679" s="34">
        <f>M605-D679</f>
        <v>35</v>
      </c>
      <c r="N679" s="19">
        <v>46158</v>
      </c>
      <c r="O679" s="21">
        <f t="shared" ref="O679:O742" si="60">DATE(YEAR(N679)+1,MONTH(N679),DAY(N679))-1</f>
        <v>46522</v>
      </c>
    </row>
    <row r="680" spans="1:15" ht="20.149999999999999" hidden="1" customHeight="1" x14ac:dyDescent="0.25">
      <c r="A680" s="40">
        <v>46189</v>
      </c>
      <c r="B680" s="40">
        <v>46190</v>
      </c>
      <c r="C680" s="41" t="s">
        <v>1346</v>
      </c>
      <c r="D680" s="41">
        <v>27</v>
      </c>
      <c r="E680" s="41">
        <f t="shared" si="59"/>
        <v>5265</v>
      </c>
      <c r="F680" s="60" t="s">
        <v>307</v>
      </c>
      <c r="G680" s="60" t="s">
        <v>1343</v>
      </c>
      <c r="H680" s="42">
        <f>H661-E680</f>
        <v>9555</v>
      </c>
      <c r="I680" s="42"/>
      <c r="J680" s="42"/>
      <c r="K680" s="41">
        <v>260615004</v>
      </c>
      <c r="L680" s="41"/>
      <c r="M680" s="41">
        <f>M679-D680</f>
        <v>8</v>
      </c>
      <c r="N680" s="19">
        <v>46158</v>
      </c>
      <c r="O680" s="21">
        <f t="shared" si="60"/>
        <v>46522</v>
      </c>
    </row>
    <row r="681" spans="1:15" ht="20.149999999999999" hidden="1" customHeight="1" x14ac:dyDescent="0.25">
      <c r="A681" s="40">
        <v>46189</v>
      </c>
      <c r="B681" s="40">
        <v>46190</v>
      </c>
      <c r="C681" s="41" t="s">
        <v>1336</v>
      </c>
      <c r="D681" s="41">
        <v>9</v>
      </c>
      <c r="E681" s="41">
        <f t="shared" si="59"/>
        <v>1755</v>
      </c>
      <c r="F681" s="60" t="s">
        <v>307</v>
      </c>
      <c r="G681" s="60" t="s">
        <v>1345</v>
      </c>
      <c r="H681" s="42">
        <f>H680-E681</f>
        <v>7800</v>
      </c>
      <c r="I681" s="42"/>
      <c r="J681" s="42"/>
      <c r="K681" s="41">
        <v>260615004</v>
      </c>
      <c r="L681" s="41"/>
      <c r="M681" s="41">
        <f>M606-D681</f>
        <v>29</v>
      </c>
      <c r="N681" s="19">
        <v>46159</v>
      </c>
      <c r="O681" s="21">
        <f t="shared" si="60"/>
        <v>46523</v>
      </c>
    </row>
    <row r="682" spans="1:15" ht="20.149999999999999" hidden="1" customHeight="1" x14ac:dyDescent="0.25">
      <c r="A682" s="26">
        <v>46190</v>
      </c>
      <c r="B682" s="26">
        <v>46191</v>
      </c>
      <c r="C682" s="27" t="s">
        <v>1350</v>
      </c>
      <c r="D682" s="27">
        <v>8</v>
      </c>
      <c r="E682" s="27">
        <f t="shared" si="59"/>
        <v>1560</v>
      </c>
      <c r="F682" s="36" t="s">
        <v>267</v>
      </c>
      <c r="G682" s="36" t="s">
        <v>1356</v>
      </c>
      <c r="H682" s="28">
        <f>H674-E682</f>
        <v>2340</v>
      </c>
      <c r="I682" s="28"/>
      <c r="J682" s="28"/>
      <c r="K682" s="27">
        <v>260616004</v>
      </c>
      <c r="L682" s="27"/>
      <c r="M682" s="27">
        <f>M680-D682</f>
        <v>0</v>
      </c>
      <c r="N682" s="19">
        <v>46158</v>
      </c>
      <c r="O682" s="21">
        <f t="shared" si="60"/>
        <v>46522</v>
      </c>
    </row>
    <row r="683" spans="1:15" ht="20.149999999999999" hidden="1" customHeight="1" x14ac:dyDescent="0.3">
      <c r="A683" s="29">
        <v>46190</v>
      </c>
      <c r="B683" s="29">
        <v>46191</v>
      </c>
      <c r="C683" s="30" t="s">
        <v>1351</v>
      </c>
      <c r="D683" s="30">
        <v>8</v>
      </c>
      <c r="E683" s="30">
        <f t="shared" si="59"/>
        <v>1560</v>
      </c>
      <c r="F683" s="37" t="s">
        <v>274</v>
      </c>
      <c r="G683" s="37" t="s">
        <v>1088</v>
      </c>
      <c r="H683" s="32">
        <f>H676-E683</f>
        <v>10920</v>
      </c>
      <c r="I683" s="32"/>
      <c r="J683" s="32"/>
      <c r="K683" s="30">
        <v>260616005</v>
      </c>
      <c r="L683" s="30"/>
      <c r="M683" s="30">
        <f>M681-D683</f>
        <v>21</v>
      </c>
      <c r="N683" s="19">
        <v>46159</v>
      </c>
      <c r="O683" s="21">
        <f t="shared" si="60"/>
        <v>46523</v>
      </c>
    </row>
    <row r="684" spans="1:15" ht="20.149999999999999" hidden="1" customHeight="1" x14ac:dyDescent="0.3">
      <c r="A684" s="29">
        <v>46190</v>
      </c>
      <c r="B684" s="29">
        <v>46191</v>
      </c>
      <c r="C684" s="30" t="s">
        <v>1352</v>
      </c>
      <c r="D684" s="30">
        <v>4</v>
      </c>
      <c r="E684" s="30">
        <f t="shared" si="59"/>
        <v>780</v>
      </c>
      <c r="F684" s="37" t="s">
        <v>274</v>
      </c>
      <c r="G684" s="37" t="s">
        <v>1088</v>
      </c>
      <c r="H684" s="32">
        <f>H683-E684</f>
        <v>10140</v>
      </c>
      <c r="I684" s="70" t="s">
        <v>22</v>
      </c>
      <c r="J684" s="32"/>
      <c r="K684" s="30">
        <v>260616005</v>
      </c>
      <c r="L684" s="30">
        <v>41</v>
      </c>
      <c r="M684" s="30">
        <f>L684-D684</f>
        <v>37</v>
      </c>
      <c r="N684" s="19">
        <v>46180</v>
      </c>
      <c r="O684" s="21">
        <f t="shared" si="60"/>
        <v>46544</v>
      </c>
    </row>
    <row r="685" spans="1:15" ht="20.149999999999999" hidden="1" customHeight="1" x14ac:dyDescent="0.3">
      <c r="A685" s="29">
        <v>46190</v>
      </c>
      <c r="B685" s="29">
        <v>46191</v>
      </c>
      <c r="C685" s="30" t="s">
        <v>1348</v>
      </c>
      <c r="D685" s="30">
        <v>4</v>
      </c>
      <c r="E685" s="30">
        <f t="shared" si="59"/>
        <v>780</v>
      </c>
      <c r="F685" s="37" t="s">
        <v>274</v>
      </c>
      <c r="G685" s="37" t="s">
        <v>1088</v>
      </c>
      <c r="H685" s="32">
        <f>H684-E685</f>
        <v>9360</v>
      </c>
      <c r="I685" s="70" t="s">
        <v>22</v>
      </c>
      <c r="J685" s="32"/>
      <c r="K685" s="30">
        <v>260616005</v>
      </c>
      <c r="L685" s="30">
        <v>42</v>
      </c>
      <c r="M685" s="30">
        <f>L685-D685</f>
        <v>38</v>
      </c>
      <c r="N685" s="19">
        <v>46182</v>
      </c>
      <c r="O685" s="21">
        <f t="shared" si="60"/>
        <v>46546</v>
      </c>
    </row>
    <row r="686" spans="1:15" ht="20.149999999999999" hidden="1" customHeight="1" x14ac:dyDescent="0.2">
      <c r="A686" s="22">
        <v>46190</v>
      </c>
      <c r="B686" s="22">
        <v>46191</v>
      </c>
      <c r="C686" s="23" t="s">
        <v>1353</v>
      </c>
      <c r="D686" s="23">
        <v>16</v>
      </c>
      <c r="E686" s="23">
        <f t="shared" si="59"/>
        <v>3120</v>
      </c>
      <c r="F686" s="38" t="s">
        <v>30</v>
      </c>
      <c r="G686" s="38" t="s">
        <v>1357</v>
      </c>
      <c r="H686" s="25">
        <f>H666-E686</f>
        <v>9360</v>
      </c>
      <c r="I686" s="25"/>
      <c r="J686" s="25"/>
      <c r="K686" s="23">
        <v>260616006</v>
      </c>
      <c r="L686" s="23"/>
      <c r="M686" s="23">
        <f>M683-D686</f>
        <v>5</v>
      </c>
      <c r="N686" s="19">
        <v>46159</v>
      </c>
      <c r="O686" s="21">
        <f t="shared" si="60"/>
        <v>46523</v>
      </c>
    </row>
    <row r="687" spans="1:15" ht="20.149999999999999" hidden="1" customHeight="1" x14ac:dyDescent="0.2">
      <c r="A687" s="33">
        <v>46190</v>
      </c>
      <c r="B687" s="33">
        <v>46191</v>
      </c>
      <c r="C687" s="34" t="s">
        <v>1192</v>
      </c>
      <c r="D687" s="34">
        <v>12</v>
      </c>
      <c r="E687" s="34">
        <f t="shared" si="59"/>
        <v>2340</v>
      </c>
      <c r="F687" s="34" t="s">
        <v>31</v>
      </c>
      <c r="G687" s="39" t="s">
        <v>1358</v>
      </c>
      <c r="H687" s="35">
        <f>H667-E687</f>
        <v>32700</v>
      </c>
      <c r="I687" s="35"/>
      <c r="J687" s="35"/>
      <c r="K687" s="34">
        <v>260616007</v>
      </c>
      <c r="L687" s="34"/>
      <c r="M687" s="34">
        <f>M624-D687</f>
        <v>25</v>
      </c>
      <c r="N687" s="19">
        <v>46161</v>
      </c>
      <c r="O687" s="21">
        <f t="shared" si="60"/>
        <v>46525</v>
      </c>
    </row>
    <row r="688" spans="1:15" ht="20.149999999999999" hidden="1" customHeight="1" x14ac:dyDescent="0.2">
      <c r="A688" s="40">
        <v>46190</v>
      </c>
      <c r="B688" s="40">
        <v>46191</v>
      </c>
      <c r="C688" s="41" t="s">
        <v>1131</v>
      </c>
      <c r="D688" s="41">
        <v>5</v>
      </c>
      <c r="E688" s="41">
        <f t="shared" si="59"/>
        <v>975</v>
      </c>
      <c r="F688" s="146" t="s">
        <v>444</v>
      </c>
      <c r="G688" s="60" t="s">
        <v>1359</v>
      </c>
      <c r="H688" s="42">
        <f>H668-E688</f>
        <v>176405</v>
      </c>
      <c r="I688" s="42"/>
      <c r="J688" s="42"/>
      <c r="K688" s="41">
        <v>260616008</v>
      </c>
      <c r="L688" s="41"/>
      <c r="M688" s="41">
        <f>M686-D688</f>
        <v>0</v>
      </c>
      <c r="N688" s="19">
        <v>46159</v>
      </c>
      <c r="O688" s="21">
        <f t="shared" si="60"/>
        <v>46523</v>
      </c>
    </row>
    <row r="689" spans="1:15" ht="20.149999999999999" hidden="1" customHeight="1" x14ac:dyDescent="0.2">
      <c r="A689" s="40">
        <v>46190</v>
      </c>
      <c r="B689" s="40">
        <v>46191</v>
      </c>
      <c r="C689" s="41" t="s">
        <v>1192</v>
      </c>
      <c r="D689" s="41">
        <v>3</v>
      </c>
      <c r="E689" s="41">
        <f t="shared" si="59"/>
        <v>585</v>
      </c>
      <c r="F689" s="146" t="s">
        <v>444</v>
      </c>
      <c r="G689" s="60" t="s">
        <v>656</v>
      </c>
      <c r="H689" s="42">
        <f>H688-E689</f>
        <v>175820</v>
      </c>
      <c r="I689" s="42"/>
      <c r="J689" s="42"/>
      <c r="K689" s="41">
        <v>260616008</v>
      </c>
      <c r="L689" s="41"/>
      <c r="M689" s="41">
        <f>M687-D689</f>
        <v>22</v>
      </c>
      <c r="N689" s="19">
        <v>46161</v>
      </c>
      <c r="O689" s="21">
        <f t="shared" si="60"/>
        <v>46525</v>
      </c>
    </row>
    <row r="690" spans="1:15" ht="20.149999999999999" hidden="1" customHeight="1" x14ac:dyDescent="0.25">
      <c r="A690" s="29">
        <v>46195</v>
      </c>
      <c r="B690" s="29">
        <v>46196</v>
      </c>
      <c r="C690" s="30" t="s">
        <v>1374</v>
      </c>
      <c r="D690" s="30">
        <v>10</v>
      </c>
      <c r="E690" s="30">
        <f t="shared" si="59"/>
        <v>1950</v>
      </c>
      <c r="F690" s="37" t="s">
        <v>267</v>
      </c>
      <c r="G690" s="37" t="s">
        <v>909</v>
      </c>
      <c r="H690" s="32">
        <f>H682-E690</f>
        <v>390</v>
      </c>
      <c r="I690" s="32"/>
      <c r="J690" s="32"/>
      <c r="K690" s="30">
        <v>260618002</v>
      </c>
      <c r="L690" s="30"/>
      <c r="M690" s="30">
        <f>M689-D690</f>
        <v>12</v>
      </c>
      <c r="N690" s="19">
        <v>46161</v>
      </c>
      <c r="O690" s="21">
        <f t="shared" si="60"/>
        <v>46525</v>
      </c>
    </row>
    <row r="691" spans="1:15" ht="20.149999999999999" hidden="1" customHeight="1" x14ac:dyDescent="0.25">
      <c r="A691" s="29">
        <v>46195</v>
      </c>
      <c r="B691" s="29">
        <v>46196</v>
      </c>
      <c r="C691" s="30" t="s">
        <v>1375</v>
      </c>
      <c r="D691" s="30">
        <v>2</v>
      </c>
      <c r="E691" s="30">
        <f t="shared" si="59"/>
        <v>390</v>
      </c>
      <c r="F691" s="37" t="s">
        <v>267</v>
      </c>
      <c r="G691" s="37" t="s">
        <v>909</v>
      </c>
      <c r="H691" s="32">
        <f>H690-E691</f>
        <v>0</v>
      </c>
      <c r="I691" s="32"/>
      <c r="J691" s="32"/>
      <c r="K691" s="30">
        <v>260618002</v>
      </c>
      <c r="L691" s="30"/>
      <c r="M691" s="30">
        <f>M625-D691</f>
        <v>36</v>
      </c>
      <c r="N691" s="19">
        <v>46162</v>
      </c>
      <c r="O691" s="21">
        <f t="shared" si="60"/>
        <v>46526</v>
      </c>
    </row>
    <row r="692" spans="1:15" ht="20.149999999999999" hidden="1" customHeight="1" x14ac:dyDescent="0.25">
      <c r="A692" s="90">
        <v>46195</v>
      </c>
      <c r="B692" s="90">
        <v>46196</v>
      </c>
      <c r="C692" s="91" t="s">
        <v>1199</v>
      </c>
      <c r="D692" s="91">
        <v>12</v>
      </c>
      <c r="E692" s="91">
        <f t="shared" si="59"/>
        <v>2340</v>
      </c>
      <c r="F692" s="92" t="s">
        <v>307</v>
      </c>
      <c r="G692" s="92" t="s">
        <v>1385</v>
      </c>
      <c r="H692" s="93">
        <f>H681-E692</f>
        <v>5460</v>
      </c>
      <c r="I692" s="93"/>
      <c r="J692" s="93"/>
      <c r="K692" s="91">
        <v>260618003</v>
      </c>
      <c r="L692" s="91"/>
      <c r="M692" s="91">
        <f>M691-D692</f>
        <v>24</v>
      </c>
      <c r="N692" s="19">
        <v>46162</v>
      </c>
      <c r="O692" s="21">
        <f t="shared" si="60"/>
        <v>46526</v>
      </c>
    </row>
    <row r="693" spans="1:15" ht="20.149999999999999" hidden="1" customHeight="1" x14ac:dyDescent="0.25">
      <c r="A693" s="90">
        <v>46195</v>
      </c>
      <c r="B693" s="90">
        <v>46196</v>
      </c>
      <c r="C693" s="91" t="s">
        <v>1376</v>
      </c>
      <c r="D693" s="91">
        <v>28</v>
      </c>
      <c r="E693" s="91">
        <f t="shared" si="59"/>
        <v>5460</v>
      </c>
      <c r="F693" s="92" t="s">
        <v>307</v>
      </c>
      <c r="G693" s="92" t="s">
        <v>1373</v>
      </c>
      <c r="H693" s="93">
        <f>H692-E693</f>
        <v>0</v>
      </c>
      <c r="I693" s="93"/>
      <c r="J693" s="93"/>
      <c r="K693" s="91" t="s">
        <v>1386</v>
      </c>
      <c r="L693" s="91"/>
      <c r="M693" s="91">
        <f>M626-D693</f>
        <v>8</v>
      </c>
      <c r="N693" s="19">
        <v>46163</v>
      </c>
      <c r="O693" s="21">
        <f t="shared" si="60"/>
        <v>46527</v>
      </c>
    </row>
    <row r="694" spans="1:15" ht="20.149999999999999" hidden="1" customHeight="1" x14ac:dyDescent="0.25">
      <c r="A694" s="90">
        <v>46195</v>
      </c>
      <c r="B694" s="90">
        <v>46196</v>
      </c>
      <c r="C694" s="91" t="s">
        <v>1393</v>
      </c>
      <c r="D694" s="184">
        <v>8</v>
      </c>
      <c r="E694" s="91">
        <f t="shared" si="59"/>
        <v>1560</v>
      </c>
      <c r="F694" s="92" t="s">
        <v>307</v>
      </c>
      <c r="G694" s="179" t="s">
        <v>1388</v>
      </c>
      <c r="H694" s="93">
        <f>39000-E694</f>
        <v>37440</v>
      </c>
      <c r="I694" s="93"/>
      <c r="J694" s="93"/>
      <c r="K694" s="91" t="s">
        <v>1387</v>
      </c>
      <c r="L694" s="91"/>
      <c r="M694" s="91">
        <f>M627-D694</f>
        <v>30</v>
      </c>
      <c r="N694" s="19">
        <v>46164</v>
      </c>
      <c r="O694" s="21">
        <f t="shared" si="60"/>
        <v>46528</v>
      </c>
    </row>
    <row r="695" spans="1:15" ht="20.149999999999999" hidden="1" customHeight="1" x14ac:dyDescent="0.3">
      <c r="A695" s="22">
        <v>46195</v>
      </c>
      <c r="B695" s="22">
        <v>46196</v>
      </c>
      <c r="C695" s="23" t="s">
        <v>1377</v>
      </c>
      <c r="D695" s="23">
        <v>12</v>
      </c>
      <c r="E695" s="23">
        <f t="shared" si="59"/>
        <v>2340</v>
      </c>
      <c r="F695" s="38" t="s">
        <v>274</v>
      </c>
      <c r="G695" s="38" t="s">
        <v>1088</v>
      </c>
      <c r="H695" s="25">
        <f>H685-E695</f>
        <v>7020</v>
      </c>
      <c r="I695" s="25"/>
      <c r="J695" s="25"/>
      <c r="K695" s="23">
        <v>260618004</v>
      </c>
      <c r="L695" s="23"/>
      <c r="M695" s="23">
        <f>M692-D695</f>
        <v>12</v>
      </c>
      <c r="N695" s="19">
        <v>46162</v>
      </c>
      <c r="O695" s="21">
        <f t="shared" si="60"/>
        <v>46526</v>
      </c>
    </row>
    <row r="696" spans="1:15" ht="20.149999999999999" hidden="1" customHeight="1" x14ac:dyDescent="0.2">
      <c r="A696" s="26">
        <v>46195</v>
      </c>
      <c r="B696" s="26">
        <v>46196</v>
      </c>
      <c r="C696" s="27" t="s">
        <v>1378</v>
      </c>
      <c r="D696" s="27">
        <v>12</v>
      </c>
      <c r="E696" s="27">
        <f t="shared" si="59"/>
        <v>2340</v>
      </c>
      <c r="F696" s="36" t="s">
        <v>30</v>
      </c>
      <c r="G696" s="36" t="s">
        <v>1124</v>
      </c>
      <c r="H696" s="28">
        <f>H686-E696</f>
        <v>7020</v>
      </c>
      <c r="I696" s="28"/>
      <c r="J696" s="28"/>
      <c r="K696" s="27">
        <v>260618005</v>
      </c>
      <c r="L696" s="27"/>
      <c r="M696" s="27">
        <f>M695-D696</f>
        <v>0</v>
      </c>
      <c r="N696" s="19">
        <v>46162</v>
      </c>
      <c r="O696" s="21">
        <f t="shared" si="60"/>
        <v>46526</v>
      </c>
    </row>
    <row r="697" spans="1:15" ht="20.149999999999999" hidden="1" customHeight="1" x14ac:dyDescent="0.2">
      <c r="A697" s="33">
        <v>46195</v>
      </c>
      <c r="B697" s="33">
        <v>46196</v>
      </c>
      <c r="C697" s="34" t="s">
        <v>1379</v>
      </c>
      <c r="D697" s="34">
        <v>12</v>
      </c>
      <c r="E697" s="34">
        <f t="shared" si="59"/>
        <v>2340</v>
      </c>
      <c r="F697" s="145" t="s">
        <v>444</v>
      </c>
      <c r="G697" s="39" t="s">
        <v>1389</v>
      </c>
      <c r="H697" s="35">
        <f>H689-E697</f>
        <v>173480</v>
      </c>
      <c r="I697" s="35"/>
      <c r="J697" s="35"/>
      <c r="K697" s="34">
        <v>260618006</v>
      </c>
      <c r="L697" s="34"/>
      <c r="M697" s="34">
        <f>M690-D697</f>
        <v>0</v>
      </c>
      <c r="N697" s="19">
        <v>46161</v>
      </c>
      <c r="O697" s="21">
        <f t="shared" si="60"/>
        <v>46525</v>
      </c>
    </row>
    <row r="698" spans="1:15" ht="20.149999999999999" hidden="1" customHeight="1" x14ac:dyDescent="0.25">
      <c r="A698" s="40">
        <v>46196</v>
      </c>
      <c r="B698" s="40">
        <v>46196</v>
      </c>
      <c r="C698" s="41" t="s">
        <v>1398</v>
      </c>
      <c r="D698" s="41">
        <v>4</v>
      </c>
      <c r="E698" s="41">
        <f t="shared" si="59"/>
        <v>780</v>
      </c>
      <c r="F698" s="60" t="s">
        <v>29</v>
      </c>
      <c r="G698" s="60" t="s">
        <v>81</v>
      </c>
      <c r="H698" s="42">
        <f>H677-E698</f>
        <v>57880</v>
      </c>
      <c r="I698" s="42"/>
      <c r="J698" s="42"/>
      <c r="K698" s="41" t="s">
        <v>1402</v>
      </c>
      <c r="L698" s="41"/>
      <c r="M698" s="41">
        <f>M694-D698</f>
        <v>26</v>
      </c>
      <c r="N698" s="19">
        <v>46164</v>
      </c>
      <c r="O698" s="21">
        <f t="shared" si="60"/>
        <v>46528</v>
      </c>
    </row>
    <row r="699" spans="1:15" ht="20.149999999999999" hidden="1" customHeight="1" x14ac:dyDescent="0.25">
      <c r="A699" s="29">
        <v>46196</v>
      </c>
      <c r="B699" s="29">
        <v>46196</v>
      </c>
      <c r="C699" s="30" t="s">
        <v>1399</v>
      </c>
      <c r="D699" s="30">
        <v>8</v>
      </c>
      <c r="E699" s="30">
        <f t="shared" si="59"/>
        <v>1560</v>
      </c>
      <c r="F699" s="37" t="s">
        <v>27</v>
      </c>
      <c r="G699" s="37" t="s">
        <v>939</v>
      </c>
      <c r="H699" s="32">
        <f>H679-E699</f>
        <v>1560</v>
      </c>
      <c r="I699" s="32"/>
      <c r="J699" s="32"/>
      <c r="K699" s="30">
        <v>260622007</v>
      </c>
      <c r="L699" s="30"/>
      <c r="M699" s="30">
        <f>M693-D699</f>
        <v>0</v>
      </c>
      <c r="N699" s="19">
        <v>46163</v>
      </c>
      <c r="O699" s="21">
        <f t="shared" si="60"/>
        <v>46527</v>
      </c>
    </row>
    <row r="700" spans="1:15" ht="20.149999999999999" hidden="1" customHeight="1" x14ac:dyDescent="0.25">
      <c r="A700" s="22">
        <v>46198</v>
      </c>
      <c r="B700" s="22">
        <v>46199</v>
      </c>
      <c r="C700" s="23" t="s">
        <v>1412</v>
      </c>
      <c r="D700" s="23">
        <v>4</v>
      </c>
      <c r="E700" s="23">
        <f t="shared" si="59"/>
        <v>780</v>
      </c>
      <c r="F700" s="38" t="s">
        <v>267</v>
      </c>
      <c r="G700" s="148" t="s">
        <v>1421</v>
      </c>
      <c r="H700" s="25">
        <f>31200-E700</f>
        <v>30420</v>
      </c>
      <c r="I700" s="25"/>
      <c r="J700" s="25"/>
      <c r="K700" s="23">
        <v>260624003</v>
      </c>
      <c r="L700" s="23"/>
      <c r="M700" s="23">
        <f>M628-D700</f>
        <v>33</v>
      </c>
      <c r="N700" s="19">
        <v>46165</v>
      </c>
      <c r="O700" s="21">
        <f t="shared" si="60"/>
        <v>46529</v>
      </c>
    </row>
    <row r="701" spans="1:15" ht="20.149999999999999" hidden="1" customHeight="1" x14ac:dyDescent="0.25">
      <c r="A701" s="22">
        <v>46198</v>
      </c>
      <c r="B701" s="22">
        <v>46199</v>
      </c>
      <c r="C701" s="23" t="s">
        <v>1413</v>
      </c>
      <c r="D701" s="23">
        <v>4</v>
      </c>
      <c r="E701" s="23">
        <f t="shared" si="59"/>
        <v>780</v>
      </c>
      <c r="F701" s="38" t="s">
        <v>267</v>
      </c>
      <c r="G701" s="148" t="s">
        <v>1408</v>
      </c>
      <c r="H701" s="25">
        <f>H700-E701</f>
        <v>29640</v>
      </c>
      <c r="I701" s="43" t="s">
        <v>22</v>
      </c>
      <c r="J701" s="25"/>
      <c r="K701" s="23">
        <v>260624003</v>
      </c>
      <c r="L701" s="23">
        <v>41</v>
      </c>
      <c r="M701" s="23">
        <f>L701-D701</f>
        <v>37</v>
      </c>
      <c r="N701" s="19">
        <v>46183</v>
      </c>
      <c r="O701" s="21">
        <f t="shared" si="60"/>
        <v>46547</v>
      </c>
    </row>
    <row r="702" spans="1:15" ht="20.149999999999999" hidden="1" customHeight="1" x14ac:dyDescent="0.25">
      <c r="A702" s="22">
        <v>46198</v>
      </c>
      <c r="B702" s="22">
        <v>46199</v>
      </c>
      <c r="C702" s="23" t="s">
        <v>1405</v>
      </c>
      <c r="D702" s="23">
        <v>4</v>
      </c>
      <c r="E702" s="23">
        <f t="shared" si="59"/>
        <v>780</v>
      </c>
      <c r="F702" s="38" t="s">
        <v>267</v>
      </c>
      <c r="G702" s="148" t="s">
        <v>1408</v>
      </c>
      <c r="H702" s="25">
        <f>H701-E702</f>
        <v>28860</v>
      </c>
      <c r="I702" s="43" t="s">
        <v>22</v>
      </c>
      <c r="J702" s="25"/>
      <c r="K702" s="23">
        <v>260624003</v>
      </c>
      <c r="L702" s="23">
        <v>42</v>
      </c>
      <c r="M702" s="23">
        <f>L702-D702</f>
        <v>38</v>
      </c>
      <c r="N702" s="19">
        <v>46184</v>
      </c>
      <c r="O702" s="21">
        <f t="shared" si="60"/>
        <v>46548</v>
      </c>
    </row>
    <row r="703" spans="1:15" ht="20.149999999999999" hidden="1" customHeight="1" x14ac:dyDescent="0.3">
      <c r="A703" s="33">
        <v>46198</v>
      </c>
      <c r="B703" s="33">
        <v>46199</v>
      </c>
      <c r="C703" s="34" t="s">
        <v>1406</v>
      </c>
      <c r="D703" s="34">
        <v>4</v>
      </c>
      <c r="E703" s="34">
        <f t="shared" si="59"/>
        <v>780</v>
      </c>
      <c r="F703" s="39" t="s">
        <v>274</v>
      </c>
      <c r="G703" s="39" t="s">
        <v>1422</v>
      </c>
      <c r="H703" s="35">
        <f>H695-E703</f>
        <v>6240</v>
      </c>
      <c r="I703" s="63" t="s">
        <v>22</v>
      </c>
      <c r="J703" s="35"/>
      <c r="K703" s="34">
        <v>260624004</v>
      </c>
      <c r="L703" s="34">
        <v>41</v>
      </c>
      <c r="M703" s="34">
        <f>L703-D703</f>
        <v>37</v>
      </c>
      <c r="N703" s="19">
        <v>46185</v>
      </c>
      <c r="O703" s="21">
        <f t="shared" si="60"/>
        <v>46549</v>
      </c>
    </row>
    <row r="704" spans="1:15" ht="20.149999999999999" hidden="1" customHeight="1" x14ac:dyDescent="0.3">
      <c r="A704" s="33">
        <v>46198</v>
      </c>
      <c r="B704" s="33">
        <v>46199</v>
      </c>
      <c r="C704" s="34" t="s">
        <v>1414</v>
      </c>
      <c r="D704" s="34">
        <v>4</v>
      </c>
      <c r="E704" s="34">
        <f t="shared" si="59"/>
        <v>780</v>
      </c>
      <c r="F704" s="39" t="s">
        <v>274</v>
      </c>
      <c r="G704" s="39" t="s">
        <v>1409</v>
      </c>
      <c r="H704" s="35">
        <f>H703-E704</f>
        <v>5460</v>
      </c>
      <c r="I704" s="63" t="s">
        <v>22</v>
      </c>
      <c r="J704" s="35"/>
      <c r="K704" s="34">
        <v>260624004</v>
      </c>
      <c r="L704" s="34">
        <v>42</v>
      </c>
      <c r="M704" s="34">
        <f>L704-D704</f>
        <v>38</v>
      </c>
      <c r="N704" s="19">
        <v>46186</v>
      </c>
      <c r="O704" s="21">
        <f t="shared" si="60"/>
        <v>46550</v>
      </c>
    </row>
    <row r="705" spans="1:15" ht="20.149999999999999" hidden="1" customHeight="1" x14ac:dyDescent="0.3">
      <c r="A705" s="33">
        <v>46198</v>
      </c>
      <c r="B705" s="33">
        <v>46199</v>
      </c>
      <c r="C705" s="34" t="s">
        <v>1415</v>
      </c>
      <c r="D705" s="34">
        <v>4</v>
      </c>
      <c r="E705" s="34">
        <f t="shared" si="59"/>
        <v>780</v>
      </c>
      <c r="F705" s="39" t="s">
        <v>274</v>
      </c>
      <c r="G705" s="39" t="s">
        <v>1410</v>
      </c>
      <c r="H705" s="35">
        <f>H704-E705</f>
        <v>4680</v>
      </c>
      <c r="I705" s="63" t="s">
        <v>22</v>
      </c>
      <c r="J705" s="35"/>
      <c r="K705" s="34">
        <v>260624004</v>
      </c>
      <c r="L705" s="34">
        <v>41</v>
      </c>
      <c r="M705" s="34">
        <f>L705-D705</f>
        <v>37</v>
      </c>
      <c r="N705" s="19">
        <v>46187</v>
      </c>
      <c r="O705" s="21">
        <f t="shared" si="60"/>
        <v>46551</v>
      </c>
    </row>
    <row r="706" spans="1:15" ht="20.149999999999999" hidden="1" customHeight="1" x14ac:dyDescent="0.2">
      <c r="A706" s="40">
        <v>46198</v>
      </c>
      <c r="B706" s="40">
        <v>46199</v>
      </c>
      <c r="C706" s="41" t="s">
        <v>1416</v>
      </c>
      <c r="D706" s="41">
        <v>8</v>
      </c>
      <c r="E706" s="41">
        <f t="shared" si="59"/>
        <v>1560</v>
      </c>
      <c r="F706" s="60" t="s">
        <v>30</v>
      </c>
      <c r="G706" s="60" t="s">
        <v>1423</v>
      </c>
      <c r="H706" s="42">
        <f>H696-E706</f>
        <v>5460</v>
      </c>
      <c r="I706" s="42"/>
      <c r="J706" s="42"/>
      <c r="K706" s="41">
        <v>260624005</v>
      </c>
      <c r="L706" s="41"/>
      <c r="M706" s="41">
        <f>M700-D706</f>
        <v>25</v>
      </c>
      <c r="N706" s="19">
        <v>46165</v>
      </c>
      <c r="O706" s="21">
        <f t="shared" si="60"/>
        <v>46529</v>
      </c>
    </row>
    <row r="707" spans="1:15" ht="20.149999999999999" hidden="1" customHeight="1" x14ac:dyDescent="0.2">
      <c r="A707" s="29">
        <v>46198</v>
      </c>
      <c r="B707" s="29">
        <v>46199</v>
      </c>
      <c r="C707" s="30" t="s">
        <v>1193</v>
      </c>
      <c r="D707" s="30">
        <v>16</v>
      </c>
      <c r="E707" s="30">
        <f t="shared" si="59"/>
        <v>3120</v>
      </c>
      <c r="F707" s="30" t="s">
        <v>31</v>
      </c>
      <c r="G707" s="37" t="s">
        <v>1424</v>
      </c>
      <c r="H707" s="32">
        <f>H687-E707</f>
        <v>29580</v>
      </c>
      <c r="I707" s="32"/>
      <c r="J707" s="32"/>
      <c r="K707" s="30">
        <v>260624006</v>
      </c>
      <c r="L707" s="30"/>
      <c r="M707" s="30">
        <f>M698-D707</f>
        <v>10</v>
      </c>
      <c r="N707" s="19">
        <v>46164</v>
      </c>
      <c r="O707" s="21">
        <f t="shared" si="60"/>
        <v>46528</v>
      </c>
    </row>
    <row r="708" spans="1:15" ht="20.149999999999999" hidden="1" customHeight="1" x14ac:dyDescent="0.2">
      <c r="A708" s="26">
        <v>46198</v>
      </c>
      <c r="B708" s="26">
        <v>46199</v>
      </c>
      <c r="C708" s="27" t="s">
        <v>1417</v>
      </c>
      <c r="D708" s="27">
        <v>8</v>
      </c>
      <c r="E708" s="27">
        <f t="shared" si="59"/>
        <v>1560</v>
      </c>
      <c r="F708" s="149" t="s">
        <v>444</v>
      </c>
      <c r="G708" s="36" t="s">
        <v>805</v>
      </c>
      <c r="H708" s="28">
        <f>H697-E708</f>
        <v>171920</v>
      </c>
      <c r="I708" s="28"/>
      <c r="J708" s="28"/>
      <c r="K708" s="27">
        <v>260624007</v>
      </c>
      <c r="L708" s="27"/>
      <c r="M708" s="27">
        <f>M707-D708</f>
        <v>2</v>
      </c>
      <c r="N708" s="19">
        <v>46164</v>
      </c>
      <c r="O708" s="21">
        <f t="shared" si="60"/>
        <v>46528</v>
      </c>
    </row>
    <row r="709" spans="1:15" ht="20.149999999999999" hidden="1" customHeight="1" x14ac:dyDescent="0.25">
      <c r="A709" s="22">
        <v>46199</v>
      </c>
      <c r="B709" s="22">
        <v>46199</v>
      </c>
      <c r="C709" s="23" t="s">
        <v>1193</v>
      </c>
      <c r="D709" s="23">
        <v>2</v>
      </c>
      <c r="E709" s="23">
        <f t="shared" si="59"/>
        <v>390</v>
      </c>
      <c r="F709" s="38" t="s">
        <v>29</v>
      </c>
      <c r="G709" s="38" t="s">
        <v>81</v>
      </c>
      <c r="H709" s="25">
        <f>H698-E709</f>
        <v>57490</v>
      </c>
      <c r="I709" s="25"/>
      <c r="J709" s="25"/>
      <c r="K709" s="23">
        <v>260625003</v>
      </c>
      <c r="L709" s="23"/>
      <c r="M709" s="23">
        <f>M708-D709</f>
        <v>0</v>
      </c>
      <c r="N709" s="19">
        <v>46164</v>
      </c>
      <c r="O709" s="21">
        <f t="shared" si="60"/>
        <v>46528</v>
      </c>
    </row>
    <row r="710" spans="1:15" ht="20.149999999999999" hidden="1" customHeight="1" x14ac:dyDescent="0.25">
      <c r="A710" s="22">
        <v>46199</v>
      </c>
      <c r="B710" s="22">
        <v>46199</v>
      </c>
      <c r="C710" s="23" t="s">
        <v>1431</v>
      </c>
      <c r="D710" s="23">
        <v>2</v>
      </c>
      <c r="E710" s="23">
        <f t="shared" si="59"/>
        <v>390</v>
      </c>
      <c r="F710" s="38" t="s">
        <v>29</v>
      </c>
      <c r="G710" s="38" t="s">
        <v>1428</v>
      </c>
      <c r="H710" s="25">
        <f>H709-E710</f>
        <v>57100</v>
      </c>
      <c r="I710" s="25"/>
      <c r="J710" s="25"/>
      <c r="K710" s="23">
        <v>260625003</v>
      </c>
      <c r="L710" s="23"/>
      <c r="M710" s="23">
        <f>M706-D710</f>
        <v>23</v>
      </c>
      <c r="N710" s="19">
        <v>46165</v>
      </c>
      <c r="O710" s="21">
        <f t="shared" si="60"/>
        <v>46529</v>
      </c>
    </row>
    <row r="711" spans="1:15" ht="20.149999999999999" hidden="1" customHeight="1" x14ac:dyDescent="0.25">
      <c r="A711" s="33">
        <v>46199</v>
      </c>
      <c r="B711" s="33">
        <v>46199</v>
      </c>
      <c r="C711" s="34" t="s">
        <v>1432</v>
      </c>
      <c r="D711" s="34">
        <v>4</v>
      </c>
      <c r="E711" s="34">
        <f t="shared" si="59"/>
        <v>780</v>
      </c>
      <c r="F711" s="39" t="s">
        <v>27</v>
      </c>
      <c r="G711" s="39" t="s">
        <v>939</v>
      </c>
      <c r="H711" s="35">
        <f>H699-E711</f>
        <v>780</v>
      </c>
      <c r="I711" s="35"/>
      <c r="J711" s="35"/>
      <c r="K711" s="34">
        <v>260625004</v>
      </c>
      <c r="L711" s="34"/>
      <c r="M711" s="34">
        <f>M710-D711</f>
        <v>19</v>
      </c>
      <c r="N711" s="19">
        <v>46165</v>
      </c>
      <c r="O711" s="21">
        <f t="shared" si="60"/>
        <v>46529</v>
      </c>
    </row>
    <row r="712" spans="1:15" ht="20.149999999999999" hidden="1" customHeight="1" x14ac:dyDescent="0.25">
      <c r="A712" s="40">
        <v>46202</v>
      </c>
      <c r="B712" s="40">
        <v>46203</v>
      </c>
      <c r="C712" s="41" t="s">
        <v>1441</v>
      </c>
      <c r="D712" s="41">
        <v>4</v>
      </c>
      <c r="E712" s="41">
        <f t="shared" si="59"/>
        <v>780</v>
      </c>
      <c r="F712" s="60" t="s">
        <v>267</v>
      </c>
      <c r="G712" s="60" t="s">
        <v>1408</v>
      </c>
      <c r="H712" s="42">
        <f>H702-E712</f>
        <v>28080</v>
      </c>
      <c r="I712" s="42"/>
      <c r="J712" s="42"/>
      <c r="K712" s="41">
        <v>260626003</v>
      </c>
      <c r="L712" s="41"/>
      <c r="M712" s="41">
        <f>M711-D712</f>
        <v>15</v>
      </c>
      <c r="N712" s="19">
        <v>46165</v>
      </c>
      <c r="O712" s="21">
        <f t="shared" si="60"/>
        <v>46529</v>
      </c>
    </row>
    <row r="713" spans="1:15" ht="20.149999999999999" hidden="1" customHeight="1" x14ac:dyDescent="0.25">
      <c r="A713" s="40">
        <v>46202</v>
      </c>
      <c r="B713" s="40">
        <v>46203</v>
      </c>
      <c r="C713" s="41" t="s">
        <v>1442</v>
      </c>
      <c r="D713" s="41">
        <v>4</v>
      </c>
      <c r="E713" s="41">
        <f t="shared" si="59"/>
        <v>780</v>
      </c>
      <c r="F713" s="60" t="s">
        <v>267</v>
      </c>
      <c r="G713" s="60" t="s">
        <v>1439</v>
      </c>
      <c r="H713" s="42">
        <f>H712-E713</f>
        <v>27300</v>
      </c>
      <c r="I713" s="121" t="s">
        <v>22</v>
      </c>
      <c r="J713" s="42"/>
      <c r="K713" s="41">
        <v>260626003</v>
      </c>
      <c r="L713" s="41">
        <v>41</v>
      </c>
      <c r="M713" s="41">
        <f>L713-D713</f>
        <v>37</v>
      </c>
      <c r="N713" s="19">
        <v>46189</v>
      </c>
      <c r="O713" s="21">
        <f t="shared" si="60"/>
        <v>46553</v>
      </c>
    </row>
    <row r="714" spans="1:15" ht="20.149999999999999" hidden="1" customHeight="1" x14ac:dyDescent="0.25">
      <c r="A714" s="40">
        <v>46202</v>
      </c>
      <c r="B714" s="40">
        <v>46203</v>
      </c>
      <c r="C714" s="41" t="s">
        <v>1437</v>
      </c>
      <c r="D714" s="41">
        <v>4</v>
      </c>
      <c r="E714" s="41">
        <f t="shared" si="59"/>
        <v>780</v>
      </c>
      <c r="F714" s="60" t="s">
        <v>267</v>
      </c>
      <c r="G714" s="60" t="s">
        <v>1408</v>
      </c>
      <c r="H714" s="42">
        <f>H713-E714</f>
        <v>26520</v>
      </c>
      <c r="I714" s="121" t="s">
        <v>22</v>
      </c>
      <c r="J714" s="42"/>
      <c r="K714" s="41">
        <v>260626003</v>
      </c>
      <c r="L714" s="41">
        <f>42-4</f>
        <v>38</v>
      </c>
      <c r="M714" s="41">
        <f>L714-D714</f>
        <v>34</v>
      </c>
      <c r="N714" s="19">
        <v>46190</v>
      </c>
      <c r="O714" s="21">
        <f t="shared" si="60"/>
        <v>46554</v>
      </c>
    </row>
    <row r="715" spans="1:15" ht="20.149999999999999" hidden="1" customHeight="1" x14ac:dyDescent="0.3">
      <c r="A715" s="26">
        <v>46202</v>
      </c>
      <c r="B715" s="26">
        <v>46203</v>
      </c>
      <c r="C715" s="27" t="s">
        <v>1443</v>
      </c>
      <c r="D715" s="27">
        <v>4</v>
      </c>
      <c r="E715" s="27">
        <f t="shared" si="59"/>
        <v>780</v>
      </c>
      <c r="F715" s="36" t="s">
        <v>274</v>
      </c>
      <c r="G715" s="36" t="s">
        <v>1449</v>
      </c>
      <c r="H715" s="28">
        <f>H705-E715</f>
        <v>3900</v>
      </c>
      <c r="I715" s="61" t="s">
        <v>22</v>
      </c>
      <c r="J715" s="28"/>
      <c r="K715" s="27">
        <v>260626004</v>
      </c>
      <c r="L715" s="27">
        <v>41</v>
      </c>
      <c r="M715" s="27">
        <f>L715-D715</f>
        <v>37</v>
      </c>
      <c r="N715" s="19">
        <v>46191</v>
      </c>
      <c r="O715" s="21">
        <f t="shared" si="60"/>
        <v>46555</v>
      </c>
    </row>
    <row r="716" spans="1:15" ht="20.149999999999999" hidden="1" customHeight="1" x14ac:dyDescent="0.3">
      <c r="A716" s="26">
        <v>46202</v>
      </c>
      <c r="B716" s="26">
        <v>46203</v>
      </c>
      <c r="C716" s="27" t="s">
        <v>1444</v>
      </c>
      <c r="D716" s="27">
        <v>4</v>
      </c>
      <c r="E716" s="27">
        <f t="shared" si="59"/>
        <v>780</v>
      </c>
      <c r="F716" s="36" t="s">
        <v>274</v>
      </c>
      <c r="G716" s="36" t="s">
        <v>1440</v>
      </c>
      <c r="H716" s="28">
        <f>H715-E716</f>
        <v>3120</v>
      </c>
      <c r="I716" s="61" t="s">
        <v>22</v>
      </c>
      <c r="J716" s="28"/>
      <c r="K716" s="27">
        <v>260626004</v>
      </c>
      <c r="L716" s="27">
        <f>41+1</f>
        <v>42</v>
      </c>
      <c r="M716" s="27">
        <f>L716-D716</f>
        <v>38</v>
      </c>
      <c r="N716" s="19">
        <v>46192</v>
      </c>
      <c r="O716" s="21">
        <f t="shared" si="60"/>
        <v>46556</v>
      </c>
    </row>
    <row r="717" spans="1:15" ht="20.149999999999999" hidden="1" customHeight="1" x14ac:dyDescent="0.3">
      <c r="A717" s="26">
        <v>46202</v>
      </c>
      <c r="B717" s="26">
        <v>46203</v>
      </c>
      <c r="C717" s="27" t="s">
        <v>1438</v>
      </c>
      <c r="D717" s="27">
        <v>4</v>
      </c>
      <c r="E717" s="27">
        <f t="shared" si="59"/>
        <v>780</v>
      </c>
      <c r="F717" s="36" t="s">
        <v>274</v>
      </c>
      <c r="G717" s="36" t="s">
        <v>1409</v>
      </c>
      <c r="H717" s="28">
        <f>H716-E717</f>
        <v>2340</v>
      </c>
      <c r="I717" s="61" t="s">
        <v>22</v>
      </c>
      <c r="J717" s="28"/>
      <c r="K717" s="27">
        <v>260626004</v>
      </c>
      <c r="L717" s="27">
        <v>41</v>
      </c>
      <c r="M717" s="27">
        <f>L717-D717</f>
        <v>37</v>
      </c>
      <c r="N717" s="19">
        <v>46193</v>
      </c>
      <c r="O717" s="21">
        <f t="shared" si="60"/>
        <v>46557</v>
      </c>
    </row>
    <row r="718" spans="1:15" ht="20.149999999999999" hidden="1" customHeight="1" x14ac:dyDescent="0.2">
      <c r="A718" s="29">
        <v>46202</v>
      </c>
      <c r="B718" s="29">
        <v>46203</v>
      </c>
      <c r="C718" s="30" t="s">
        <v>1412</v>
      </c>
      <c r="D718" s="30">
        <v>12</v>
      </c>
      <c r="E718" s="30">
        <f t="shared" si="59"/>
        <v>2340</v>
      </c>
      <c r="F718" s="161" t="s">
        <v>444</v>
      </c>
      <c r="G718" s="37" t="s">
        <v>1450</v>
      </c>
      <c r="H718" s="32">
        <f>H708-E718</f>
        <v>169580</v>
      </c>
      <c r="I718" s="32"/>
      <c r="J718" s="32"/>
      <c r="K718" s="30">
        <v>260626005</v>
      </c>
      <c r="L718" s="30"/>
      <c r="M718" s="30">
        <f>M712-D718</f>
        <v>3</v>
      </c>
      <c r="N718" s="19">
        <v>46165</v>
      </c>
      <c r="O718" s="21">
        <f t="shared" si="60"/>
        <v>46529</v>
      </c>
    </row>
    <row r="719" spans="1:15" ht="20.149999999999999" hidden="1" customHeight="1" x14ac:dyDescent="0.25">
      <c r="A719" s="22">
        <v>46203</v>
      </c>
      <c r="B719" s="22">
        <v>46203</v>
      </c>
      <c r="C719" s="23" t="s">
        <v>1462</v>
      </c>
      <c r="D719" s="23">
        <v>3</v>
      </c>
      <c r="E719" s="23">
        <f t="shared" si="59"/>
        <v>585</v>
      </c>
      <c r="F719" s="38" t="s">
        <v>1458</v>
      </c>
      <c r="G719" s="148" t="s">
        <v>1454</v>
      </c>
      <c r="H719" s="25">
        <f>22620-E719</f>
        <v>22035</v>
      </c>
      <c r="I719" s="25"/>
      <c r="J719" s="25"/>
      <c r="K719" s="23">
        <v>260629002</v>
      </c>
      <c r="L719" s="23"/>
      <c r="M719" s="23">
        <f>M718-D719</f>
        <v>0</v>
      </c>
      <c r="N719" s="19">
        <v>46165</v>
      </c>
      <c r="O719" s="21">
        <f t="shared" si="60"/>
        <v>46529</v>
      </c>
    </row>
    <row r="720" spans="1:15" ht="20.149999999999999" hidden="1" customHeight="1" x14ac:dyDescent="0.25">
      <c r="A720" s="22">
        <v>46203</v>
      </c>
      <c r="B720" s="22">
        <v>46203</v>
      </c>
      <c r="C720" s="23" t="s">
        <v>1463</v>
      </c>
      <c r="D720" s="23">
        <v>5</v>
      </c>
      <c r="E720" s="23">
        <f t="shared" si="59"/>
        <v>975</v>
      </c>
      <c r="F720" s="38" t="s">
        <v>27</v>
      </c>
      <c r="G720" s="148" t="s">
        <v>1459</v>
      </c>
      <c r="H720" s="25">
        <f>H719-E720</f>
        <v>21060</v>
      </c>
      <c r="I720" s="25"/>
      <c r="J720" s="25"/>
      <c r="K720" s="23">
        <v>260629002</v>
      </c>
      <c r="L720" s="23"/>
      <c r="M720" s="23">
        <f>M629-D720</f>
        <v>33</v>
      </c>
      <c r="N720" s="19">
        <v>46166</v>
      </c>
      <c r="O720" s="21">
        <f t="shared" si="60"/>
        <v>46530</v>
      </c>
    </row>
    <row r="721" spans="1:15" ht="20.149999999999999" hidden="1" customHeight="1" x14ac:dyDescent="0.25">
      <c r="A721" s="22">
        <v>46203</v>
      </c>
      <c r="B721" s="22">
        <v>46203</v>
      </c>
      <c r="C721" s="23" t="s">
        <v>1453</v>
      </c>
      <c r="D721" s="23">
        <v>4</v>
      </c>
      <c r="E721" s="23">
        <f t="shared" si="59"/>
        <v>780</v>
      </c>
      <c r="F721" s="38" t="s">
        <v>1458</v>
      </c>
      <c r="G721" s="38" t="s">
        <v>939</v>
      </c>
      <c r="H721" s="25">
        <f>H711-E721</f>
        <v>0</v>
      </c>
      <c r="I721" s="25"/>
      <c r="J721" s="25"/>
      <c r="K721" s="23" t="s">
        <v>1466</v>
      </c>
      <c r="L721" s="23"/>
      <c r="M721" s="23">
        <f>M720-D721</f>
        <v>29</v>
      </c>
      <c r="N721" s="19">
        <v>46166</v>
      </c>
      <c r="O721" s="21">
        <f t="shared" si="60"/>
        <v>46530</v>
      </c>
    </row>
    <row r="722" spans="1:15" ht="20.149999999999999" hidden="1" customHeight="1" x14ac:dyDescent="0.25">
      <c r="A722" s="33">
        <v>46204</v>
      </c>
      <c r="B722" s="33">
        <v>46205</v>
      </c>
      <c r="C722" s="34" t="s">
        <v>1201</v>
      </c>
      <c r="D722" s="34">
        <v>29</v>
      </c>
      <c r="E722" s="34">
        <f t="shared" si="59"/>
        <v>5655</v>
      </c>
      <c r="F722" s="39" t="s">
        <v>307</v>
      </c>
      <c r="G722" s="39" t="s">
        <v>1388</v>
      </c>
      <c r="H722" s="35">
        <f>H694-E722</f>
        <v>31785</v>
      </c>
      <c r="I722" s="35"/>
      <c r="J722" s="35"/>
      <c r="K722" s="34">
        <v>260630004</v>
      </c>
      <c r="L722" s="34"/>
      <c r="M722" s="34">
        <f>M721-D722</f>
        <v>0</v>
      </c>
      <c r="N722" s="19">
        <v>46166</v>
      </c>
      <c r="O722" s="21">
        <f t="shared" si="60"/>
        <v>46530</v>
      </c>
    </row>
    <row r="723" spans="1:15" ht="20.149999999999999" hidden="1" customHeight="1" x14ac:dyDescent="0.25">
      <c r="A723" s="33">
        <v>46204</v>
      </c>
      <c r="B723" s="33">
        <v>46205</v>
      </c>
      <c r="C723" s="34" t="s">
        <v>1257</v>
      </c>
      <c r="D723" s="34">
        <v>15</v>
      </c>
      <c r="E723" s="34">
        <f t="shared" si="59"/>
        <v>2925</v>
      </c>
      <c r="F723" s="39" t="s">
        <v>307</v>
      </c>
      <c r="G723" s="39" t="s">
        <v>1468</v>
      </c>
      <c r="H723" s="35">
        <f>H722-E723</f>
        <v>28860</v>
      </c>
      <c r="I723" s="35"/>
      <c r="J723" s="35"/>
      <c r="K723" s="34">
        <v>260630004</v>
      </c>
      <c r="L723" s="34"/>
      <c r="M723" s="34">
        <f>M649-D723</f>
        <v>22</v>
      </c>
      <c r="N723" s="19">
        <v>46168</v>
      </c>
      <c r="O723" s="21">
        <f t="shared" si="60"/>
        <v>46532</v>
      </c>
    </row>
    <row r="724" spans="1:15" ht="20.149999999999999" hidden="1" customHeight="1" x14ac:dyDescent="0.25">
      <c r="A724" s="29">
        <v>46205</v>
      </c>
      <c r="B724" s="29">
        <v>46206</v>
      </c>
      <c r="C724" s="30" t="s">
        <v>1471</v>
      </c>
      <c r="D724" s="30">
        <v>2</v>
      </c>
      <c r="E724" s="30">
        <f t="shared" si="59"/>
        <v>390</v>
      </c>
      <c r="F724" s="37" t="s">
        <v>267</v>
      </c>
      <c r="G724" s="37" t="s">
        <v>1408</v>
      </c>
      <c r="H724" s="32">
        <f>H714-E724</f>
        <v>26130</v>
      </c>
      <c r="I724" s="32"/>
      <c r="J724" s="32"/>
      <c r="K724" s="30">
        <v>260701003</v>
      </c>
      <c r="L724" s="30"/>
      <c r="M724" s="30">
        <f>M723-D724</f>
        <v>20</v>
      </c>
      <c r="N724" s="19">
        <v>46168</v>
      </c>
      <c r="O724" s="21">
        <f t="shared" si="60"/>
        <v>46532</v>
      </c>
    </row>
    <row r="725" spans="1:15" ht="20.149999999999999" hidden="1" customHeight="1" x14ac:dyDescent="0.25">
      <c r="A725" s="29">
        <v>46205</v>
      </c>
      <c r="B725" s="29">
        <v>46206</v>
      </c>
      <c r="C725" s="30" t="s">
        <v>1258</v>
      </c>
      <c r="D725" s="30">
        <v>10</v>
      </c>
      <c r="E725" s="30">
        <f t="shared" si="59"/>
        <v>1950</v>
      </c>
      <c r="F725" s="37" t="s">
        <v>267</v>
      </c>
      <c r="G725" s="37" t="s">
        <v>1408</v>
      </c>
      <c r="H725" s="32">
        <f>H724-E725</f>
        <v>24180</v>
      </c>
      <c r="I725" s="32"/>
      <c r="J725" s="32"/>
      <c r="K725" s="30">
        <v>260701003</v>
      </c>
      <c r="L725" s="30"/>
      <c r="M725" s="30">
        <f>M650-D725</f>
        <v>27</v>
      </c>
      <c r="N725" s="19">
        <v>46169</v>
      </c>
      <c r="O725" s="21">
        <f t="shared" si="60"/>
        <v>46533</v>
      </c>
    </row>
    <row r="726" spans="1:15" ht="20.149999999999999" hidden="1" customHeight="1" x14ac:dyDescent="0.3">
      <c r="A726" s="40">
        <v>46205</v>
      </c>
      <c r="B726" s="40">
        <v>46206</v>
      </c>
      <c r="C726" s="41" t="s">
        <v>1472</v>
      </c>
      <c r="D726" s="41">
        <v>12</v>
      </c>
      <c r="E726" s="41">
        <f t="shared" si="59"/>
        <v>2340</v>
      </c>
      <c r="F726" s="60" t="s">
        <v>274</v>
      </c>
      <c r="G726" s="60" t="s">
        <v>1088</v>
      </c>
      <c r="H726" s="42">
        <f>H717-E726</f>
        <v>0</v>
      </c>
      <c r="I726" s="42"/>
      <c r="J726" s="42"/>
      <c r="K726" s="41">
        <v>260701004</v>
      </c>
      <c r="L726" s="41"/>
      <c r="M726" s="41">
        <f>M725-D726</f>
        <v>15</v>
      </c>
      <c r="N726" s="19">
        <v>46169</v>
      </c>
      <c r="O726" s="21">
        <f t="shared" si="60"/>
        <v>46533</v>
      </c>
    </row>
    <row r="727" spans="1:15" ht="20.149999999999999" hidden="1" customHeight="1" x14ac:dyDescent="0.3">
      <c r="A727" s="40">
        <v>46205</v>
      </c>
      <c r="B727" s="40">
        <v>46206</v>
      </c>
      <c r="C727" s="41" t="s">
        <v>1265</v>
      </c>
      <c r="D727" s="41">
        <v>4</v>
      </c>
      <c r="E727" s="41">
        <f t="shared" si="59"/>
        <v>780</v>
      </c>
      <c r="F727" s="60" t="s">
        <v>274</v>
      </c>
      <c r="G727" s="146" t="s">
        <v>1469</v>
      </c>
      <c r="H727" s="42">
        <f>31980-E727</f>
        <v>31200</v>
      </c>
      <c r="I727" s="42"/>
      <c r="J727" s="42"/>
      <c r="K727" s="41" t="s">
        <v>1476</v>
      </c>
      <c r="L727" s="41"/>
      <c r="M727" s="41">
        <f>M651-D727</f>
        <v>34</v>
      </c>
      <c r="N727" s="19">
        <v>46170</v>
      </c>
      <c r="O727" s="21">
        <f t="shared" si="60"/>
        <v>46534</v>
      </c>
    </row>
    <row r="728" spans="1:15" ht="20.149999999999999" hidden="1" customHeight="1" x14ac:dyDescent="0.2">
      <c r="A728" s="26">
        <v>46205</v>
      </c>
      <c r="B728" s="26">
        <v>46206</v>
      </c>
      <c r="C728" s="27" t="s">
        <v>1478</v>
      </c>
      <c r="D728" s="27">
        <v>12</v>
      </c>
      <c r="E728" s="27">
        <f t="shared" si="59"/>
        <v>2340</v>
      </c>
      <c r="F728" s="36" t="s">
        <v>30</v>
      </c>
      <c r="G728" s="36" t="s">
        <v>1477</v>
      </c>
      <c r="H728" s="28">
        <f>H706-E728</f>
        <v>3120</v>
      </c>
      <c r="I728" s="28"/>
      <c r="J728" s="28"/>
      <c r="K728" s="27">
        <v>260701005</v>
      </c>
      <c r="L728" s="27"/>
      <c r="M728" s="27">
        <f>M724-D728</f>
        <v>8</v>
      </c>
      <c r="N728" s="19">
        <v>46168</v>
      </c>
      <c r="O728" s="21">
        <f t="shared" si="60"/>
        <v>46532</v>
      </c>
    </row>
    <row r="729" spans="1:15" ht="20.149999999999999" hidden="1" customHeight="1" x14ac:dyDescent="0.2">
      <c r="A729" s="22">
        <v>46205</v>
      </c>
      <c r="B729" s="22">
        <v>46206</v>
      </c>
      <c r="C729" s="23" t="s">
        <v>1473</v>
      </c>
      <c r="D729" s="23">
        <v>12</v>
      </c>
      <c r="E729" s="23">
        <f t="shared" si="59"/>
        <v>2340</v>
      </c>
      <c r="F729" s="23" t="s">
        <v>31</v>
      </c>
      <c r="G729" s="38" t="s">
        <v>1479</v>
      </c>
      <c r="H729" s="25">
        <f>H707-E729</f>
        <v>27240</v>
      </c>
      <c r="I729" s="25"/>
      <c r="J729" s="25"/>
      <c r="K729" s="23">
        <v>260701006</v>
      </c>
      <c r="L729" s="23"/>
      <c r="M729" s="23">
        <f>M726-D729</f>
        <v>3</v>
      </c>
      <c r="N729" s="19">
        <v>46169</v>
      </c>
      <c r="O729" s="21">
        <f t="shared" si="60"/>
        <v>46533</v>
      </c>
    </row>
    <row r="730" spans="1:15" ht="20.149999999999999" hidden="1" customHeight="1" x14ac:dyDescent="0.2">
      <c r="A730" s="33">
        <v>46205</v>
      </c>
      <c r="B730" s="33">
        <v>46206</v>
      </c>
      <c r="C730" s="34" t="s">
        <v>1474</v>
      </c>
      <c r="D730" s="34">
        <v>8</v>
      </c>
      <c r="E730" s="34">
        <f t="shared" si="59"/>
        <v>1560</v>
      </c>
      <c r="F730" s="145" t="s">
        <v>444</v>
      </c>
      <c r="G730" s="39" t="s">
        <v>1480</v>
      </c>
      <c r="H730" s="35">
        <f>H718-E730</f>
        <v>168020</v>
      </c>
      <c r="I730" s="35"/>
      <c r="J730" s="35"/>
      <c r="K730" s="34">
        <v>260701007</v>
      </c>
      <c r="L730" s="34"/>
      <c r="M730" s="34">
        <f>M728-D730</f>
        <v>0</v>
      </c>
      <c r="N730" s="19">
        <v>46168</v>
      </c>
      <c r="O730" s="21">
        <f t="shared" si="60"/>
        <v>46532</v>
      </c>
    </row>
    <row r="731" spans="1:15" ht="20.149999999999999" hidden="1" customHeight="1" x14ac:dyDescent="0.25">
      <c r="A731" s="40">
        <v>46206</v>
      </c>
      <c r="B731" s="40">
        <v>46206</v>
      </c>
      <c r="C731" s="41" t="s">
        <v>1258</v>
      </c>
      <c r="D731" s="41">
        <v>3</v>
      </c>
      <c r="E731" s="41">
        <f t="shared" si="59"/>
        <v>585</v>
      </c>
      <c r="F731" s="60" t="s">
        <v>29</v>
      </c>
      <c r="G731" s="60" t="s">
        <v>1489</v>
      </c>
      <c r="H731" s="42">
        <f>H710-E731</f>
        <v>56515</v>
      </c>
      <c r="I731" s="42"/>
      <c r="J731" s="42"/>
      <c r="K731" s="41">
        <v>260702006</v>
      </c>
      <c r="L731" s="41"/>
      <c r="M731" s="41">
        <f>M729-D731</f>
        <v>0</v>
      </c>
      <c r="N731" s="19">
        <v>46169</v>
      </c>
      <c r="O731" s="21">
        <f t="shared" si="60"/>
        <v>46533</v>
      </c>
    </row>
    <row r="732" spans="1:15" ht="20.149999999999999" hidden="1" customHeight="1" x14ac:dyDescent="0.25">
      <c r="A732" s="40">
        <v>46206</v>
      </c>
      <c r="B732" s="40">
        <v>46206</v>
      </c>
      <c r="C732" s="41" t="s">
        <v>1487</v>
      </c>
      <c r="D732" s="41">
        <v>1</v>
      </c>
      <c r="E732" s="41">
        <f t="shared" si="59"/>
        <v>195</v>
      </c>
      <c r="F732" s="60" t="s">
        <v>29</v>
      </c>
      <c r="G732" s="60" t="s">
        <v>1485</v>
      </c>
      <c r="H732" s="42">
        <f>H731-E732</f>
        <v>56320</v>
      </c>
      <c r="I732" s="42"/>
      <c r="J732" s="42"/>
      <c r="K732" s="41">
        <v>260702006</v>
      </c>
      <c r="L732" s="41"/>
      <c r="M732" s="41">
        <f>M727-D732</f>
        <v>33</v>
      </c>
      <c r="N732" s="19">
        <v>46170</v>
      </c>
      <c r="O732" s="21">
        <f t="shared" si="60"/>
        <v>46534</v>
      </c>
    </row>
    <row r="733" spans="1:15" ht="20.149999999999999" hidden="1" customHeight="1" x14ac:dyDescent="0.25">
      <c r="A733" s="29">
        <v>46206</v>
      </c>
      <c r="B733" s="29">
        <v>46206</v>
      </c>
      <c r="C733" s="30" t="s">
        <v>1487</v>
      </c>
      <c r="D733" s="30">
        <v>8</v>
      </c>
      <c r="E733" s="30">
        <f t="shared" si="59"/>
        <v>1560</v>
      </c>
      <c r="F733" s="37" t="s">
        <v>27</v>
      </c>
      <c r="G733" s="37" t="s">
        <v>1454</v>
      </c>
      <c r="H733" s="32">
        <f>H720-E733</f>
        <v>19500</v>
      </c>
      <c r="I733" s="32"/>
      <c r="J733" s="32"/>
      <c r="K733" s="30">
        <v>260702007</v>
      </c>
      <c r="L733" s="30"/>
      <c r="M733" s="30">
        <f>M732-D733</f>
        <v>25</v>
      </c>
      <c r="N733" s="19">
        <v>46170</v>
      </c>
      <c r="O733" s="21">
        <f t="shared" si="60"/>
        <v>46534</v>
      </c>
    </row>
    <row r="734" spans="1:15" ht="20.149999999999999" hidden="1" customHeight="1" x14ac:dyDescent="0.25">
      <c r="A734" s="26">
        <v>46209</v>
      </c>
      <c r="B734" s="26">
        <v>46210</v>
      </c>
      <c r="C734" s="27" t="s">
        <v>1499</v>
      </c>
      <c r="D734" s="27">
        <v>4</v>
      </c>
      <c r="E734" s="27">
        <f t="shared" si="59"/>
        <v>780</v>
      </c>
      <c r="F734" s="36" t="s">
        <v>267</v>
      </c>
      <c r="G734" s="36" t="s">
        <v>1512</v>
      </c>
      <c r="H734" s="28">
        <f>H725-E734</f>
        <v>23400</v>
      </c>
      <c r="I734" s="28"/>
      <c r="J734" s="28"/>
      <c r="K734" s="27">
        <v>260703012</v>
      </c>
      <c r="L734" s="27"/>
      <c r="M734" s="27">
        <f>M733-D734</f>
        <v>21</v>
      </c>
      <c r="N734" s="19">
        <v>46170</v>
      </c>
      <c r="O734" s="21">
        <f t="shared" si="60"/>
        <v>46534</v>
      </c>
    </row>
    <row r="735" spans="1:15" ht="20.149999999999999" hidden="1" customHeight="1" x14ac:dyDescent="0.25">
      <c r="A735" s="26">
        <v>46209</v>
      </c>
      <c r="B735" s="26">
        <v>46210</v>
      </c>
      <c r="C735" s="27" t="s">
        <v>1500</v>
      </c>
      <c r="D735" s="27">
        <v>4</v>
      </c>
      <c r="E735" s="27">
        <f t="shared" si="59"/>
        <v>780</v>
      </c>
      <c r="F735" s="36" t="s">
        <v>267</v>
      </c>
      <c r="G735" s="36" t="s">
        <v>1493</v>
      </c>
      <c r="H735" s="28">
        <f>H734-E735</f>
        <v>22620</v>
      </c>
      <c r="I735" s="61" t="s">
        <v>22</v>
      </c>
      <c r="J735" s="28"/>
      <c r="K735" s="27">
        <v>260703012</v>
      </c>
      <c r="L735" s="27">
        <v>41</v>
      </c>
      <c r="M735" s="27">
        <f t="shared" ref="M735:M740" si="61">L735-D735</f>
        <v>37</v>
      </c>
      <c r="N735" s="19">
        <v>46194</v>
      </c>
      <c r="O735" s="21">
        <f t="shared" si="60"/>
        <v>46558</v>
      </c>
    </row>
    <row r="736" spans="1:15" ht="20.149999999999999" hidden="1" customHeight="1" x14ac:dyDescent="0.25">
      <c r="A736" s="26">
        <v>46209</v>
      </c>
      <c r="B736" s="26">
        <v>46210</v>
      </c>
      <c r="C736" s="27" t="s">
        <v>1501</v>
      </c>
      <c r="D736" s="27">
        <v>4</v>
      </c>
      <c r="E736" s="27">
        <f t="shared" si="59"/>
        <v>780</v>
      </c>
      <c r="F736" s="36" t="s">
        <v>267</v>
      </c>
      <c r="G736" s="36" t="s">
        <v>1494</v>
      </c>
      <c r="H736" s="28">
        <f>H735-E736</f>
        <v>21840</v>
      </c>
      <c r="I736" s="61" t="s">
        <v>22</v>
      </c>
      <c r="J736" s="28"/>
      <c r="K736" s="27">
        <v>260703012</v>
      </c>
      <c r="L736" s="27">
        <v>42</v>
      </c>
      <c r="M736" s="27">
        <f t="shared" si="61"/>
        <v>38</v>
      </c>
      <c r="N736" s="19">
        <v>46196</v>
      </c>
      <c r="O736" s="21">
        <f t="shared" si="60"/>
        <v>46560</v>
      </c>
    </row>
    <row r="737" spans="1:15" ht="20.149999999999999" hidden="1" customHeight="1" x14ac:dyDescent="0.3">
      <c r="A737" s="22">
        <v>46209</v>
      </c>
      <c r="B737" s="22">
        <v>46210</v>
      </c>
      <c r="C737" s="23" t="s">
        <v>1502</v>
      </c>
      <c r="D737" s="23">
        <v>4</v>
      </c>
      <c r="E737" s="23">
        <f t="shared" si="59"/>
        <v>780</v>
      </c>
      <c r="F737" s="38" t="s">
        <v>274</v>
      </c>
      <c r="G737" s="38" t="s">
        <v>1513</v>
      </c>
      <c r="H737" s="25">
        <f>H727-E737</f>
        <v>30420</v>
      </c>
      <c r="I737" s="43" t="s">
        <v>22</v>
      </c>
      <c r="J737" s="25"/>
      <c r="K737" s="23">
        <v>260703013</v>
      </c>
      <c r="L737" s="23">
        <f>41+1</f>
        <v>42</v>
      </c>
      <c r="M737" s="23">
        <f t="shared" si="61"/>
        <v>38</v>
      </c>
      <c r="N737" s="19">
        <v>46197</v>
      </c>
      <c r="O737" s="21">
        <f t="shared" si="60"/>
        <v>46561</v>
      </c>
    </row>
    <row r="738" spans="1:15" ht="20.149999999999999" hidden="1" customHeight="1" x14ac:dyDescent="0.3">
      <c r="A738" s="22">
        <v>46209</v>
      </c>
      <c r="B738" s="22">
        <v>46210</v>
      </c>
      <c r="C738" s="23" t="s">
        <v>1503</v>
      </c>
      <c r="D738" s="23">
        <v>4</v>
      </c>
      <c r="E738" s="23">
        <f t="shared" si="59"/>
        <v>780</v>
      </c>
      <c r="F738" s="38" t="s">
        <v>274</v>
      </c>
      <c r="G738" s="38" t="s">
        <v>1469</v>
      </c>
      <c r="H738" s="25">
        <f>H737-E738</f>
        <v>29640</v>
      </c>
      <c r="I738" s="43" t="s">
        <v>22</v>
      </c>
      <c r="J738" s="25"/>
      <c r="K738" s="23">
        <v>260703013</v>
      </c>
      <c r="L738" s="23">
        <v>41</v>
      </c>
      <c r="M738" s="23">
        <f t="shared" si="61"/>
        <v>37</v>
      </c>
      <c r="N738" s="19">
        <v>46198</v>
      </c>
      <c r="O738" s="21">
        <f t="shared" si="60"/>
        <v>46562</v>
      </c>
    </row>
    <row r="739" spans="1:15" ht="20.149999999999999" hidden="1" customHeight="1" x14ac:dyDescent="0.3">
      <c r="A739" s="22">
        <v>46209</v>
      </c>
      <c r="B739" s="22">
        <v>46210</v>
      </c>
      <c r="C739" s="23" t="s">
        <v>1504</v>
      </c>
      <c r="D739" s="23">
        <v>4</v>
      </c>
      <c r="E739" s="23">
        <f t="shared" si="59"/>
        <v>780</v>
      </c>
      <c r="F739" s="38" t="s">
        <v>274</v>
      </c>
      <c r="G739" s="38" t="s">
        <v>1495</v>
      </c>
      <c r="H739" s="25">
        <f>H738-E739</f>
        <v>28860</v>
      </c>
      <c r="I739" s="43" t="s">
        <v>22</v>
      </c>
      <c r="J739" s="25"/>
      <c r="K739" s="23">
        <v>260703013</v>
      </c>
      <c r="L739" s="23">
        <v>42</v>
      </c>
      <c r="M739" s="23">
        <f t="shared" si="61"/>
        <v>38</v>
      </c>
      <c r="N739" s="19">
        <v>46199</v>
      </c>
      <c r="O739" s="21">
        <f t="shared" si="60"/>
        <v>46563</v>
      </c>
    </row>
    <row r="740" spans="1:15" ht="20.149999999999999" hidden="1" customHeight="1" x14ac:dyDescent="0.3">
      <c r="A740" s="22">
        <v>46209</v>
      </c>
      <c r="B740" s="22">
        <v>46210</v>
      </c>
      <c r="C740" s="23" t="s">
        <v>1505</v>
      </c>
      <c r="D740" s="23">
        <v>4</v>
      </c>
      <c r="E740" s="23">
        <f t="shared" si="59"/>
        <v>780</v>
      </c>
      <c r="F740" s="38" t="s">
        <v>274</v>
      </c>
      <c r="G740" s="38" t="s">
        <v>1514</v>
      </c>
      <c r="H740" s="25">
        <f>H739-E740</f>
        <v>28080</v>
      </c>
      <c r="I740" s="43" t="s">
        <v>22</v>
      </c>
      <c r="J740" s="25"/>
      <c r="K740" s="23" t="s">
        <v>1519</v>
      </c>
      <c r="L740" s="23">
        <f>41+1</f>
        <v>42</v>
      </c>
      <c r="M740" s="23">
        <f t="shared" si="61"/>
        <v>38</v>
      </c>
      <c r="N740" s="19">
        <v>46200</v>
      </c>
      <c r="O740" s="21">
        <f t="shared" si="60"/>
        <v>46564</v>
      </c>
    </row>
    <row r="741" spans="1:15" ht="20.149999999999999" hidden="1" customHeight="1" x14ac:dyDescent="0.2">
      <c r="A741" s="33">
        <v>46209</v>
      </c>
      <c r="B741" s="33">
        <v>46210</v>
      </c>
      <c r="C741" s="34" t="s">
        <v>1506</v>
      </c>
      <c r="D741" s="34">
        <v>12</v>
      </c>
      <c r="E741" s="34">
        <f t="shared" si="59"/>
        <v>2340</v>
      </c>
      <c r="F741" s="39" t="s">
        <v>30</v>
      </c>
      <c r="G741" s="39" t="s">
        <v>1124</v>
      </c>
      <c r="H741" s="35">
        <f>H728-E741</f>
        <v>780</v>
      </c>
      <c r="I741" s="35"/>
      <c r="J741" s="35"/>
      <c r="K741" s="34">
        <v>260703014</v>
      </c>
      <c r="L741" s="34"/>
      <c r="M741" s="34">
        <f>M734-D741</f>
        <v>9</v>
      </c>
      <c r="N741" s="19">
        <v>46170</v>
      </c>
      <c r="O741" s="21">
        <f t="shared" si="60"/>
        <v>46534</v>
      </c>
    </row>
    <row r="742" spans="1:15" ht="20.149999999999999" hidden="1" customHeight="1" x14ac:dyDescent="0.2">
      <c r="A742" s="40">
        <v>46209</v>
      </c>
      <c r="B742" s="40">
        <v>46210</v>
      </c>
      <c r="C742" s="41" t="s">
        <v>1507</v>
      </c>
      <c r="D742" s="41">
        <v>12</v>
      </c>
      <c r="E742" s="41">
        <f t="shared" si="59"/>
        <v>2340</v>
      </c>
      <c r="F742" s="41" t="s">
        <v>31</v>
      </c>
      <c r="G742" s="60" t="s">
        <v>1515</v>
      </c>
      <c r="H742" s="42">
        <f>H729-E742</f>
        <v>24900</v>
      </c>
      <c r="I742" s="42"/>
      <c r="J742" s="42"/>
      <c r="K742" s="41">
        <v>260703015</v>
      </c>
      <c r="L742" s="41"/>
      <c r="M742" s="41">
        <f>M652-D742</f>
        <v>25</v>
      </c>
      <c r="N742" s="19">
        <v>46171</v>
      </c>
      <c r="O742" s="21">
        <f t="shared" si="60"/>
        <v>46535</v>
      </c>
    </row>
    <row r="743" spans="1:15" ht="20.149999999999999" hidden="1" customHeight="1" x14ac:dyDescent="0.2">
      <c r="A743" s="29">
        <v>46209</v>
      </c>
      <c r="B743" s="29">
        <v>46210</v>
      </c>
      <c r="C743" s="30" t="s">
        <v>1265</v>
      </c>
      <c r="D743" s="30">
        <v>8</v>
      </c>
      <c r="E743" s="30">
        <f t="shared" si="59"/>
        <v>1560</v>
      </c>
      <c r="F743" s="161" t="s">
        <v>444</v>
      </c>
      <c r="G743" s="37" t="s">
        <v>1516</v>
      </c>
      <c r="H743" s="32">
        <f>H730-E743</f>
        <v>166460</v>
      </c>
      <c r="I743" s="32"/>
      <c r="J743" s="32"/>
      <c r="K743" s="30">
        <v>260703016</v>
      </c>
      <c r="L743" s="30"/>
      <c r="M743" s="30">
        <f>M741-D743</f>
        <v>1</v>
      </c>
      <c r="N743" s="19">
        <v>46170</v>
      </c>
      <c r="O743" s="21">
        <f t="shared" ref="O743:O789" si="62">DATE(YEAR(N743)+1,MONTH(N743),DAY(N743))-1</f>
        <v>46534</v>
      </c>
    </row>
    <row r="744" spans="1:15" ht="20.149999999999999" hidden="1" customHeight="1" x14ac:dyDescent="0.25">
      <c r="A744" s="26">
        <v>46210</v>
      </c>
      <c r="B744" s="26">
        <v>46210</v>
      </c>
      <c r="C744" s="27" t="s">
        <v>1259</v>
      </c>
      <c r="D744" s="27">
        <v>4</v>
      </c>
      <c r="E744" s="27">
        <f t="shared" si="59"/>
        <v>780</v>
      </c>
      <c r="F744" s="36" t="s">
        <v>29</v>
      </c>
      <c r="G744" s="36" t="s">
        <v>1522</v>
      </c>
      <c r="H744" s="28">
        <f>H732-E744</f>
        <v>55540</v>
      </c>
      <c r="I744" s="28"/>
      <c r="J744" s="28"/>
      <c r="K744" s="27">
        <v>260706001</v>
      </c>
      <c r="L744" s="27"/>
      <c r="M744" s="27">
        <f>M742-D744</f>
        <v>21</v>
      </c>
      <c r="N744" s="19">
        <v>46171</v>
      </c>
      <c r="O744" s="21">
        <f t="shared" si="62"/>
        <v>46535</v>
      </c>
    </row>
    <row r="745" spans="1:15" ht="20.149999999999999" hidden="1" customHeight="1" x14ac:dyDescent="0.25">
      <c r="A745" s="22">
        <v>46210</v>
      </c>
      <c r="B745" s="22">
        <v>46210</v>
      </c>
      <c r="C745" s="23" t="s">
        <v>1265</v>
      </c>
      <c r="D745" s="23">
        <v>1</v>
      </c>
      <c r="E745" s="23">
        <f t="shared" si="59"/>
        <v>195</v>
      </c>
      <c r="F745" s="38" t="s">
        <v>27</v>
      </c>
      <c r="G745" s="38" t="s">
        <v>1523</v>
      </c>
      <c r="H745" s="25">
        <f>H733-E745</f>
        <v>19305</v>
      </c>
      <c r="I745" s="25"/>
      <c r="J745" s="25"/>
      <c r="K745" s="23">
        <v>260706002</v>
      </c>
      <c r="L745" s="23"/>
      <c r="M745" s="23">
        <f>M743-D745</f>
        <v>0</v>
      </c>
      <c r="N745" s="19">
        <v>46170</v>
      </c>
      <c r="O745" s="21">
        <f t="shared" si="62"/>
        <v>46534</v>
      </c>
    </row>
    <row r="746" spans="1:15" ht="20.149999999999999" hidden="1" customHeight="1" x14ac:dyDescent="0.25">
      <c r="A746" s="22">
        <v>46210</v>
      </c>
      <c r="B746" s="22">
        <v>46210</v>
      </c>
      <c r="C746" s="23" t="s">
        <v>1259</v>
      </c>
      <c r="D746" s="23">
        <v>7</v>
      </c>
      <c r="E746" s="23">
        <f t="shared" ref="E746:E806" si="63">D746*195</f>
        <v>1365</v>
      </c>
      <c r="F746" s="38" t="s">
        <v>27</v>
      </c>
      <c r="G746" s="38" t="s">
        <v>1520</v>
      </c>
      <c r="H746" s="25">
        <f>H745-E746</f>
        <v>17940</v>
      </c>
      <c r="I746" s="25"/>
      <c r="J746" s="25"/>
      <c r="K746" s="23">
        <v>260706002</v>
      </c>
      <c r="L746" s="23"/>
      <c r="M746" s="23">
        <f>M744-D746</f>
        <v>14</v>
      </c>
      <c r="N746" s="19">
        <v>46171</v>
      </c>
      <c r="O746" s="21">
        <f t="shared" si="62"/>
        <v>46535</v>
      </c>
    </row>
    <row r="747" spans="1:15" ht="20.149999999999999" hidden="1" customHeight="1" x14ac:dyDescent="0.25">
      <c r="A747" s="40">
        <v>46211</v>
      </c>
      <c r="B747" s="40">
        <v>46212</v>
      </c>
      <c r="C747" s="41" t="s">
        <v>1528</v>
      </c>
      <c r="D747" s="41">
        <v>14</v>
      </c>
      <c r="E747" s="41">
        <f t="shared" si="63"/>
        <v>2730</v>
      </c>
      <c r="F747" s="60" t="s">
        <v>307</v>
      </c>
      <c r="G747" s="60" t="s">
        <v>1530</v>
      </c>
      <c r="H747" s="42">
        <f>H723-E747</f>
        <v>26130</v>
      </c>
      <c r="I747" s="42"/>
      <c r="J747" s="42"/>
      <c r="K747" s="41">
        <v>260707005</v>
      </c>
      <c r="L747" s="41"/>
      <c r="M747" s="41">
        <f>M746-D747</f>
        <v>0</v>
      </c>
      <c r="N747" s="19">
        <v>46171</v>
      </c>
      <c r="O747" s="21">
        <f t="shared" si="62"/>
        <v>46535</v>
      </c>
    </row>
    <row r="748" spans="1:15" ht="20.149999999999999" hidden="1" customHeight="1" x14ac:dyDescent="0.25">
      <c r="A748" s="40">
        <v>46211</v>
      </c>
      <c r="B748" s="40">
        <v>46212</v>
      </c>
      <c r="C748" s="41" t="s">
        <v>1266</v>
      </c>
      <c r="D748" s="41">
        <v>18</v>
      </c>
      <c r="E748" s="41">
        <f t="shared" si="63"/>
        <v>3510</v>
      </c>
      <c r="F748" s="60" t="s">
        <v>307</v>
      </c>
      <c r="G748" s="60" t="s">
        <v>1525</v>
      </c>
      <c r="H748" s="42">
        <f>H747-E748</f>
        <v>22620</v>
      </c>
      <c r="I748" s="42"/>
      <c r="J748" s="42"/>
      <c r="K748" s="41">
        <v>260707005</v>
      </c>
      <c r="L748" s="41"/>
      <c r="M748" s="41">
        <f>M653-D748</f>
        <v>19</v>
      </c>
      <c r="N748" s="19">
        <v>46172</v>
      </c>
      <c r="O748" s="21">
        <f t="shared" si="62"/>
        <v>46536</v>
      </c>
    </row>
    <row r="749" spans="1:15" ht="20.149999999999999" hidden="1" customHeight="1" x14ac:dyDescent="0.25">
      <c r="A749" s="40">
        <v>46211</v>
      </c>
      <c r="B749" s="40">
        <v>46212</v>
      </c>
      <c r="C749" s="41" t="s">
        <v>1531</v>
      </c>
      <c r="D749" s="41">
        <v>8</v>
      </c>
      <c r="E749" s="41">
        <f t="shared" si="63"/>
        <v>1560</v>
      </c>
      <c r="F749" s="60" t="s">
        <v>307</v>
      </c>
      <c r="G749" s="60" t="s">
        <v>1533</v>
      </c>
      <c r="H749" s="42">
        <f>H748-E749</f>
        <v>21060</v>
      </c>
      <c r="I749" s="42"/>
      <c r="J749" s="42"/>
      <c r="K749" s="41" t="s">
        <v>1532</v>
      </c>
      <c r="L749" s="41"/>
      <c r="M749" s="41">
        <f>M654-D749</f>
        <v>30</v>
      </c>
      <c r="N749" s="19">
        <v>46173</v>
      </c>
      <c r="O749" s="21">
        <f t="shared" si="62"/>
        <v>46537</v>
      </c>
    </row>
    <row r="750" spans="1:15" ht="20.149999999999999" hidden="1" customHeight="1" x14ac:dyDescent="0.25">
      <c r="A750" s="33">
        <v>46212</v>
      </c>
      <c r="B750" s="33">
        <v>46212</v>
      </c>
      <c r="C750" s="34" t="s">
        <v>1266</v>
      </c>
      <c r="D750" s="34">
        <v>3</v>
      </c>
      <c r="E750" s="34">
        <f t="shared" si="63"/>
        <v>585</v>
      </c>
      <c r="F750" s="39" t="s">
        <v>27</v>
      </c>
      <c r="G750" s="39" t="s">
        <v>1542</v>
      </c>
      <c r="H750" s="35">
        <f>H746-E750</f>
        <v>17355</v>
      </c>
      <c r="I750" s="35"/>
      <c r="J750" s="35"/>
      <c r="K750" s="34">
        <v>260708003</v>
      </c>
      <c r="L750" s="34"/>
      <c r="M750" s="34">
        <f>M748-D750</f>
        <v>16</v>
      </c>
      <c r="N750" s="19">
        <v>46172</v>
      </c>
      <c r="O750" s="21">
        <f t="shared" si="62"/>
        <v>46536</v>
      </c>
    </row>
    <row r="751" spans="1:15" ht="20.149999999999999" hidden="1" customHeight="1" x14ac:dyDescent="0.25">
      <c r="A751" s="33">
        <v>46212</v>
      </c>
      <c r="B751" s="33">
        <v>46212</v>
      </c>
      <c r="C751" s="34" t="s">
        <v>1267</v>
      </c>
      <c r="D751" s="34">
        <v>13</v>
      </c>
      <c r="E751" s="34">
        <f t="shared" si="63"/>
        <v>2535</v>
      </c>
      <c r="F751" s="39" t="s">
        <v>27</v>
      </c>
      <c r="G751" s="39" t="s">
        <v>1454</v>
      </c>
      <c r="H751" s="35">
        <f>H750-E751</f>
        <v>14820</v>
      </c>
      <c r="I751" s="35"/>
      <c r="J751" s="35"/>
      <c r="K751" s="34">
        <v>260708003</v>
      </c>
      <c r="L751" s="34"/>
      <c r="M751" s="34">
        <f>M749-D751</f>
        <v>17</v>
      </c>
      <c r="N751" s="19">
        <v>46173</v>
      </c>
      <c r="O751" s="21">
        <f t="shared" si="62"/>
        <v>46537</v>
      </c>
    </row>
    <row r="752" spans="1:15" ht="20.149999999999999" hidden="1" customHeight="1" x14ac:dyDescent="0.25">
      <c r="A752" s="29">
        <v>46212</v>
      </c>
      <c r="B752" s="29">
        <v>46213</v>
      </c>
      <c r="C752" s="30" t="s">
        <v>1534</v>
      </c>
      <c r="D752" s="30">
        <v>8</v>
      </c>
      <c r="E752" s="30">
        <f t="shared" si="63"/>
        <v>1560</v>
      </c>
      <c r="F752" s="37" t="s">
        <v>267</v>
      </c>
      <c r="G752" s="37" t="s">
        <v>1543</v>
      </c>
      <c r="H752" s="32">
        <f>H736-E752</f>
        <v>20280</v>
      </c>
      <c r="I752" s="32"/>
      <c r="J752" s="32"/>
      <c r="K752" s="30">
        <v>260708004</v>
      </c>
      <c r="L752" s="30"/>
      <c r="M752" s="30">
        <f>M751-D752</f>
        <v>9</v>
      </c>
      <c r="N752" s="19">
        <v>46173</v>
      </c>
      <c r="O752" s="21">
        <f t="shared" si="62"/>
        <v>46537</v>
      </c>
    </row>
    <row r="753" spans="1:15" ht="20.149999999999999" hidden="1" customHeight="1" x14ac:dyDescent="0.3">
      <c r="A753" s="26">
        <v>46212</v>
      </c>
      <c r="B753" s="26">
        <v>46213</v>
      </c>
      <c r="C753" s="27" t="s">
        <v>1267</v>
      </c>
      <c r="D753" s="27">
        <v>1</v>
      </c>
      <c r="E753" s="27">
        <f t="shared" si="63"/>
        <v>195</v>
      </c>
      <c r="F753" s="36" t="s">
        <v>274</v>
      </c>
      <c r="G753" s="36" t="s">
        <v>1544</v>
      </c>
      <c r="H753" s="28">
        <f>H740-E753</f>
        <v>27885</v>
      </c>
      <c r="I753" s="28"/>
      <c r="J753" s="28"/>
      <c r="K753" s="27">
        <v>260708005</v>
      </c>
      <c r="L753" s="27"/>
      <c r="M753" s="27">
        <f>M752-D753</f>
        <v>8</v>
      </c>
      <c r="N753" s="19">
        <v>46173</v>
      </c>
      <c r="O753" s="21">
        <f t="shared" si="62"/>
        <v>46537</v>
      </c>
    </row>
    <row r="754" spans="1:15" ht="20.149999999999999" hidden="1" customHeight="1" x14ac:dyDescent="0.3">
      <c r="A754" s="26">
        <v>46212</v>
      </c>
      <c r="B754" s="26">
        <v>46213</v>
      </c>
      <c r="C754" s="27" t="s">
        <v>1535</v>
      </c>
      <c r="D754" s="27">
        <v>11</v>
      </c>
      <c r="E754" s="27">
        <f t="shared" si="63"/>
        <v>2145</v>
      </c>
      <c r="F754" s="36" t="s">
        <v>274</v>
      </c>
      <c r="G754" s="36" t="s">
        <v>1469</v>
      </c>
      <c r="H754" s="28">
        <f>H753-E754</f>
        <v>25740</v>
      </c>
      <c r="I754" s="28"/>
      <c r="J754" s="28"/>
      <c r="K754" s="27">
        <v>260708005</v>
      </c>
      <c r="L754" s="27"/>
      <c r="M754" s="27">
        <f>M672-D754</f>
        <v>10</v>
      </c>
      <c r="N754" s="19">
        <v>46175</v>
      </c>
      <c r="O754" s="21">
        <f t="shared" si="62"/>
        <v>46539</v>
      </c>
    </row>
    <row r="755" spans="1:15" ht="20.149999999999999" hidden="1" customHeight="1" x14ac:dyDescent="0.2">
      <c r="A755" s="22">
        <v>46212</v>
      </c>
      <c r="B755" s="22">
        <v>46213</v>
      </c>
      <c r="C755" s="23" t="s">
        <v>1266</v>
      </c>
      <c r="D755" s="23">
        <v>4</v>
      </c>
      <c r="E755" s="23">
        <f t="shared" si="63"/>
        <v>780</v>
      </c>
      <c r="F755" s="38" t="s">
        <v>30</v>
      </c>
      <c r="G755" s="38" t="s">
        <v>1545</v>
      </c>
      <c r="H755" s="25">
        <f>H741-E755</f>
        <v>0</v>
      </c>
      <c r="I755" s="25"/>
      <c r="J755" s="25"/>
      <c r="K755" s="23">
        <v>260708006</v>
      </c>
      <c r="L755" s="23"/>
      <c r="M755" s="23">
        <f>M750-D755</f>
        <v>12</v>
      </c>
      <c r="N755" s="19">
        <v>46172</v>
      </c>
      <c r="O755" s="21">
        <f t="shared" si="62"/>
        <v>46536</v>
      </c>
    </row>
    <row r="756" spans="1:15" ht="20.149999999999999" hidden="1" customHeight="1" x14ac:dyDescent="0.2">
      <c r="A756" s="22">
        <v>46212</v>
      </c>
      <c r="B756" s="22">
        <v>46213</v>
      </c>
      <c r="C756" s="23" t="s">
        <v>1266</v>
      </c>
      <c r="D756" s="23">
        <v>4</v>
      </c>
      <c r="E756" s="23">
        <f t="shared" si="63"/>
        <v>780</v>
      </c>
      <c r="F756" s="38" t="s">
        <v>30</v>
      </c>
      <c r="G756" s="148" t="s">
        <v>1549</v>
      </c>
      <c r="H756" s="25">
        <f>29640-E756</f>
        <v>28860</v>
      </c>
      <c r="I756" s="25"/>
      <c r="J756" s="25"/>
      <c r="K756" s="23" t="s">
        <v>1541</v>
      </c>
      <c r="L756" s="23"/>
      <c r="M756" s="23">
        <f>M755-D756</f>
        <v>8</v>
      </c>
      <c r="N756" s="19">
        <v>46172</v>
      </c>
      <c r="O756" s="21">
        <f t="shared" si="62"/>
        <v>46536</v>
      </c>
    </row>
    <row r="757" spans="1:15" ht="20.149999999999999" hidden="1" customHeight="1" x14ac:dyDescent="0.2">
      <c r="A757" s="33">
        <v>46212</v>
      </c>
      <c r="B757" s="33">
        <v>46213</v>
      </c>
      <c r="C757" s="34" t="s">
        <v>1536</v>
      </c>
      <c r="D757" s="34">
        <v>8</v>
      </c>
      <c r="E757" s="34">
        <f t="shared" si="63"/>
        <v>1560</v>
      </c>
      <c r="F757" s="34" t="s">
        <v>31</v>
      </c>
      <c r="G757" s="39" t="s">
        <v>1550</v>
      </c>
      <c r="H757" s="35">
        <f>H742-E757</f>
        <v>23340</v>
      </c>
      <c r="I757" s="35"/>
      <c r="J757" s="35"/>
      <c r="K757" s="34">
        <v>260708007</v>
      </c>
      <c r="L757" s="34"/>
      <c r="M757" s="34">
        <f>M753-D757</f>
        <v>0</v>
      </c>
      <c r="N757" s="19">
        <v>46173</v>
      </c>
      <c r="O757" s="21">
        <f t="shared" si="62"/>
        <v>46537</v>
      </c>
    </row>
    <row r="758" spans="1:15" ht="20.149999999999999" hidden="1" customHeight="1" x14ac:dyDescent="0.2">
      <c r="A758" s="40">
        <v>46212</v>
      </c>
      <c r="B758" s="40">
        <v>46213</v>
      </c>
      <c r="C758" s="41" t="s">
        <v>1537</v>
      </c>
      <c r="D758" s="41">
        <v>8</v>
      </c>
      <c r="E758" s="41">
        <f t="shared" si="63"/>
        <v>1560</v>
      </c>
      <c r="F758" s="146" t="s">
        <v>444</v>
      </c>
      <c r="G758" s="60" t="s">
        <v>1546</v>
      </c>
      <c r="H758" s="42">
        <f>H743-E758</f>
        <v>164900</v>
      </c>
      <c r="I758" s="42"/>
      <c r="J758" s="42"/>
      <c r="K758" s="41">
        <v>260708008</v>
      </c>
      <c r="L758" s="41"/>
      <c r="M758" s="41">
        <f>M756-D758</f>
        <v>0</v>
      </c>
      <c r="N758" s="19">
        <v>46172</v>
      </c>
      <c r="O758" s="21">
        <f t="shared" si="62"/>
        <v>46536</v>
      </c>
    </row>
    <row r="759" spans="1:15" ht="20.149999999999999" hidden="1" customHeight="1" x14ac:dyDescent="0.25">
      <c r="A759" s="26">
        <v>46216</v>
      </c>
      <c r="B759" s="26">
        <v>46217</v>
      </c>
      <c r="C759" s="27" t="s">
        <v>1556</v>
      </c>
      <c r="D759" s="27">
        <v>10</v>
      </c>
      <c r="E759" s="27">
        <f t="shared" si="63"/>
        <v>1950</v>
      </c>
      <c r="F759" s="36" t="s">
        <v>267</v>
      </c>
      <c r="G759" s="36" t="s">
        <v>1408</v>
      </c>
      <c r="H759" s="28">
        <f>H752-E759</f>
        <v>18330</v>
      </c>
      <c r="I759" s="28"/>
      <c r="J759" s="28"/>
      <c r="K759" s="27">
        <v>260710003</v>
      </c>
      <c r="L759" s="27"/>
      <c r="M759" s="27">
        <f>M754-D759</f>
        <v>0</v>
      </c>
      <c r="N759" s="19">
        <v>46175</v>
      </c>
      <c r="O759" s="21">
        <f t="shared" si="62"/>
        <v>46539</v>
      </c>
    </row>
    <row r="760" spans="1:15" ht="20.149999999999999" hidden="1" customHeight="1" x14ac:dyDescent="0.25">
      <c r="A760" s="26">
        <v>46216</v>
      </c>
      <c r="B760" s="26">
        <v>46217</v>
      </c>
      <c r="C760" s="27" t="s">
        <v>1557</v>
      </c>
      <c r="D760" s="27">
        <v>2</v>
      </c>
      <c r="E760" s="27">
        <f t="shared" si="63"/>
        <v>390</v>
      </c>
      <c r="F760" s="36" t="s">
        <v>267</v>
      </c>
      <c r="G760" s="36" t="s">
        <v>1555</v>
      </c>
      <c r="H760" s="28">
        <f>H759-E760</f>
        <v>17940</v>
      </c>
      <c r="I760" s="28"/>
      <c r="J760" s="28"/>
      <c r="K760" s="27">
        <v>260710003</v>
      </c>
      <c r="L760" s="27"/>
      <c r="M760" s="27">
        <f>M673-D760</f>
        <v>15</v>
      </c>
      <c r="N760" s="19">
        <v>46176</v>
      </c>
      <c r="O760" s="21">
        <f t="shared" si="62"/>
        <v>46540</v>
      </c>
    </row>
    <row r="761" spans="1:15" ht="20.149999999999999" hidden="1" customHeight="1" x14ac:dyDescent="0.3">
      <c r="A761" s="22">
        <v>46216</v>
      </c>
      <c r="B761" s="22">
        <v>46217</v>
      </c>
      <c r="C761" s="23" t="s">
        <v>1558</v>
      </c>
      <c r="D761" s="23">
        <v>3</v>
      </c>
      <c r="E761" s="23">
        <f t="shared" si="63"/>
        <v>585</v>
      </c>
      <c r="F761" s="38" t="s">
        <v>274</v>
      </c>
      <c r="G761" s="38" t="s">
        <v>1469</v>
      </c>
      <c r="H761" s="25">
        <f>H754-E761</f>
        <v>25155</v>
      </c>
      <c r="I761" s="25"/>
      <c r="J761" s="25"/>
      <c r="K761" s="23">
        <v>260710004</v>
      </c>
      <c r="L761" s="23"/>
      <c r="M761" s="23">
        <f>M760-D761</f>
        <v>12</v>
      </c>
      <c r="N761" s="19">
        <v>46176</v>
      </c>
      <c r="O761" s="21">
        <f t="shared" si="62"/>
        <v>46540</v>
      </c>
    </row>
    <row r="762" spans="1:15" ht="20.149999999999999" hidden="1" customHeight="1" x14ac:dyDescent="0.3">
      <c r="A762" s="22">
        <v>46216</v>
      </c>
      <c r="B762" s="22">
        <v>46217</v>
      </c>
      <c r="C762" s="23" t="s">
        <v>1559</v>
      </c>
      <c r="D762" s="23">
        <v>9</v>
      </c>
      <c r="E762" s="23">
        <f t="shared" si="63"/>
        <v>1755</v>
      </c>
      <c r="F762" s="38" t="s">
        <v>274</v>
      </c>
      <c r="G762" s="38" t="s">
        <v>1469</v>
      </c>
      <c r="H762" s="25">
        <f>H761-E762</f>
        <v>23400</v>
      </c>
      <c r="I762" s="25"/>
      <c r="J762" s="25"/>
      <c r="K762" s="23" t="s">
        <v>1568</v>
      </c>
      <c r="L762" s="23"/>
      <c r="M762" s="23">
        <f>M674-D762</f>
        <v>13</v>
      </c>
      <c r="N762" s="19">
        <v>46177</v>
      </c>
      <c r="O762" s="21">
        <f t="shared" si="62"/>
        <v>46541</v>
      </c>
    </row>
    <row r="763" spans="1:15" ht="20.149999999999999" hidden="1" customHeight="1" x14ac:dyDescent="0.2">
      <c r="A763" s="29">
        <v>46216</v>
      </c>
      <c r="B763" s="29">
        <v>46217</v>
      </c>
      <c r="C763" s="30" t="s">
        <v>1560</v>
      </c>
      <c r="D763" s="30">
        <v>12</v>
      </c>
      <c r="E763" s="30">
        <f t="shared" si="63"/>
        <v>2340</v>
      </c>
      <c r="F763" s="37" t="s">
        <v>30</v>
      </c>
      <c r="G763" s="37" t="s">
        <v>1563</v>
      </c>
      <c r="H763" s="32">
        <f>H756-E763</f>
        <v>26520</v>
      </c>
      <c r="I763" s="32"/>
      <c r="J763" s="32"/>
      <c r="K763" s="30">
        <v>260710005</v>
      </c>
      <c r="L763" s="30"/>
      <c r="M763" s="30">
        <f>M761-D763</f>
        <v>0</v>
      </c>
      <c r="N763" s="19">
        <v>46176</v>
      </c>
      <c r="O763" s="21">
        <f t="shared" si="62"/>
        <v>46540</v>
      </c>
    </row>
    <row r="764" spans="1:15" ht="20.149999999999999" hidden="1" customHeight="1" x14ac:dyDescent="0.2">
      <c r="A764" s="40">
        <v>46216</v>
      </c>
      <c r="B764" s="40">
        <v>46217</v>
      </c>
      <c r="C764" s="41" t="s">
        <v>1323</v>
      </c>
      <c r="D764" s="41">
        <v>12</v>
      </c>
      <c r="E764" s="41">
        <f t="shared" si="63"/>
        <v>2340</v>
      </c>
      <c r="F764" s="41" t="s">
        <v>31</v>
      </c>
      <c r="G764" s="60" t="s">
        <v>1564</v>
      </c>
      <c r="H764" s="42">
        <f>H757-E764</f>
        <v>21000</v>
      </c>
      <c r="I764" s="42"/>
      <c r="J764" s="42"/>
      <c r="K764" s="41">
        <v>260710006</v>
      </c>
      <c r="L764" s="41"/>
      <c r="M764" s="41">
        <f>M762-D764</f>
        <v>1</v>
      </c>
      <c r="N764" s="19">
        <v>46177</v>
      </c>
      <c r="O764" s="21">
        <f t="shared" si="62"/>
        <v>46541</v>
      </c>
    </row>
    <row r="765" spans="1:15" ht="20.149999999999999" hidden="1" customHeight="1" x14ac:dyDescent="0.2">
      <c r="A765" s="33">
        <v>46216</v>
      </c>
      <c r="B765" s="33">
        <v>46217</v>
      </c>
      <c r="C765" s="34" t="s">
        <v>1323</v>
      </c>
      <c r="D765" s="34">
        <v>1</v>
      </c>
      <c r="E765" s="34">
        <f t="shared" si="63"/>
        <v>195</v>
      </c>
      <c r="F765" s="145" t="s">
        <v>444</v>
      </c>
      <c r="G765" s="39" t="s">
        <v>656</v>
      </c>
      <c r="H765" s="35">
        <f>H758-E765</f>
        <v>164705</v>
      </c>
      <c r="I765" s="35"/>
      <c r="J765" s="35"/>
      <c r="K765" s="34">
        <v>260710007</v>
      </c>
      <c r="L765" s="34"/>
      <c r="M765" s="34">
        <f>M764-D765</f>
        <v>0</v>
      </c>
      <c r="N765" s="19">
        <v>46177</v>
      </c>
      <c r="O765" s="21">
        <f t="shared" si="62"/>
        <v>46541</v>
      </c>
    </row>
    <row r="766" spans="1:15" ht="20.149999999999999" hidden="1" customHeight="1" x14ac:dyDescent="0.2">
      <c r="A766" s="33">
        <v>46216</v>
      </c>
      <c r="B766" s="33">
        <v>46217</v>
      </c>
      <c r="C766" s="34" t="s">
        <v>1324</v>
      </c>
      <c r="D766" s="34">
        <v>11</v>
      </c>
      <c r="E766" s="34">
        <f t="shared" si="63"/>
        <v>2145</v>
      </c>
      <c r="F766" s="145" t="s">
        <v>444</v>
      </c>
      <c r="G766" s="39" t="s">
        <v>656</v>
      </c>
      <c r="H766" s="35">
        <f>H765-E766</f>
        <v>162560</v>
      </c>
      <c r="I766" s="35"/>
      <c r="J766" s="35"/>
      <c r="K766" s="34">
        <v>260710007</v>
      </c>
      <c r="L766" s="34"/>
      <c r="M766" s="34">
        <f>M675-D766</f>
        <v>6</v>
      </c>
      <c r="N766" s="19">
        <v>46178</v>
      </c>
      <c r="O766" s="21">
        <f t="shared" si="62"/>
        <v>46542</v>
      </c>
    </row>
    <row r="767" spans="1:15" ht="20.149999999999999" hidden="1" customHeight="1" x14ac:dyDescent="0.2">
      <c r="A767" s="22">
        <v>46217</v>
      </c>
      <c r="B767" s="22">
        <v>46217</v>
      </c>
      <c r="C767" s="23" t="s">
        <v>1324</v>
      </c>
      <c r="D767" s="23">
        <v>4</v>
      </c>
      <c r="E767" s="23">
        <f t="shared" si="63"/>
        <v>780</v>
      </c>
      <c r="F767" s="23" t="s">
        <v>1569</v>
      </c>
      <c r="G767" s="23" t="s">
        <v>1574</v>
      </c>
      <c r="H767" s="25">
        <f>H744-E767</f>
        <v>54760</v>
      </c>
      <c r="I767" s="25"/>
      <c r="J767" s="25"/>
      <c r="K767" s="23">
        <v>260713003</v>
      </c>
      <c r="L767" s="23"/>
      <c r="M767" s="23">
        <f>M766-D767</f>
        <v>2</v>
      </c>
      <c r="N767" s="19">
        <v>46178</v>
      </c>
      <c r="O767" s="21">
        <f t="shared" si="62"/>
        <v>46542</v>
      </c>
    </row>
    <row r="768" spans="1:15" ht="20.149999999999999" hidden="1" customHeight="1" x14ac:dyDescent="0.25">
      <c r="A768" s="26">
        <v>46217</v>
      </c>
      <c r="B768" s="26">
        <v>46217</v>
      </c>
      <c r="C768" s="27" t="s">
        <v>1571</v>
      </c>
      <c r="D768" s="27">
        <v>2</v>
      </c>
      <c r="E768" s="27">
        <f t="shared" si="63"/>
        <v>390</v>
      </c>
      <c r="F768" s="36" t="s">
        <v>27</v>
      </c>
      <c r="G768" s="36" t="s">
        <v>1575</v>
      </c>
      <c r="H768" s="28">
        <f>H751-E768</f>
        <v>14430</v>
      </c>
      <c r="I768" s="28"/>
      <c r="J768" s="28"/>
      <c r="K768" s="27">
        <v>260713004</v>
      </c>
      <c r="L768" s="27"/>
      <c r="M768" s="27">
        <f>M767-D768</f>
        <v>0</v>
      </c>
      <c r="N768" s="19">
        <v>46178</v>
      </c>
      <c r="O768" s="21">
        <f t="shared" si="62"/>
        <v>46542</v>
      </c>
    </row>
    <row r="769" spans="1:15" ht="20.149999999999999" hidden="1" customHeight="1" x14ac:dyDescent="0.25">
      <c r="A769" s="26">
        <v>46217</v>
      </c>
      <c r="B769" s="26">
        <v>46217</v>
      </c>
      <c r="C769" s="27" t="s">
        <v>1572</v>
      </c>
      <c r="D769" s="27">
        <v>6</v>
      </c>
      <c r="E769" s="27">
        <f t="shared" si="63"/>
        <v>1170</v>
      </c>
      <c r="F769" s="36" t="s">
        <v>27</v>
      </c>
      <c r="G769" s="36" t="s">
        <v>1454</v>
      </c>
      <c r="H769" s="28">
        <f>H768-E769</f>
        <v>13260</v>
      </c>
      <c r="I769" s="28"/>
      <c r="J769" s="28"/>
      <c r="K769" s="27">
        <v>260713004</v>
      </c>
      <c r="L769" s="27"/>
      <c r="M769" s="27">
        <f>M676-D769</f>
        <v>31</v>
      </c>
      <c r="N769" s="19">
        <v>46179</v>
      </c>
      <c r="O769" s="21">
        <f t="shared" si="62"/>
        <v>46543</v>
      </c>
    </row>
    <row r="770" spans="1:15" ht="20.149999999999999" hidden="1" customHeight="1" x14ac:dyDescent="0.25">
      <c r="A770" s="33">
        <v>46218</v>
      </c>
      <c r="B770" s="33">
        <v>46219</v>
      </c>
      <c r="C770" s="34" t="s">
        <v>1587</v>
      </c>
      <c r="D770" s="34">
        <v>23</v>
      </c>
      <c r="E770" s="34">
        <f t="shared" si="63"/>
        <v>4485</v>
      </c>
      <c r="F770" s="39" t="s">
        <v>307</v>
      </c>
      <c r="G770" s="39" t="s">
        <v>1388</v>
      </c>
      <c r="H770" s="35">
        <f>H749-E770</f>
        <v>16575</v>
      </c>
      <c r="I770" s="35"/>
      <c r="J770" s="35"/>
      <c r="K770" s="34">
        <v>260714002</v>
      </c>
      <c r="L770" s="34"/>
      <c r="M770" s="34">
        <f>M769-D770</f>
        <v>8</v>
      </c>
      <c r="N770" s="19">
        <v>46179</v>
      </c>
      <c r="O770" s="21">
        <f t="shared" si="62"/>
        <v>46543</v>
      </c>
    </row>
    <row r="771" spans="1:15" ht="20.149999999999999" hidden="1" customHeight="1" x14ac:dyDescent="0.25">
      <c r="A771" s="33">
        <v>46218</v>
      </c>
      <c r="B771" s="33">
        <v>46219</v>
      </c>
      <c r="C771" s="34" t="s">
        <v>1588</v>
      </c>
      <c r="D771" s="34">
        <v>9</v>
      </c>
      <c r="E771" s="34">
        <f t="shared" si="63"/>
        <v>1755</v>
      </c>
      <c r="F771" s="39" t="s">
        <v>307</v>
      </c>
      <c r="G771" s="39" t="s">
        <v>1581</v>
      </c>
      <c r="H771" s="35">
        <f>H770-E771</f>
        <v>14820</v>
      </c>
      <c r="I771" s="35"/>
      <c r="J771" s="35"/>
      <c r="K771" s="34">
        <v>260714002</v>
      </c>
      <c r="L771" s="34"/>
      <c r="M771" s="34">
        <f>M684-D771</f>
        <v>28</v>
      </c>
      <c r="N771" s="19">
        <v>46180</v>
      </c>
      <c r="O771" s="21">
        <f t="shared" si="62"/>
        <v>46544</v>
      </c>
    </row>
    <row r="772" spans="1:15" ht="20.149999999999999" hidden="1" customHeight="1" x14ac:dyDescent="0.25">
      <c r="A772" s="40">
        <v>46219</v>
      </c>
      <c r="B772" s="40">
        <v>46220</v>
      </c>
      <c r="C772" s="41" t="s">
        <v>1599</v>
      </c>
      <c r="D772" s="41">
        <v>4</v>
      </c>
      <c r="E772" s="41">
        <f t="shared" si="63"/>
        <v>780</v>
      </c>
      <c r="F772" s="60" t="s">
        <v>267</v>
      </c>
      <c r="G772" s="60" t="s">
        <v>1607</v>
      </c>
      <c r="H772" s="42">
        <f>H760-E772</f>
        <v>17160</v>
      </c>
      <c r="I772" s="121" t="s">
        <v>22</v>
      </c>
      <c r="J772" s="42"/>
      <c r="K772" s="41">
        <v>260715002</v>
      </c>
      <c r="L772" s="41">
        <v>42</v>
      </c>
      <c r="M772" s="41">
        <f t="shared" ref="M772:M777" si="64">L772-D772</f>
        <v>38</v>
      </c>
      <c r="N772" s="19">
        <v>46201</v>
      </c>
      <c r="O772" s="21">
        <f t="shared" si="62"/>
        <v>46565</v>
      </c>
    </row>
    <row r="773" spans="1:15" ht="20.149999999999999" hidden="1" customHeight="1" x14ac:dyDescent="0.25">
      <c r="A773" s="40">
        <v>46219</v>
      </c>
      <c r="B773" s="40">
        <v>46220</v>
      </c>
      <c r="C773" s="41" t="s">
        <v>1592</v>
      </c>
      <c r="D773" s="41">
        <v>4</v>
      </c>
      <c r="E773" s="41">
        <f t="shared" si="63"/>
        <v>780</v>
      </c>
      <c r="F773" s="60" t="s">
        <v>267</v>
      </c>
      <c r="G773" s="60" t="s">
        <v>1408</v>
      </c>
      <c r="H773" s="42">
        <f>H772-E773</f>
        <v>16380</v>
      </c>
      <c r="I773" s="121" t="s">
        <v>22</v>
      </c>
      <c r="J773" s="42"/>
      <c r="K773" s="41">
        <v>260715002</v>
      </c>
      <c r="L773" s="41">
        <v>41</v>
      </c>
      <c r="M773" s="41">
        <f t="shared" si="64"/>
        <v>37</v>
      </c>
      <c r="N773" s="19">
        <v>46203</v>
      </c>
      <c r="O773" s="21">
        <f t="shared" si="62"/>
        <v>46567</v>
      </c>
    </row>
    <row r="774" spans="1:15" ht="20.149999999999999" hidden="1" customHeight="1" x14ac:dyDescent="0.25">
      <c r="A774" s="40">
        <v>46219</v>
      </c>
      <c r="B774" s="40">
        <v>46220</v>
      </c>
      <c r="C774" s="41" t="s">
        <v>1593</v>
      </c>
      <c r="D774" s="41">
        <v>4</v>
      </c>
      <c r="E774" s="41">
        <f t="shared" si="63"/>
        <v>780</v>
      </c>
      <c r="F774" s="60" t="s">
        <v>267</v>
      </c>
      <c r="G774" s="60" t="s">
        <v>1408</v>
      </c>
      <c r="H774" s="42">
        <f>H773-E774</f>
        <v>15600</v>
      </c>
      <c r="I774" s="121" t="s">
        <v>22</v>
      </c>
      <c r="J774" s="42"/>
      <c r="K774" s="41">
        <v>260715002</v>
      </c>
      <c r="L774" s="41">
        <v>41</v>
      </c>
      <c r="M774" s="41">
        <f t="shared" si="64"/>
        <v>37</v>
      </c>
      <c r="N774" s="19">
        <v>46204</v>
      </c>
      <c r="O774" s="21">
        <f t="shared" si="62"/>
        <v>46568</v>
      </c>
    </row>
    <row r="775" spans="1:15" ht="20.149999999999999" hidden="1" customHeight="1" x14ac:dyDescent="0.3">
      <c r="A775" s="29">
        <v>46219</v>
      </c>
      <c r="B775" s="29">
        <v>46220</v>
      </c>
      <c r="C775" s="30" t="s">
        <v>1594</v>
      </c>
      <c r="D775" s="30">
        <v>4</v>
      </c>
      <c r="E775" s="30">
        <f t="shared" si="63"/>
        <v>780</v>
      </c>
      <c r="F775" s="37" t="s">
        <v>274</v>
      </c>
      <c r="G775" s="37" t="s">
        <v>1608</v>
      </c>
      <c r="H775" s="32">
        <f>H762-E775</f>
        <v>22620</v>
      </c>
      <c r="I775" s="70" t="s">
        <v>22</v>
      </c>
      <c r="J775" s="32"/>
      <c r="K775" s="30">
        <v>260715003</v>
      </c>
      <c r="L775" s="30">
        <v>42</v>
      </c>
      <c r="M775" s="30">
        <f t="shared" si="64"/>
        <v>38</v>
      </c>
      <c r="N775" s="19">
        <v>46205</v>
      </c>
      <c r="O775" s="21">
        <f t="shared" si="62"/>
        <v>46569</v>
      </c>
    </row>
    <row r="776" spans="1:15" ht="20.149999999999999" hidden="1" customHeight="1" x14ac:dyDescent="0.3">
      <c r="A776" s="29">
        <v>46219</v>
      </c>
      <c r="B776" s="29">
        <v>46220</v>
      </c>
      <c r="C776" s="30" t="s">
        <v>1600</v>
      </c>
      <c r="D776" s="30">
        <v>4</v>
      </c>
      <c r="E776" s="30">
        <f t="shared" si="63"/>
        <v>780</v>
      </c>
      <c r="F776" s="37" t="s">
        <v>274</v>
      </c>
      <c r="G776" s="37" t="s">
        <v>1469</v>
      </c>
      <c r="H776" s="32">
        <f>H775-E776</f>
        <v>21840</v>
      </c>
      <c r="I776" s="70" t="s">
        <v>22</v>
      </c>
      <c r="J776" s="32"/>
      <c r="K776" s="30">
        <v>260715003</v>
      </c>
      <c r="L776" s="30">
        <v>42</v>
      </c>
      <c r="M776" s="30">
        <f t="shared" si="64"/>
        <v>38</v>
      </c>
      <c r="N776" s="19">
        <v>46206</v>
      </c>
      <c r="O776" s="21">
        <f t="shared" si="62"/>
        <v>46570</v>
      </c>
    </row>
    <row r="777" spans="1:15" ht="20.149999999999999" hidden="1" customHeight="1" x14ac:dyDescent="0.3">
      <c r="A777" s="29">
        <v>46219</v>
      </c>
      <c r="B777" s="29">
        <v>46220</v>
      </c>
      <c r="C777" s="30" t="s">
        <v>1595</v>
      </c>
      <c r="D777" s="30">
        <v>4</v>
      </c>
      <c r="E777" s="30">
        <f t="shared" si="63"/>
        <v>780</v>
      </c>
      <c r="F777" s="37" t="s">
        <v>274</v>
      </c>
      <c r="G777" s="37" t="s">
        <v>1469</v>
      </c>
      <c r="H777" s="32">
        <f>H776-E777</f>
        <v>21060</v>
      </c>
      <c r="I777" s="70" t="s">
        <v>22</v>
      </c>
      <c r="J777" s="32"/>
      <c r="K777" s="30">
        <v>260715003</v>
      </c>
      <c r="L777" s="30">
        <v>42</v>
      </c>
      <c r="M777" s="30">
        <f t="shared" si="64"/>
        <v>38</v>
      </c>
      <c r="N777" s="19">
        <v>46207</v>
      </c>
      <c r="O777" s="21">
        <f t="shared" si="62"/>
        <v>46571</v>
      </c>
    </row>
    <row r="778" spans="1:15" ht="20.149999999999999" hidden="1" customHeight="1" x14ac:dyDescent="0.2">
      <c r="A778" s="26">
        <v>46219</v>
      </c>
      <c r="B778" s="26">
        <v>46220</v>
      </c>
      <c r="C778" s="27" t="s">
        <v>1601</v>
      </c>
      <c r="D778" s="27">
        <v>8</v>
      </c>
      <c r="E778" s="27">
        <f t="shared" si="63"/>
        <v>1560</v>
      </c>
      <c r="F778" s="36" t="s">
        <v>30</v>
      </c>
      <c r="G778" s="36" t="s">
        <v>1549</v>
      </c>
      <c r="H778" s="28">
        <f>H763-E778</f>
        <v>24960</v>
      </c>
      <c r="I778" s="28"/>
      <c r="J778" s="28"/>
      <c r="K778" s="27">
        <v>260715004</v>
      </c>
      <c r="L778" s="27"/>
      <c r="M778" s="27">
        <f>M770-D778</f>
        <v>0</v>
      </c>
      <c r="N778" s="19">
        <v>46179</v>
      </c>
      <c r="O778" s="21">
        <f t="shared" si="62"/>
        <v>46543</v>
      </c>
    </row>
    <row r="779" spans="1:15" ht="20.149999999999999" hidden="1" customHeight="1" x14ac:dyDescent="0.2">
      <c r="A779" s="33">
        <v>46219</v>
      </c>
      <c r="B779" s="33">
        <v>46220</v>
      </c>
      <c r="C779" s="34" t="s">
        <v>1598</v>
      </c>
      <c r="D779" s="34">
        <v>8</v>
      </c>
      <c r="E779" s="34">
        <f t="shared" si="63"/>
        <v>1560</v>
      </c>
      <c r="F779" s="34" t="s">
        <v>31</v>
      </c>
      <c r="G779" s="39" t="s">
        <v>869</v>
      </c>
      <c r="H779" s="35">
        <f>H764-E779</f>
        <v>19440</v>
      </c>
      <c r="I779" s="35"/>
      <c r="J779" s="35"/>
      <c r="K779" s="34">
        <v>260715005</v>
      </c>
      <c r="L779" s="34"/>
      <c r="M779" s="34">
        <f>M771-D779</f>
        <v>20</v>
      </c>
      <c r="N779" s="19">
        <v>46180</v>
      </c>
      <c r="O779" s="21">
        <f t="shared" si="62"/>
        <v>46544</v>
      </c>
    </row>
    <row r="780" spans="1:15" ht="20.149999999999999" hidden="1" customHeight="1" x14ac:dyDescent="0.2">
      <c r="A780" s="22">
        <v>46219</v>
      </c>
      <c r="B780" s="22">
        <v>46220</v>
      </c>
      <c r="C780" s="23" t="s">
        <v>1602</v>
      </c>
      <c r="D780" s="23">
        <v>8</v>
      </c>
      <c r="E780" s="23">
        <f t="shared" si="63"/>
        <v>1560</v>
      </c>
      <c r="F780" s="148" t="s">
        <v>444</v>
      </c>
      <c r="G780" s="38" t="s">
        <v>656</v>
      </c>
      <c r="H780" s="25">
        <f>H766-E780</f>
        <v>161000</v>
      </c>
      <c r="I780" s="25"/>
      <c r="J780" s="25"/>
      <c r="K780" s="23">
        <v>260715006</v>
      </c>
      <c r="L780" s="23"/>
      <c r="M780" s="23">
        <f>M779-D780</f>
        <v>12</v>
      </c>
      <c r="N780" s="19">
        <v>46180</v>
      </c>
      <c r="O780" s="21">
        <f t="shared" si="62"/>
        <v>46544</v>
      </c>
    </row>
    <row r="781" spans="1:15" ht="20.149999999999999" hidden="1" customHeight="1" x14ac:dyDescent="0.2">
      <c r="A781" s="26">
        <v>46220</v>
      </c>
      <c r="B781" s="26">
        <v>46220</v>
      </c>
      <c r="C781" s="27" t="s">
        <v>1614</v>
      </c>
      <c r="D781" s="27">
        <v>4</v>
      </c>
      <c r="E781" s="27">
        <f t="shared" si="63"/>
        <v>780</v>
      </c>
      <c r="F781" s="27" t="s">
        <v>1569</v>
      </c>
      <c r="G781" s="27" t="s">
        <v>81</v>
      </c>
      <c r="H781" s="28">
        <f>H767-E781</f>
        <v>53980</v>
      </c>
      <c r="I781" s="28"/>
      <c r="J781" s="28"/>
      <c r="K781" s="27">
        <v>260716002</v>
      </c>
      <c r="L781" s="27"/>
      <c r="M781" s="27">
        <f>M780-D781</f>
        <v>8</v>
      </c>
      <c r="N781" s="19">
        <v>46180</v>
      </c>
      <c r="O781" s="21">
        <f t="shared" si="62"/>
        <v>46544</v>
      </c>
    </row>
    <row r="782" spans="1:15" ht="20.149999999999999" hidden="1" customHeight="1" x14ac:dyDescent="0.25">
      <c r="A782" s="40">
        <v>46220</v>
      </c>
      <c r="B782" s="40">
        <v>46220</v>
      </c>
      <c r="C782" s="41" t="s">
        <v>1617</v>
      </c>
      <c r="D782" s="41">
        <v>8</v>
      </c>
      <c r="E782" s="41">
        <f t="shared" si="63"/>
        <v>1560</v>
      </c>
      <c r="F782" s="60" t="s">
        <v>27</v>
      </c>
      <c r="G782" s="60" t="s">
        <v>1454</v>
      </c>
      <c r="H782" s="42">
        <f>H769-E782</f>
        <v>11700</v>
      </c>
      <c r="I782" s="42"/>
      <c r="J782" s="42"/>
      <c r="K782" s="41">
        <v>260716006</v>
      </c>
      <c r="L782" s="41"/>
      <c r="M782" s="41">
        <f>M781-D782</f>
        <v>0</v>
      </c>
      <c r="N782" s="19">
        <v>46180</v>
      </c>
      <c r="O782" s="21">
        <f t="shared" si="62"/>
        <v>46544</v>
      </c>
    </row>
    <row r="783" spans="1:15" ht="20.149999999999999" hidden="1" customHeight="1" x14ac:dyDescent="0.25">
      <c r="A783" s="29">
        <v>46223</v>
      </c>
      <c r="B783" s="29">
        <v>46224</v>
      </c>
      <c r="C783" s="30" t="s">
        <v>1636</v>
      </c>
      <c r="D783" s="30">
        <v>4</v>
      </c>
      <c r="E783" s="30">
        <f t="shared" si="63"/>
        <v>780</v>
      </c>
      <c r="F783" s="37" t="s">
        <v>267</v>
      </c>
      <c r="G783" s="37" t="s">
        <v>1635</v>
      </c>
      <c r="H783" s="32">
        <f>H774-E783</f>
        <v>14820</v>
      </c>
      <c r="I783" s="70" t="s">
        <v>22</v>
      </c>
      <c r="J783" s="32"/>
      <c r="K783" s="30">
        <v>260717005</v>
      </c>
      <c r="L783" s="30">
        <v>41</v>
      </c>
      <c r="M783" s="30">
        <f t="shared" ref="M783:M788" si="65">L783-D783</f>
        <v>37</v>
      </c>
      <c r="N783" s="19">
        <v>46208</v>
      </c>
      <c r="O783" s="21">
        <f t="shared" si="62"/>
        <v>46572</v>
      </c>
    </row>
    <row r="784" spans="1:15" ht="20.149999999999999" hidden="1" customHeight="1" x14ac:dyDescent="0.25">
      <c r="A784" s="29">
        <v>46223</v>
      </c>
      <c r="B784" s="29">
        <v>46224</v>
      </c>
      <c r="C784" s="30" t="s">
        <v>1628</v>
      </c>
      <c r="D784" s="30">
        <v>4</v>
      </c>
      <c r="E784" s="30">
        <f t="shared" si="63"/>
        <v>780</v>
      </c>
      <c r="F784" s="37" t="s">
        <v>267</v>
      </c>
      <c r="G784" s="37" t="s">
        <v>1625</v>
      </c>
      <c r="H784" s="32">
        <f>H783-E784</f>
        <v>14040</v>
      </c>
      <c r="I784" s="70" t="s">
        <v>22</v>
      </c>
      <c r="J784" s="32"/>
      <c r="K784" s="30">
        <v>260717005</v>
      </c>
      <c r="L784" s="30">
        <v>41</v>
      </c>
      <c r="M784" s="30">
        <f t="shared" si="65"/>
        <v>37</v>
      </c>
      <c r="N784" s="19">
        <v>46210</v>
      </c>
      <c r="O784" s="21">
        <f t="shared" si="62"/>
        <v>46574</v>
      </c>
    </row>
    <row r="785" spans="1:15" ht="20.149999999999999" hidden="1" customHeight="1" x14ac:dyDescent="0.25">
      <c r="A785" s="29">
        <v>46223</v>
      </c>
      <c r="B785" s="29">
        <v>46224</v>
      </c>
      <c r="C785" s="30" t="s">
        <v>1629</v>
      </c>
      <c r="D785" s="30">
        <v>4</v>
      </c>
      <c r="E785" s="30">
        <f t="shared" si="63"/>
        <v>780</v>
      </c>
      <c r="F785" s="37" t="s">
        <v>267</v>
      </c>
      <c r="G785" s="37" t="s">
        <v>1624</v>
      </c>
      <c r="H785" s="32">
        <f>H784-E785</f>
        <v>13260</v>
      </c>
      <c r="I785" s="70" t="s">
        <v>22</v>
      </c>
      <c r="J785" s="32"/>
      <c r="K785" s="30">
        <v>260717005</v>
      </c>
      <c r="L785" s="30">
        <v>41</v>
      </c>
      <c r="M785" s="30">
        <f t="shared" si="65"/>
        <v>37</v>
      </c>
      <c r="N785" s="19">
        <v>46211</v>
      </c>
      <c r="O785" s="21">
        <f t="shared" si="62"/>
        <v>46575</v>
      </c>
    </row>
    <row r="786" spans="1:15" ht="20.149999999999999" hidden="1" customHeight="1" x14ac:dyDescent="0.3">
      <c r="A786" s="22">
        <v>46223</v>
      </c>
      <c r="B786" s="22">
        <v>46224</v>
      </c>
      <c r="C786" s="23" t="s">
        <v>1630</v>
      </c>
      <c r="D786" s="23">
        <v>4</v>
      </c>
      <c r="E786" s="23">
        <f t="shared" si="63"/>
        <v>780</v>
      </c>
      <c r="F786" s="38" t="s">
        <v>274</v>
      </c>
      <c r="G786" s="38" t="s">
        <v>1469</v>
      </c>
      <c r="H786" s="25">
        <f>H777-E786</f>
        <v>20280</v>
      </c>
      <c r="I786" s="43" t="s">
        <v>22</v>
      </c>
      <c r="J786" s="25"/>
      <c r="K786" s="23">
        <v>260717006</v>
      </c>
      <c r="L786" s="23">
        <v>42</v>
      </c>
      <c r="M786" s="23">
        <f t="shared" si="65"/>
        <v>38</v>
      </c>
      <c r="N786" s="19">
        <v>46212</v>
      </c>
      <c r="O786" s="21">
        <f t="shared" si="62"/>
        <v>46576</v>
      </c>
    </row>
    <row r="787" spans="1:15" ht="20.149999999999999" hidden="1" customHeight="1" x14ac:dyDescent="0.3">
      <c r="A787" s="22">
        <v>46223</v>
      </c>
      <c r="B787" s="22">
        <v>46224</v>
      </c>
      <c r="C787" s="23" t="s">
        <v>1621</v>
      </c>
      <c r="D787" s="23">
        <v>4</v>
      </c>
      <c r="E787" s="23">
        <f t="shared" si="63"/>
        <v>780</v>
      </c>
      <c r="F787" s="38" t="s">
        <v>274</v>
      </c>
      <c r="G787" s="38" t="s">
        <v>1469</v>
      </c>
      <c r="H787" s="25">
        <f>H786-E787</f>
        <v>19500</v>
      </c>
      <c r="I787" s="43" t="s">
        <v>22</v>
      </c>
      <c r="J787" s="25"/>
      <c r="K787" s="23">
        <v>260717006</v>
      </c>
      <c r="L787" s="23">
        <v>41</v>
      </c>
      <c r="M787" s="23">
        <f t="shared" si="65"/>
        <v>37</v>
      </c>
      <c r="N787" s="19">
        <v>46213</v>
      </c>
      <c r="O787" s="21">
        <f t="shared" si="62"/>
        <v>46577</v>
      </c>
    </row>
    <row r="788" spans="1:15" ht="20.149999999999999" hidden="1" customHeight="1" x14ac:dyDescent="0.3">
      <c r="A788" s="22">
        <v>46223</v>
      </c>
      <c r="B788" s="22">
        <v>46224</v>
      </c>
      <c r="C788" s="23" t="s">
        <v>1631</v>
      </c>
      <c r="D788" s="23">
        <v>4</v>
      </c>
      <c r="E788" s="23">
        <f t="shared" si="63"/>
        <v>780</v>
      </c>
      <c r="F788" s="38" t="s">
        <v>274</v>
      </c>
      <c r="G788" s="38" t="s">
        <v>1638</v>
      </c>
      <c r="H788" s="25">
        <f>H787-E788</f>
        <v>18720</v>
      </c>
      <c r="I788" s="43" t="s">
        <v>22</v>
      </c>
      <c r="J788" s="25"/>
      <c r="K788" s="23" t="s">
        <v>1637</v>
      </c>
      <c r="L788" s="23">
        <v>42</v>
      </c>
      <c r="M788" s="23">
        <f t="shared" si="65"/>
        <v>38</v>
      </c>
      <c r="N788" s="19">
        <v>46214</v>
      </c>
      <c r="O788" s="21">
        <f t="shared" si="62"/>
        <v>46578</v>
      </c>
    </row>
    <row r="789" spans="1:15" ht="20.149999999999999" hidden="1" customHeight="1" x14ac:dyDescent="0.2">
      <c r="A789" s="33">
        <v>46223</v>
      </c>
      <c r="B789" s="33">
        <v>46224</v>
      </c>
      <c r="C789" s="34" t="s">
        <v>1632</v>
      </c>
      <c r="D789" s="34">
        <v>12</v>
      </c>
      <c r="E789" s="34">
        <f t="shared" si="63"/>
        <v>2340</v>
      </c>
      <c r="F789" s="145" t="s">
        <v>444</v>
      </c>
      <c r="G789" s="39" t="s">
        <v>1639</v>
      </c>
      <c r="H789" s="35">
        <f>H780-E789</f>
        <v>158660</v>
      </c>
      <c r="I789" s="35"/>
      <c r="J789" s="35"/>
      <c r="K789" s="34">
        <v>260717007</v>
      </c>
      <c r="L789" s="34"/>
      <c r="M789" s="34">
        <f>M685-D789</f>
        <v>26</v>
      </c>
      <c r="N789" s="19">
        <v>46182</v>
      </c>
      <c r="O789" s="21">
        <f t="shared" si="62"/>
        <v>46546</v>
      </c>
    </row>
    <row r="790" spans="1:15" ht="20.149999999999999" hidden="1" customHeight="1" x14ac:dyDescent="0.2">
      <c r="A790" s="40">
        <v>46224</v>
      </c>
      <c r="B790" s="40">
        <v>46224</v>
      </c>
      <c r="C790" s="41" t="s">
        <v>1348</v>
      </c>
      <c r="D790" s="41">
        <v>4</v>
      </c>
      <c r="E790" s="41">
        <f t="shared" si="63"/>
        <v>780</v>
      </c>
      <c r="F790" s="41" t="s">
        <v>1569</v>
      </c>
      <c r="G790" s="41" t="s">
        <v>81</v>
      </c>
      <c r="H790" s="42">
        <f>H781-E790</f>
        <v>53200</v>
      </c>
      <c r="I790" s="42"/>
      <c r="J790" s="42"/>
      <c r="K790" s="41">
        <v>260720003</v>
      </c>
      <c r="L790" s="41"/>
      <c r="M790" s="41">
        <f>M789-D790</f>
        <v>22</v>
      </c>
      <c r="N790" s="19">
        <v>46182</v>
      </c>
      <c r="O790" s="21">
        <f t="shared" ref="O790:O806" si="66">DATE(YEAR(N790)+1,MONTH(N790),DAY(N790))-1</f>
        <v>46546</v>
      </c>
    </row>
    <row r="791" spans="1:15" ht="20.149999999999999" hidden="1" customHeight="1" x14ac:dyDescent="0.25">
      <c r="A791" s="29">
        <v>46225</v>
      </c>
      <c r="B791" s="29">
        <v>46226</v>
      </c>
      <c r="C791" s="30" t="s">
        <v>1650</v>
      </c>
      <c r="D791" s="30">
        <v>22</v>
      </c>
      <c r="E791" s="30">
        <f t="shared" si="63"/>
        <v>4290</v>
      </c>
      <c r="F791" s="37" t="s">
        <v>307</v>
      </c>
      <c r="G791" s="37" t="s">
        <v>1651</v>
      </c>
      <c r="H791" s="32">
        <f>H771-E791</f>
        <v>10530</v>
      </c>
      <c r="I791" s="32"/>
      <c r="J791" s="32"/>
      <c r="K791" s="30">
        <v>260721003</v>
      </c>
      <c r="L791" s="30"/>
      <c r="M791" s="30">
        <f>M790-D791</f>
        <v>0</v>
      </c>
      <c r="N791" s="19">
        <v>46182</v>
      </c>
      <c r="O791" s="21">
        <f t="shared" si="66"/>
        <v>46546</v>
      </c>
    </row>
    <row r="792" spans="1:15" ht="20.149999999999999" hidden="1" customHeight="1" x14ac:dyDescent="0.25">
      <c r="A792" s="29">
        <v>46225</v>
      </c>
      <c r="B792" s="29">
        <v>46226</v>
      </c>
      <c r="C792" s="30" t="s">
        <v>1413</v>
      </c>
      <c r="D792" s="30">
        <v>14</v>
      </c>
      <c r="E792" s="30">
        <f t="shared" si="63"/>
        <v>2730</v>
      </c>
      <c r="F792" s="37" t="s">
        <v>307</v>
      </c>
      <c r="G792" s="37" t="s">
        <v>1647</v>
      </c>
      <c r="H792" s="32">
        <f>H791-E792</f>
        <v>7800</v>
      </c>
      <c r="I792" s="32"/>
      <c r="J792" s="32"/>
      <c r="K792" s="30">
        <v>260721003</v>
      </c>
      <c r="L792" s="30"/>
      <c r="M792" s="30">
        <f>M701-D792</f>
        <v>23</v>
      </c>
      <c r="N792" s="19">
        <v>46183</v>
      </c>
      <c r="O792" s="21">
        <f t="shared" si="66"/>
        <v>46547</v>
      </c>
    </row>
    <row r="793" spans="1:15" ht="20.149999999999999" hidden="1" customHeight="1" x14ac:dyDescent="0.25">
      <c r="A793" s="22">
        <v>46226</v>
      </c>
      <c r="B793" s="22">
        <v>46227</v>
      </c>
      <c r="C793" s="23" t="s">
        <v>1658</v>
      </c>
      <c r="D793" s="23">
        <v>7</v>
      </c>
      <c r="E793" s="23">
        <f t="shared" si="63"/>
        <v>1365</v>
      </c>
      <c r="F793" s="38" t="s">
        <v>267</v>
      </c>
      <c r="G793" s="38" t="s">
        <v>1663</v>
      </c>
      <c r="H793" s="25">
        <f>H785-E793</f>
        <v>11895</v>
      </c>
      <c r="I793" s="25"/>
      <c r="J793" s="25"/>
      <c r="K793" s="23">
        <v>260722003</v>
      </c>
      <c r="L793" s="23"/>
      <c r="M793" s="23">
        <f>M792-D793</f>
        <v>16</v>
      </c>
      <c r="N793" s="19">
        <v>46183</v>
      </c>
      <c r="O793" s="21">
        <f t="shared" si="66"/>
        <v>46547</v>
      </c>
    </row>
    <row r="794" spans="1:15" ht="20.149999999999999" hidden="1" customHeight="1" x14ac:dyDescent="0.25">
      <c r="A794" s="22">
        <v>46226</v>
      </c>
      <c r="B794" s="22">
        <v>46227</v>
      </c>
      <c r="C794" s="23" t="s">
        <v>1659</v>
      </c>
      <c r="D794" s="23">
        <v>1</v>
      </c>
      <c r="E794" s="23">
        <f t="shared" si="63"/>
        <v>195</v>
      </c>
      <c r="F794" s="38" t="s">
        <v>267</v>
      </c>
      <c r="G794" s="38" t="s">
        <v>1408</v>
      </c>
      <c r="H794" s="25">
        <f>H793-E794</f>
        <v>11700</v>
      </c>
      <c r="I794" s="25"/>
      <c r="J794" s="25"/>
      <c r="K794" s="23">
        <v>260722003</v>
      </c>
      <c r="L794" s="23"/>
      <c r="M794" s="23">
        <f>M702-D794</f>
        <v>37</v>
      </c>
      <c r="N794" s="19">
        <v>46184</v>
      </c>
      <c r="O794" s="21">
        <f t="shared" si="66"/>
        <v>46548</v>
      </c>
    </row>
    <row r="795" spans="1:15" ht="20.149999999999999" hidden="1" customHeight="1" x14ac:dyDescent="0.3">
      <c r="A795" s="26">
        <v>46226</v>
      </c>
      <c r="B795" s="26">
        <v>46227</v>
      </c>
      <c r="C795" s="27" t="s">
        <v>1405</v>
      </c>
      <c r="D795" s="27">
        <v>8</v>
      </c>
      <c r="E795" s="27">
        <f t="shared" si="63"/>
        <v>1560</v>
      </c>
      <c r="F795" s="36" t="s">
        <v>274</v>
      </c>
      <c r="G795" s="36" t="s">
        <v>1664</v>
      </c>
      <c r="H795" s="28">
        <f>H788-E795</f>
        <v>17160</v>
      </c>
      <c r="I795" s="28"/>
      <c r="J795" s="28"/>
      <c r="K795" s="27">
        <v>260722004</v>
      </c>
      <c r="L795" s="27"/>
      <c r="M795" s="27">
        <f>M794-D795</f>
        <v>29</v>
      </c>
      <c r="N795" s="19">
        <v>46184</v>
      </c>
      <c r="O795" s="21">
        <f t="shared" si="66"/>
        <v>46548</v>
      </c>
    </row>
    <row r="796" spans="1:15" ht="20.149999999999999" hidden="1" customHeight="1" x14ac:dyDescent="0.3">
      <c r="A796" s="26">
        <v>46226</v>
      </c>
      <c r="B796" s="26">
        <v>46227</v>
      </c>
      <c r="C796" s="27" t="s">
        <v>1656</v>
      </c>
      <c r="D796" s="27">
        <v>4</v>
      </c>
      <c r="E796" s="27">
        <f t="shared" si="63"/>
        <v>780</v>
      </c>
      <c r="F796" s="36" t="s">
        <v>274</v>
      </c>
      <c r="G796" s="36" t="s">
        <v>1469</v>
      </c>
      <c r="H796" s="28">
        <f>H795-E796</f>
        <v>16380</v>
      </c>
      <c r="I796" s="61" t="s">
        <v>22</v>
      </c>
      <c r="J796" s="28"/>
      <c r="K796" s="27">
        <v>260722004</v>
      </c>
      <c r="L796" s="27">
        <v>36</v>
      </c>
      <c r="M796" s="27">
        <f>L796-D796</f>
        <v>32</v>
      </c>
      <c r="N796" s="19">
        <v>46215</v>
      </c>
      <c r="O796" s="21">
        <f t="shared" si="66"/>
        <v>46579</v>
      </c>
    </row>
    <row r="797" spans="1:15" ht="20.149999999999999" hidden="1" customHeight="1" x14ac:dyDescent="0.2">
      <c r="A797" s="33">
        <v>46226</v>
      </c>
      <c r="B797" s="33">
        <v>46227</v>
      </c>
      <c r="C797" s="34" t="s">
        <v>1413</v>
      </c>
      <c r="D797" s="34">
        <v>16</v>
      </c>
      <c r="E797" s="34">
        <f t="shared" si="63"/>
        <v>3120</v>
      </c>
      <c r="F797" s="39" t="s">
        <v>30</v>
      </c>
      <c r="G797" s="39" t="s">
        <v>1665</v>
      </c>
      <c r="H797" s="35">
        <f>H778-E797</f>
        <v>21840</v>
      </c>
      <c r="I797" s="35"/>
      <c r="J797" s="35"/>
      <c r="K797" s="34">
        <v>260722005</v>
      </c>
      <c r="L797" s="34"/>
      <c r="M797" s="34">
        <f>M793-D797</f>
        <v>0</v>
      </c>
      <c r="N797" s="19">
        <v>46183</v>
      </c>
      <c r="O797" s="21">
        <f t="shared" si="66"/>
        <v>46547</v>
      </c>
    </row>
    <row r="798" spans="1:15" ht="20.149999999999999" hidden="1" customHeight="1" x14ac:dyDescent="0.2">
      <c r="A798" s="40">
        <v>46226</v>
      </c>
      <c r="B798" s="40">
        <v>46227</v>
      </c>
      <c r="C798" s="41" t="s">
        <v>1660</v>
      </c>
      <c r="D798" s="41">
        <v>16</v>
      </c>
      <c r="E798" s="41">
        <f t="shared" si="63"/>
        <v>3120</v>
      </c>
      <c r="F798" s="41" t="s">
        <v>31</v>
      </c>
      <c r="G798" s="60" t="s">
        <v>1666</v>
      </c>
      <c r="H798" s="42">
        <f>H779-E798</f>
        <v>16320</v>
      </c>
      <c r="I798" s="42"/>
      <c r="J798" s="42"/>
      <c r="K798" s="41">
        <v>260722006</v>
      </c>
      <c r="L798" s="41"/>
      <c r="M798" s="41">
        <f>M795-D798</f>
        <v>13</v>
      </c>
      <c r="N798" s="19">
        <v>46184</v>
      </c>
      <c r="O798" s="21">
        <f t="shared" si="66"/>
        <v>46548</v>
      </c>
    </row>
    <row r="799" spans="1:15" ht="20.149999999999999" hidden="1" customHeight="1" x14ac:dyDescent="0.25">
      <c r="A799" s="29">
        <v>46227</v>
      </c>
      <c r="B799" s="29">
        <v>46227</v>
      </c>
      <c r="C799" s="30" t="s">
        <v>1675</v>
      </c>
      <c r="D799" s="30">
        <v>13</v>
      </c>
      <c r="E799" s="30">
        <f t="shared" si="63"/>
        <v>2535</v>
      </c>
      <c r="F799" s="37" t="s">
        <v>27</v>
      </c>
      <c r="G799" s="37" t="s">
        <v>1680</v>
      </c>
      <c r="H799" s="32">
        <f>H782-E799</f>
        <v>9165</v>
      </c>
      <c r="I799" s="32"/>
      <c r="J799" s="32"/>
      <c r="K799" s="30">
        <v>260723003</v>
      </c>
      <c r="L799" s="30"/>
      <c r="M799" s="30">
        <f>M798-D799</f>
        <v>0</v>
      </c>
      <c r="N799" s="19">
        <v>46184</v>
      </c>
      <c r="O799" s="21">
        <f t="shared" si="66"/>
        <v>46548</v>
      </c>
    </row>
    <row r="800" spans="1:15" ht="20.149999999999999" hidden="1" customHeight="1" x14ac:dyDescent="0.25">
      <c r="A800" s="29">
        <v>46227</v>
      </c>
      <c r="B800" s="29">
        <v>46227</v>
      </c>
      <c r="C800" s="30" t="s">
        <v>1676</v>
      </c>
      <c r="D800" s="30">
        <v>3</v>
      </c>
      <c r="E800" s="30">
        <f t="shared" si="63"/>
        <v>585</v>
      </c>
      <c r="F800" s="37" t="s">
        <v>27</v>
      </c>
      <c r="G800" s="37" t="s">
        <v>1671</v>
      </c>
      <c r="H800" s="32">
        <f>H799-E800</f>
        <v>8580</v>
      </c>
      <c r="I800" s="32"/>
      <c r="J800" s="32"/>
      <c r="K800" s="30">
        <v>260723003</v>
      </c>
      <c r="L800" s="30"/>
      <c r="M800" s="30">
        <f>M703-D800</f>
        <v>34</v>
      </c>
      <c r="N800" s="19">
        <v>46185</v>
      </c>
      <c r="O800" s="21">
        <f t="shared" si="66"/>
        <v>46549</v>
      </c>
    </row>
    <row r="801" spans="1:15" ht="20.149999999999999" hidden="1" customHeight="1" x14ac:dyDescent="0.2">
      <c r="A801" s="26">
        <v>46227</v>
      </c>
      <c r="B801" s="26">
        <v>46230</v>
      </c>
      <c r="C801" s="27" t="s">
        <v>1677</v>
      </c>
      <c r="D801" s="27">
        <v>12</v>
      </c>
      <c r="E801" s="27">
        <f t="shared" si="63"/>
        <v>2340</v>
      </c>
      <c r="F801" s="149" t="s">
        <v>444</v>
      </c>
      <c r="G801" s="36" t="s">
        <v>656</v>
      </c>
      <c r="H801" s="28">
        <f>H789-E801</f>
        <v>156320</v>
      </c>
      <c r="I801" s="28"/>
      <c r="J801" s="28"/>
      <c r="K801" s="27">
        <v>260723004</v>
      </c>
      <c r="L801" s="27"/>
      <c r="M801" s="27">
        <f>M800-D801</f>
        <v>22</v>
      </c>
      <c r="N801" s="19">
        <v>46185</v>
      </c>
      <c r="O801" s="21">
        <f t="shared" si="66"/>
        <v>46549</v>
      </c>
    </row>
    <row r="802" spans="1:15" ht="20.149999999999999" hidden="1" customHeight="1" x14ac:dyDescent="0.25">
      <c r="A802" s="33">
        <v>46230</v>
      </c>
      <c r="B802" s="33">
        <v>46231</v>
      </c>
      <c r="C802" s="34" t="s">
        <v>1687</v>
      </c>
      <c r="D802" s="34">
        <v>12</v>
      </c>
      <c r="E802" s="34">
        <f t="shared" si="63"/>
        <v>2340</v>
      </c>
      <c r="F802" s="39" t="s">
        <v>267</v>
      </c>
      <c r="G802" s="39" t="s">
        <v>1408</v>
      </c>
      <c r="H802" s="35">
        <f>H794-E802</f>
        <v>9360</v>
      </c>
      <c r="I802" s="35"/>
      <c r="J802" s="35"/>
      <c r="K802" s="34">
        <v>260724003</v>
      </c>
      <c r="L802" s="34"/>
      <c r="M802" s="34">
        <f>M801-D802</f>
        <v>10</v>
      </c>
      <c r="N802" s="19">
        <v>46185</v>
      </c>
      <c r="O802" s="21">
        <f t="shared" si="66"/>
        <v>46549</v>
      </c>
    </row>
    <row r="803" spans="1:15" ht="20.149999999999999" hidden="1" customHeight="1" x14ac:dyDescent="0.3">
      <c r="A803" s="22">
        <v>46230</v>
      </c>
      <c r="B803" s="22">
        <v>46231</v>
      </c>
      <c r="C803" s="23" t="s">
        <v>1406</v>
      </c>
      <c r="D803" s="23">
        <v>10</v>
      </c>
      <c r="E803" s="23">
        <f t="shared" si="63"/>
        <v>1950</v>
      </c>
      <c r="F803" s="38" t="s">
        <v>274</v>
      </c>
      <c r="G803" s="38" t="s">
        <v>1691</v>
      </c>
      <c r="H803" s="25">
        <f>H796-E803</f>
        <v>14430</v>
      </c>
      <c r="I803" s="25"/>
      <c r="J803" s="25"/>
      <c r="K803" s="23">
        <v>260724004</v>
      </c>
      <c r="L803" s="23"/>
      <c r="M803" s="23">
        <f>M802-D803</f>
        <v>0</v>
      </c>
      <c r="N803" s="19">
        <v>46185</v>
      </c>
      <c r="O803" s="21">
        <f t="shared" si="66"/>
        <v>46549</v>
      </c>
    </row>
    <row r="804" spans="1:15" ht="20.149999999999999" hidden="1" customHeight="1" x14ac:dyDescent="0.3">
      <c r="A804" s="22">
        <v>46230</v>
      </c>
      <c r="B804" s="22">
        <v>46231</v>
      </c>
      <c r="C804" s="23" t="s">
        <v>1688</v>
      </c>
      <c r="D804" s="23">
        <v>2</v>
      </c>
      <c r="E804" s="23">
        <f t="shared" si="63"/>
        <v>390</v>
      </c>
      <c r="F804" s="38" t="s">
        <v>274</v>
      </c>
      <c r="G804" s="38" t="s">
        <v>1469</v>
      </c>
      <c r="H804" s="25">
        <f>H803-E804</f>
        <v>14040</v>
      </c>
      <c r="I804" s="25"/>
      <c r="J804" s="25"/>
      <c r="K804" s="23" t="s">
        <v>1694</v>
      </c>
      <c r="L804" s="23"/>
      <c r="M804" s="23">
        <f>M704-D804</f>
        <v>36</v>
      </c>
      <c r="N804" s="19">
        <v>46186</v>
      </c>
      <c r="O804" s="21">
        <f t="shared" si="66"/>
        <v>46550</v>
      </c>
    </row>
    <row r="805" spans="1:15" ht="20.149999999999999" hidden="1" customHeight="1" x14ac:dyDescent="0.2">
      <c r="A805" s="26">
        <v>46231</v>
      </c>
      <c r="B805" s="26">
        <v>46231</v>
      </c>
      <c r="C805" s="27" t="s">
        <v>1414</v>
      </c>
      <c r="D805" s="27">
        <v>4</v>
      </c>
      <c r="E805" s="27">
        <f t="shared" si="63"/>
        <v>780</v>
      </c>
      <c r="F805" s="27" t="s">
        <v>1569</v>
      </c>
      <c r="G805" s="27" t="s">
        <v>81</v>
      </c>
      <c r="H805" s="28">
        <f>H790-E805</f>
        <v>52420</v>
      </c>
      <c r="I805" s="28"/>
      <c r="J805" s="28"/>
      <c r="K805" s="27">
        <v>260727001</v>
      </c>
      <c r="L805" s="27"/>
      <c r="M805" s="27">
        <f>M804-D805</f>
        <v>32</v>
      </c>
      <c r="N805" s="19">
        <v>46186</v>
      </c>
      <c r="O805" s="21">
        <f t="shared" si="66"/>
        <v>46550</v>
      </c>
    </row>
    <row r="806" spans="1:15" ht="20.149999999999999" hidden="1" customHeight="1" x14ac:dyDescent="0.25">
      <c r="A806" s="40">
        <v>46231</v>
      </c>
      <c r="B806" s="40">
        <v>46231</v>
      </c>
      <c r="C806" s="41" t="s">
        <v>1696</v>
      </c>
      <c r="D806" s="41">
        <v>12</v>
      </c>
      <c r="E806" s="41">
        <f t="shared" si="63"/>
        <v>2340</v>
      </c>
      <c r="F806" s="60" t="s">
        <v>27</v>
      </c>
      <c r="G806" s="60" t="s">
        <v>1454</v>
      </c>
      <c r="H806" s="42">
        <f>H800-E806</f>
        <v>6240</v>
      </c>
      <c r="I806" s="42"/>
      <c r="J806" s="42"/>
      <c r="K806" s="41">
        <v>260727002</v>
      </c>
      <c r="L806" s="41"/>
      <c r="M806" s="41">
        <f>M805-D806</f>
        <v>20</v>
      </c>
      <c r="N806" s="19">
        <v>46186</v>
      </c>
      <c r="O806" s="21">
        <f t="shared" si="66"/>
        <v>46550</v>
      </c>
    </row>
    <row r="807" spans="1:15" ht="20.149999999999999" hidden="1" customHeight="1" x14ac:dyDescent="0.25">
      <c r="A807" s="26">
        <v>46232</v>
      </c>
      <c r="B807" s="26">
        <v>46233</v>
      </c>
      <c r="C807" s="27" t="s">
        <v>1414</v>
      </c>
      <c r="D807" s="27">
        <v>20</v>
      </c>
      <c r="E807" s="27">
        <f t="shared" ref="E807:E871" si="67">D807*195</f>
        <v>3900</v>
      </c>
      <c r="F807" s="36" t="s">
        <v>307</v>
      </c>
      <c r="G807" s="36" t="s">
        <v>1388</v>
      </c>
      <c r="H807" s="28">
        <f>H792-E807</f>
        <v>3900</v>
      </c>
      <c r="I807" s="28"/>
      <c r="J807" s="28"/>
      <c r="K807" s="27">
        <v>260728004</v>
      </c>
      <c r="L807" s="27"/>
      <c r="M807" s="27">
        <f>M806-D807</f>
        <v>0</v>
      </c>
      <c r="N807" s="19">
        <v>46186</v>
      </c>
      <c r="O807" s="21">
        <f t="shared" ref="O807:O867" si="68">DATE(YEAR(N807)+1,MONTH(N807),DAY(N807))-1</f>
        <v>46550</v>
      </c>
    </row>
    <row r="808" spans="1:15" ht="20.149999999999999" hidden="1" customHeight="1" x14ac:dyDescent="0.25">
      <c r="A808" s="26">
        <v>46232</v>
      </c>
      <c r="B808" s="26">
        <v>46233</v>
      </c>
      <c r="C808" s="27" t="s">
        <v>1415</v>
      </c>
      <c r="D808" s="27">
        <v>20</v>
      </c>
      <c r="E808" s="27">
        <f t="shared" si="67"/>
        <v>3900</v>
      </c>
      <c r="F808" s="36" t="s">
        <v>307</v>
      </c>
      <c r="G808" s="36" t="s">
        <v>1388</v>
      </c>
      <c r="H808" s="28">
        <f>H807-E808</f>
        <v>0</v>
      </c>
      <c r="I808" s="28"/>
      <c r="J808" s="28"/>
      <c r="K808" s="27">
        <v>260728004</v>
      </c>
      <c r="L808" s="27"/>
      <c r="M808" s="27">
        <f>M705-D808</f>
        <v>17</v>
      </c>
      <c r="N808" s="19">
        <v>46187</v>
      </c>
      <c r="O808" s="21">
        <f t="shared" si="68"/>
        <v>46551</v>
      </c>
    </row>
    <row r="809" spans="1:15" ht="20.149999999999999" hidden="1" customHeight="1" x14ac:dyDescent="0.25">
      <c r="A809" s="22">
        <v>46233</v>
      </c>
      <c r="B809" s="22">
        <v>46234</v>
      </c>
      <c r="C809" s="23" t="s">
        <v>1707</v>
      </c>
      <c r="D809" s="23">
        <v>1</v>
      </c>
      <c r="E809" s="23">
        <f t="shared" si="67"/>
        <v>195</v>
      </c>
      <c r="F809" s="38" t="s">
        <v>267</v>
      </c>
      <c r="G809" s="38" t="s">
        <v>1408</v>
      </c>
      <c r="H809" s="25">
        <f>H802-E809</f>
        <v>9165</v>
      </c>
      <c r="I809" s="43"/>
      <c r="J809" s="25"/>
      <c r="K809" s="23">
        <v>260729001</v>
      </c>
      <c r="L809" s="23"/>
      <c r="M809" s="23">
        <f>M808-D809</f>
        <v>16</v>
      </c>
      <c r="N809" s="19">
        <v>46187</v>
      </c>
      <c r="O809" s="21">
        <f t="shared" si="68"/>
        <v>46551</v>
      </c>
    </row>
    <row r="810" spans="1:15" ht="20.149999999999999" hidden="1" customHeight="1" x14ac:dyDescent="0.25">
      <c r="A810" s="22">
        <v>46233</v>
      </c>
      <c r="B810" s="22">
        <v>46234</v>
      </c>
      <c r="C810" s="23" t="s">
        <v>1708</v>
      </c>
      <c r="D810" s="23">
        <v>7</v>
      </c>
      <c r="E810" s="23">
        <f t="shared" si="67"/>
        <v>1365</v>
      </c>
      <c r="F810" s="38" t="s">
        <v>267</v>
      </c>
      <c r="G810" s="38" t="s">
        <v>1704</v>
      </c>
      <c r="H810" s="25">
        <f>H809-E810</f>
        <v>7800</v>
      </c>
      <c r="I810" s="43"/>
      <c r="J810" s="25"/>
      <c r="K810" s="23">
        <v>260729001</v>
      </c>
      <c r="L810" s="23"/>
      <c r="M810" s="23">
        <f>M713-D810</f>
        <v>30</v>
      </c>
      <c r="N810" s="19">
        <v>46189</v>
      </c>
      <c r="O810" s="21">
        <f t="shared" si="68"/>
        <v>46553</v>
      </c>
    </row>
    <row r="811" spans="1:15" ht="20.149999999999999" hidden="1" customHeight="1" x14ac:dyDescent="0.3">
      <c r="A811" s="29">
        <v>46233</v>
      </c>
      <c r="B811" s="29">
        <v>46234</v>
      </c>
      <c r="C811" s="30" t="s">
        <v>1442</v>
      </c>
      <c r="D811" s="30">
        <v>8</v>
      </c>
      <c r="E811" s="30">
        <f t="shared" si="67"/>
        <v>1560</v>
      </c>
      <c r="F811" s="37" t="s">
        <v>274</v>
      </c>
      <c r="G811" s="37" t="s">
        <v>1713</v>
      </c>
      <c r="H811" s="32">
        <f>H804-E811</f>
        <v>12480</v>
      </c>
      <c r="I811" s="70"/>
      <c r="J811" s="32"/>
      <c r="K811" s="30">
        <v>260729002</v>
      </c>
      <c r="L811" s="30"/>
      <c r="M811" s="30">
        <f>M810-D811</f>
        <v>22</v>
      </c>
      <c r="N811" s="19">
        <v>46189</v>
      </c>
      <c r="O811" s="21">
        <f t="shared" si="68"/>
        <v>46553</v>
      </c>
    </row>
    <row r="812" spans="1:15" ht="20.149999999999999" hidden="1" customHeight="1" x14ac:dyDescent="0.3">
      <c r="A812" s="29">
        <v>46233</v>
      </c>
      <c r="B812" s="29">
        <v>46234</v>
      </c>
      <c r="C812" s="30" t="s">
        <v>1702</v>
      </c>
      <c r="D812" s="30">
        <v>4</v>
      </c>
      <c r="E812" s="30">
        <f t="shared" si="67"/>
        <v>780</v>
      </c>
      <c r="F812" s="37" t="s">
        <v>274</v>
      </c>
      <c r="G812" s="37" t="s">
        <v>1469</v>
      </c>
      <c r="H812" s="32">
        <f>H811-E812</f>
        <v>11700</v>
      </c>
      <c r="I812" s="70" t="s">
        <v>22</v>
      </c>
      <c r="J812" s="32"/>
      <c r="K812" s="30">
        <v>260729002</v>
      </c>
      <c r="L812" s="30">
        <v>41</v>
      </c>
      <c r="M812" s="30">
        <f>L812-D812</f>
        <v>37</v>
      </c>
      <c r="N812" s="19">
        <v>46217</v>
      </c>
      <c r="O812" s="21">
        <f t="shared" si="68"/>
        <v>46581</v>
      </c>
    </row>
    <row r="813" spans="1:15" ht="20.149999999999999" hidden="1" customHeight="1" x14ac:dyDescent="0.2">
      <c r="A813" s="40">
        <v>46233</v>
      </c>
      <c r="B813" s="40">
        <v>46234</v>
      </c>
      <c r="C813" s="41" t="s">
        <v>1709</v>
      </c>
      <c r="D813" s="41">
        <v>16</v>
      </c>
      <c r="E813" s="41">
        <f t="shared" si="67"/>
        <v>3120</v>
      </c>
      <c r="F813" s="60" t="s">
        <v>30</v>
      </c>
      <c r="G813" s="60" t="s">
        <v>1714</v>
      </c>
      <c r="H813" s="42">
        <f>H797-E813</f>
        <v>18720</v>
      </c>
      <c r="I813" s="42"/>
      <c r="J813" s="42"/>
      <c r="K813" s="41">
        <v>260729003</v>
      </c>
      <c r="L813" s="41"/>
      <c r="M813" s="41">
        <f>M809-D813</f>
        <v>0</v>
      </c>
      <c r="N813" s="19">
        <v>46187</v>
      </c>
      <c r="O813" s="21">
        <f t="shared" si="68"/>
        <v>46551</v>
      </c>
    </row>
    <row r="814" spans="1:15" ht="20.149999999999999" hidden="1" customHeight="1" x14ac:dyDescent="0.2">
      <c r="A814" s="33">
        <v>46233</v>
      </c>
      <c r="B814" s="33">
        <v>46234</v>
      </c>
      <c r="C814" s="34" t="s">
        <v>1715</v>
      </c>
      <c r="D814" s="34">
        <v>16</v>
      </c>
      <c r="E814" s="34">
        <f t="shared" si="67"/>
        <v>3120</v>
      </c>
      <c r="F814" s="34" t="s">
        <v>31</v>
      </c>
      <c r="G814" s="39" t="s">
        <v>869</v>
      </c>
      <c r="H814" s="35">
        <f>H798-E814</f>
        <v>13200</v>
      </c>
      <c r="I814" s="35"/>
      <c r="J814" s="35"/>
      <c r="K814" s="34">
        <v>260729004</v>
      </c>
      <c r="L814" s="34"/>
      <c r="M814" s="34">
        <f>M811-D814</f>
        <v>6</v>
      </c>
      <c r="N814" s="19">
        <v>46189</v>
      </c>
      <c r="O814" s="21">
        <f t="shared" si="68"/>
        <v>46553</v>
      </c>
    </row>
    <row r="815" spans="1:15" ht="20.149999999999999" hidden="1" customHeight="1" x14ac:dyDescent="0.2">
      <c r="A815" s="29">
        <v>46233</v>
      </c>
      <c r="B815" s="29">
        <v>46234</v>
      </c>
      <c r="C815" s="30" t="s">
        <v>1442</v>
      </c>
      <c r="D815" s="30">
        <v>6</v>
      </c>
      <c r="E815" s="30">
        <f t="shared" si="67"/>
        <v>1170</v>
      </c>
      <c r="F815" s="161" t="s">
        <v>444</v>
      </c>
      <c r="G815" s="37" t="s">
        <v>656</v>
      </c>
      <c r="H815" s="32">
        <f>H801-E815</f>
        <v>155150</v>
      </c>
      <c r="I815" s="32"/>
      <c r="J815" s="32"/>
      <c r="K815" s="30">
        <v>260729007</v>
      </c>
      <c r="L815" s="30"/>
      <c r="M815" s="30">
        <f>M814-D815</f>
        <v>0</v>
      </c>
      <c r="N815" s="19">
        <v>46189</v>
      </c>
      <c r="O815" s="21">
        <f t="shared" si="68"/>
        <v>46553</v>
      </c>
    </row>
    <row r="816" spans="1:15" ht="20.149999999999999" hidden="1" customHeight="1" x14ac:dyDescent="0.2">
      <c r="A816" s="29">
        <v>46233</v>
      </c>
      <c r="B816" s="29">
        <v>46234</v>
      </c>
      <c r="C816" s="30" t="s">
        <v>1437</v>
      </c>
      <c r="D816" s="30">
        <v>10</v>
      </c>
      <c r="E816" s="30">
        <f t="shared" si="67"/>
        <v>1950</v>
      </c>
      <c r="F816" s="161" t="s">
        <v>444</v>
      </c>
      <c r="G816" s="37" t="s">
        <v>1706</v>
      </c>
      <c r="H816" s="32">
        <f>H815-E816</f>
        <v>153200</v>
      </c>
      <c r="I816" s="32"/>
      <c r="J816" s="32"/>
      <c r="K816" s="30">
        <v>260729007</v>
      </c>
      <c r="L816" s="30"/>
      <c r="M816" s="30">
        <f>M714-D816</f>
        <v>24</v>
      </c>
      <c r="N816" s="19">
        <v>46190</v>
      </c>
      <c r="O816" s="21">
        <f t="shared" si="68"/>
        <v>46554</v>
      </c>
    </row>
    <row r="817" spans="1:15" ht="20.149999999999999" hidden="1" customHeight="1" x14ac:dyDescent="0.2">
      <c r="A817" s="22">
        <v>46234</v>
      </c>
      <c r="B817" s="22">
        <v>46234</v>
      </c>
      <c r="C817" s="23" t="s">
        <v>1437</v>
      </c>
      <c r="D817" s="23">
        <v>4</v>
      </c>
      <c r="E817" s="23">
        <f t="shared" si="67"/>
        <v>780</v>
      </c>
      <c r="F817" s="23" t="s">
        <v>1569</v>
      </c>
      <c r="G817" s="23" t="s">
        <v>1724</v>
      </c>
      <c r="H817" s="25">
        <f>H805-E817</f>
        <v>51640</v>
      </c>
      <c r="I817" s="25"/>
      <c r="J817" s="25"/>
      <c r="K817" s="23">
        <v>260730004</v>
      </c>
      <c r="L817" s="23"/>
      <c r="M817" s="23">
        <f>M816-D817</f>
        <v>20</v>
      </c>
      <c r="N817" s="19">
        <v>46190</v>
      </c>
      <c r="O817" s="21">
        <f t="shared" si="68"/>
        <v>46554</v>
      </c>
    </row>
    <row r="818" spans="1:15" ht="20.149999999999999" hidden="1" customHeight="1" x14ac:dyDescent="0.25">
      <c r="A818" s="26">
        <v>46234</v>
      </c>
      <c r="B818" s="26">
        <v>46234</v>
      </c>
      <c r="C818" s="27" t="s">
        <v>1437</v>
      </c>
      <c r="D818" s="27">
        <v>8</v>
      </c>
      <c r="E818" s="27">
        <f t="shared" si="67"/>
        <v>1560</v>
      </c>
      <c r="F818" s="36" t="s">
        <v>27</v>
      </c>
      <c r="G818" s="36" t="s">
        <v>1725</v>
      </c>
      <c r="H818" s="28">
        <f>H806-E818</f>
        <v>4680</v>
      </c>
      <c r="I818" s="28"/>
      <c r="J818" s="28"/>
      <c r="K818" s="27">
        <v>260730005</v>
      </c>
      <c r="L818" s="27"/>
      <c r="M818" s="27">
        <f>M817-D818</f>
        <v>12</v>
      </c>
      <c r="N818" s="19">
        <v>46190</v>
      </c>
      <c r="O818" s="21">
        <f t="shared" si="68"/>
        <v>46554</v>
      </c>
    </row>
    <row r="819" spans="1:15" ht="20.149999999999999" hidden="1" customHeight="1" x14ac:dyDescent="0.25">
      <c r="A819" s="33">
        <v>46237</v>
      </c>
      <c r="B819" s="33">
        <v>46238</v>
      </c>
      <c r="C819" s="34" t="s">
        <v>1734</v>
      </c>
      <c r="D819" s="34">
        <v>4</v>
      </c>
      <c r="E819" s="34">
        <f t="shared" si="67"/>
        <v>780</v>
      </c>
      <c r="F819" s="39" t="s">
        <v>267</v>
      </c>
      <c r="G819" s="39" t="s">
        <v>1740</v>
      </c>
      <c r="H819" s="35">
        <f>H810-E819</f>
        <v>7020</v>
      </c>
      <c r="I819" s="63" t="s">
        <v>22</v>
      </c>
      <c r="J819" s="35"/>
      <c r="K819" s="34">
        <v>260731006</v>
      </c>
      <c r="L819" s="34">
        <v>41</v>
      </c>
      <c r="M819" s="34">
        <f t="shared" ref="M819:M824" si="69">L819-D819</f>
        <v>37</v>
      </c>
      <c r="N819" s="19">
        <v>46218</v>
      </c>
      <c r="O819" s="21">
        <f t="shared" si="68"/>
        <v>46582</v>
      </c>
    </row>
    <row r="820" spans="1:15" ht="20.149999999999999" hidden="1" customHeight="1" x14ac:dyDescent="0.25">
      <c r="A820" s="33">
        <v>46237</v>
      </c>
      <c r="B820" s="33">
        <v>46238</v>
      </c>
      <c r="C820" s="34" t="s">
        <v>1735</v>
      </c>
      <c r="D820" s="34">
        <v>4</v>
      </c>
      <c r="E820" s="34">
        <f t="shared" si="67"/>
        <v>780</v>
      </c>
      <c r="F820" s="39" t="s">
        <v>267</v>
      </c>
      <c r="G820" s="39" t="s">
        <v>1408</v>
      </c>
      <c r="H820" s="35">
        <f>H819-E820</f>
        <v>6240</v>
      </c>
      <c r="I820" s="63" t="s">
        <v>22</v>
      </c>
      <c r="J820" s="35" t="s">
        <v>479</v>
      </c>
      <c r="K820" s="34">
        <v>260731006</v>
      </c>
      <c r="L820" s="34">
        <f>42-16</f>
        <v>26</v>
      </c>
      <c r="M820" s="34">
        <f t="shared" si="69"/>
        <v>22</v>
      </c>
      <c r="N820" s="19">
        <v>46219</v>
      </c>
      <c r="O820" s="21">
        <f t="shared" si="68"/>
        <v>46583</v>
      </c>
    </row>
    <row r="821" spans="1:15" ht="20.149999999999999" hidden="1" customHeight="1" x14ac:dyDescent="0.25">
      <c r="A821" s="33">
        <v>46237</v>
      </c>
      <c r="B821" s="33">
        <v>46238</v>
      </c>
      <c r="C821" s="34" t="s">
        <v>1729</v>
      </c>
      <c r="D821" s="34">
        <v>4</v>
      </c>
      <c r="E821" s="34">
        <f t="shared" si="67"/>
        <v>780</v>
      </c>
      <c r="F821" s="39" t="s">
        <v>267</v>
      </c>
      <c r="G821" s="39" t="s">
        <v>1733</v>
      </c>
      <c r="H821" s="35">
        <f>H820-E821</f>
        <v>5460</v>
      </c>
      <c r="I821" s="63" t="s">
        <v>22</v>
      </c>
      <c r="J821" s="35" t="s">
        <v>2049</v>
      </c>
      <c r="K821" s="34">
        <v>260731006</v>
      </c>
      <c r="L821" s="34">
        <f>41-20</f>
        <v>21</v>
      </c>
      <c r="M821" s="34">
        <f t="shared" si="69"/>
        <v>17</v>
      </c>
      <c r="N821" s="19">
        <v>46220</v>
      </c>
      <c r="O821" s="21">
        <f t="shared" si="68"/>
        <v>46584</v>
      </c>
    </row>
    <row r="822" spans="1:15" ht="20.149999999999999" hidden="1" customHeight="1" x14ac:dyDescent="0.3">
      <c r="A822" s="40">
        <v>46237</v>
      </c>
      <c r="B822" s="40">
        <v>46238</v>
      </c>
      <c r="C822" s="41" t="s">
        <v>1736</v>
      </c>
      <c r="D822" s="41">
        <v>4</v>
      </c>
      <c r="E822" s="41">
        <f t="shared" si="67"/>
        <v>780</v>
      </c>
      <c r="F822" s="60" t="s">
        <v>274</v>
      </c>
      <c r="G822" s="60" t="s">
        <v>1741</v>
      </c>
      <c r="H822" s="42">
        <f>H812-E822</f>
        <v>10920</v>
      </c>
      <c r="I822" s="121" t="s">
        <v>22</v>
      </c>
      <c r="J822" s="42"/>
      <c r="K822" s="41">
        <v>260731007</v>
      </c>
      <c r="L822" s="41">
        <v>42</v>
      </c>
      <c r="M822" s="41">
        <f t="shared" si="69"/>
        <v>38</v>
      </c>
      <c r="N822" s="19">
        <v>46221</v>
      </c>
      <c r="O822" s="21">
        <f t="shared" si="68"/>
        <v>46585</v>
      </c>
    </row>
    <row r="823" spans="1:15" ht="20.149999999999999" hidden="1" customHeight="1" x14ac:dyDescent="0.3">
      <c r="A823" s="40">
        <v>46237</v>
      </c>
      <c r="B823" s="40">
        <v>46238</v>
      </c>
      <c r="C823" s="41" t="s">
        <v>1737</v>
      </c>
      <c r="D823" s="41">
        <v>4</v>
      </c>
      <c r="E823" s="41">
        <f t="shared" si="67"/>
        <v>780</v>
      </c>
      <c r="F823" s="60" t="s">
        <v>274</v>
      </c>
      <c r="G823" s="60" t="s">
        <v>1469</v>
      </c>
      <c r="H823" s="42">
        <f>H822-E823</f>
        <v>10140</v>
      </c>
      <c r="I823" s="121" t="s">
        <v>22</v>
      </c>
      <c r="J823" s="42"/>
      <c r="K823" s="41">
        <v>260731007</v>
      </c>
      <c r="L823" s="41">
        <v>41</v>
      </c>
      <c r="M823" s="41">
        <f t="shared" si="69"/>
        <v>37</v>
      </c>
      <c r="N823" s="19">
        <v>46222</v>
      </c>
      <c r="O823" s="21">
        <f t="shared" si="68"/>
        <v>46586</v>
      </c>
    </row>
    <row r="824" spans="1:15" ht="20.149999999999999" hidden="1" customHeight="1" x14ac:dyDescent="0.3">
      <c r="A824" s="40">
        <v>46237</v>
      </c>
      <c r="B824" s="40">
        <v>46238</v>
      </c>
      <c r="C824" s="41" t="s">
        <v>1730</v>
      </c>
      <c r="D824" s="41">
        <v>4</v>
      </c>
      <c r="E824" s="41">
        <f t="shared" si="67"/>
        <v>780</v>
      </c>
      <c r="F824" s="60" t="s">
        <v>274</v>
      </c>
      <c r="G824" s="60" t="s">
        <v>1469</v>
      </c>
      <c r="H824" s="42">
        <f>H823-E824</f>
        <v>9360</v>
      </c>
      <c r="I824" s="121" t="s">
        <v>22</v>
      </c>
      <c r="J824" s="42" t="s">
        <v>1744</v>
      </c>
      <c r="K824" s="41" t="s">
        <v>1742</v>
      </c>
      <c r="L824" s="41">
        <f>41-16</f>
        <v>25</v>
      </c>
      <c r="M824" s="41">
        <f t="shared" si="69"/>
        <v>21</v>
      </c>
      <c r="N824" s="19">
        <v>46224</v>
      </c>
      <c r="O824" s="21">
        <f t="shared" si="68"/>
        <v>46588</v>
      </c>
    </row>
    <row r="825" spans="1:15" ht="20.149999999999999" hidden="1" customHeight="1" x14ac:dyDescent="0.2">
      <c r="A825" s="26">
        <v>46237</v>
      </c>
      <c r="B825" s="26">
        <v>46238</v>
      </c>
      <c r="C825" s="27" t="s">
        <v>1437</v>
      </c>
      <c r="D825" s="27">
        <v>8</v>
      </c>
      <c r="E825" s="27">
        <f t="shared" si="67"/>
        <v>1560</v>
      </c>
      <c r="F825" s="149" t="s">
        <v>444</v>
      </c>
      <c r="G825" s="36" t="s">
        <v>656</v>
      </c>
      <c r="H825" s="28">
        <f>H816-E825</f>
        <v>151640</v>
      </c>
      <c r="I825" s="28"/>
      <c r="J825" s="28"/>
      <c r="K825" s="27">
        <v>260731008</v>
      </c>
      <c r="L825" s="27"/>
      <c r="M825" s="27">
        <f>M818-D825</f>
        <v>4</v>
      </c>
      <c r="N825" s="19">
        <v>46190</v>
      </c>
      <c r="O825" s="21">
        <f t="shared" si="68"/>
        <v>46554</v>
      </c>
    </row>
    <row r="826" spans="1:15" ht="20.149999999999999" hidden="1" customHeight="1" x14ac:dyDescent="0.25">
      <c r="A826" s="22">
        <v>46238</v>
      </c>
      <c r="B826" s="22">
        <v>46238</v>
      </c>
      <c r="C826" s="23" t="s">
        <v>1437</v>
      </c>
      <c r="D826" s="38">
        <v>4</v>
      </c>
      <c r="E826" s="23">
        <f t="shared" si="67"/>
        <v>780</v>
      </c>
      <c r="F826" s="38" t="s">
        <v>27</v>
      </c>
      <c r="G826" s="38" t="s">
        <v>1749</v>
      </c>
      <c r="H826" s="25">
        <f>H818-E826</f>
        <v>3900</v>
      </c>
      <c r="I826" s="25"/>
      <c r="J826" s="25"/>
      <c r="K826" s="23">
        <v>260803003</v>
      </c>
      <c r="L826" s="23"/>
      <c r="M826" s="23">
        <f>M825-D826</f>
        <v>0</v>
      </c>
      <c r="N826" s="19">
        <v>46190</v>
      </c>
      <c r="O826" s="21">
        <f t="shared" si="68"/>
        <v>46554</v>
      </c>
    </row>
    <row r="827" spans="1:15" ht="20.149999999999999" hidden="1" customHeight="1" x14ac:dyDescent="0.25">
      <c r="A827" s="22">
        <v>46238</v>
      </c>
      <c r="B827" s="22">
        <v>46238</v>
      </c>
      <c r="C827" s="23" t="s">
        <v>1745</v>
      </c>
      <c r="D827" s="23">
        <v>8</v>
      </c>
      <c r="E827" s="23">
        <f t="shared" si="67"/>
        <v>1560</v>
      </c>
      <c r="F827" s="38" t="s">
        <v>27</v>
      </c>
      <c r="G827" s="38" t="s">
        <v>1746</v>
      </c>
      <c r="H827" s="25">
        <f>H826-E827</f>
        <v>2340</v>
      </c>
      <c r="I827" s="25"/>
      <c r="J827" s="25"/>
      <c r="K827" s="23">
        <v>260803003</v>
      </c>
      <c r="L827" s="23"/>
      <c r="M827" s="23">
        <f>M715-D827</f>
        <v>29</v>
      </c>
      <c r="N827" s="19">
        <v>46191</v>
      </c>
      <c r="O827" s="21">
        <f t="shared" si="68"/>
        <v>46555</v>
      </c>
    </row>
    <row r="828" spans="1:15" ht="20.149999999999999" hidden="1" customHeight="1" x14ac:dyDescent="0.25">
      <c r="A828" s="29">
        <v>46239</v>
      </c>
      <c r="B828" s="29">
        <v>46240</v>
      </c>
      <c r="C828" s="30" t="s">
        <v>1443</v>
      </c>
      <c r="D828" s="30">
        <v>13</v>
      </c>
      <c r="E828" s="30">
        <f t="shared" si="67"/>
        <v>2535</v>
      </c>
      <c r="F828" s="37" t="s">
        <v>307</v>
      </c>
      <c r="G828" s="161" t="s">
        <v>1768</v>
      </c>
      <c r="H828" s="32">
        <f>39780-E828</f>
        <v>37245</v>
      </c>
      <c r="I828" s="32"/>
      <c r="J828" s="32"/>
      <c r="K828" s="30">
        <v>260804003</v>
      </c>
      <c r="L828" s="30"/>
      <c r="M828" s="30">
        <f>M827-D828</f>
        <v>16</v>
      </c>
      <c r="N828" s="19">
        <v>46191</v>
      </c>
      <c r="O828" s="21">
        <f t="shared" si="68"/>
        <v>46555</v>
      </c>
    </row>
    <row r="829" spans="1:15" ht="20.149999999999999" hidden="1" customHeight="1" x14ac:dyDescent="0.25">
      <c r="A829" s="29">
        <v>46239</v>
      </c>
      <c r="B829" s="29">
        <v>46240</v>
      </c>
      <c r="C829" s="30" t="s">
        <v>1751</v>
      </c>
      <c r="D829" s="30">
        <v>22</v>
      </c>
      <c r="E829" s="30">
        <f t="shared" si="67"/>
        <v>4290</v>
      </c>
      <c r="F829" s="37" t="s">
        <v>307</v>
      </c>
      <c r="G829" s="161" t="s">
        <v>1753</v>
      </c>
      <c r="H829" s="32">
        <f>H828-E829</f>
        <v>32955</v>
      </c>
      <c r="I829" s="32"/>
      <c r="J829" s="32"/>
      <c r="K829" s="30">
        <v>260804003</v>
      </c>
      <c r="L829" s="30"/>
      <c r="M829" s="30">
        <f>M716-D829</f>
        <v>16</v>
      </c>
      <c r="N829" s="19">
        <v>46192</v>
      </c>
      <c r="O829" s="21">
        <f t="shared" si="68"/>
        <v>46556</v>
      </c>
    </row>
    <row r="830" spans="1:15" ht="20.149999999999999" hidden="1" customHeight="1" x14ac:dyDescent="0.25">
      <c r="A830" s="29">
        <v>46239</v>
      </c>
      <c r="B830" s="29">
        <v>46240</v>
      </c>
      <c r="C830" s="30" t="s">
        <v>1761</v>
      </c>
      <c r="D830" s="30">
        <v>5</v>
      </c>
      <c r="E830" s="30">
        <f t="shared" si="67"/>
        <v>975</v>
      </c>
      <c r="F830" s="37" t="s">
        <v>307</v>
      </c>
      <c r="G830" s="161" t="s">
        <v>1752</v>
      </c>
      <c r="H830" s="32">
        <f>H829-E830</f>
        <v>31980</v>
      </c>
      <c r="I830" s="32"/>
      <c r="J830" s="32"/>
      <c r="K830" s="30">
        <v>260804003</v>
      </c>
      <c r="L830" s="30"/>
      <c r="M830" s="30">
        <f>M717-D830</f>
        <v>32</v>
      </c>
      <c r="N830" s="19">
        <v>46193</v>
      </c>
      <c r="O830" s="21">
        <f t="shared" si="68"/>
        <v>46557</v>
      </c>
    </row>
    <row r="831" spans="1:15" ht="20.149999999999999" hidden="1" customHeight="1" x14ac:dyDescent="0.2">
      <c r="A831" s="33">
        <v>46239</v>
      </c>
      <c r="B831" s="33">
        <v>46240</v>
      </c>
      <c r="C831" s="34" t="s">
        <v>1443</v>
      </c>
      <c r="D831" s="34">
        <v>16</v>
      </c>
      <c r="E831" s="34">
        <f t="shared" si="67"/>
        <v>3120</v>
      </c>
      <c r="F831" s="39" t="s">
        <v>30</v>
      </c>
      <c r="G831" s="39" t="s">
        <v>1665</v>
      </c>
      <c r="H831" s="35">
        <f>H813-E831</f>
        <v>15600</v>
      </c>
      <c r="I831" s="35"/>
      <c r="J831" s="35"/>
      <c r="K831" s="34">
        <v>260804004</v>
      </c>
      <c r="L831" s="34"/>
      <c r="M831" s="34">
        <f>M828-D831</f>
        <v>0</v>
      </c>
      <c r="N831" s="19">
        <v>46191</v>
      </c>
      <c r="O831" s="21">
        <f t="shared" si="68"/>
        <v>46555</v>
      </c>
    </row>
    <row r="832" spans="1:15" ht="20.149999999999999" hidden="1" customHeight="1" x14ac:dyDescent="0.25">
      <c r="A832" s="40">
        <v>46240</v>
      </c>
      <c r="B832" s="40">
        <v>46241</v>
      </c>
      <c r="C832" s="41" t="s">
        <v>1774</v>
      </c>
      <c r="D832" s="41">
        <v>4</v>
      </c>
      <c r="E832" s="41">
        <f t="shared" si="67"/>
        <v>780</v>
      </c>
      <c r="F832" s="60" t="s">
        <v>267</v>
      </c>
      <c r="G832" s="60" t="s">
        <v>1782</v>
      </c>
      <c r="H832" s="42">
        <f>H821-E832</f>
        <v>4680</v>
      </c>
      <c r="I832" s="121" t="s">
        <v>22</v>
      </c>
      <c r="J832" s="42" t="s">
        <v>1769</v>
      </c>
      <c r="K832" s="41">
        <v>260805002</v>
      </c>
      <c r="L832" s="41">
        <f>42-20</f>
        <v>22</v>
      </c>
      <c r="M832" s="41">
        <f>L832-D832</f>
        <v>18</v>
      </c>
      <c r="N832" s="19">
        <v>46225</v>
      </c>
      <c r="O832" s="21">
        <f t="shared" si="68"/>
        <v>46589</v>
      </c>
    </row>
    <row r="833" spans="1:15" ht="20.149999999999999" hidden="1" customHeight="1" x14ac:dyDescent="0.25">
      <c r="A833" s="40">
        <v>46240</v>
      </c>
      <c r="B833" s="40">
        <v>46241</v>
      </c>
      <c r="C833" s="41" t="s">
        <v>1775</v>
      </c>
      <c r="D833" s="41">
        <v>4</v>
      </c>
      <c r="E833" s="41">
        <f t="shared" si="67"/>
        <v>780</v>
      </c>
      <c r="F833" s="60" t="s">
        <v>267</v>
      </c>
      <c r="G833" s="60" t="s">
        <v>1772</v>
      </c>
      <c r="H833" s="42">
        <f>H832-E833</f>
        <v>3900</v>
      </c>
      <c r="I833" s="121" t="s">
        <v>22</v>
      </c>
      <c r="J833" s="42" t="s">
        <v>1744</v>
      </c>
      <c r="K833" s="41">
        <v>260805002</v>
      </c>
      <c r="L833" s="41">
        <f>41-16</f>
        <v>25</v>
      </c>
      <c r="M833" s="41">
        <f>L833-D833</f>
        <v>21</v>
      </c>
      <c r="N833" s="19">
        <v>46226</v>
      </c>
      <c r="O833" s="21">
        <f t="shared" si="68"/>
        <v>46590</v>
      </c>
    </row>
    <row r="834" spans="1:15" ht="20.149999999999999" hidden="1" customHeight="1" x14ac:dyDescent="0.3">
      <c r="A834" s="26">
        <v>46240</v>
      </c>
      <c r="B834" s="26">
        <v>46241</v>
      </c>
      <c r="C834" s="27" t="s">
        <v>1776</v>
      </c>
      <c r="D834" s="27">
        <v>4</v>
      </c>
      <c r="E834" s="27">
        <f t="shared" si="67"/>
        <v>780</v>
      </c>
      <c r="F834" s="36" t="s">
        <v>274</v>
      </c>
      <c r="G834" s="36" t="s">
        <v>1783</v>
      </c>
      <c r="H834" s="28">
        <f>H824-E834</f>
        <v>8580</v>
      </c>
      <c r="I834" s="61" t="s">
        <v>22</v>
      </c>
      <c r="J834" s="28" t="s">
        <v>1769</v>
      </c>
      <c r="K834" s="27">
        <v>260805003</v>
      </c>
      <c r="L834" s="27">
        <f>42-20</f>
        <v>22</v>
      </c>
      <c r="M834" s="27">
        <f>L834-D834</f>
        <v>18</v>
      </c>
      <c r="N834" s="19">
        <v>46227</v>
      </c>
      <c r="O834" s="21">
        <f t="shared" si="68"/>
        <v>46591</v>
      </c>
    </row>
    <row r="835" spans="1:15" ht="20.149999999999999" hidden="1" customHeight="1" x14ac:dyDescent="0.3">
      <c r="A835" s="26">
        <v>46240</v>
      </c>
      <c r="B835" s="26">
        <v>46241</v>
      </c>
      <c r="C835" s="27" t="s">
        <v>1777</v>
      </c>
      <c r="D835" s="27">
        <v>4</v>
      </c>
      <c r="E835" s="27">
        <f t="shared" si="67"/>
        <v>780</v>
      </c>
      <c r="F835" s="36" t="s">
        <v>274</v>
      </c>
      <c r="G835" s="36" t="s">
        <v>1469</v>
      </c>
      <c r="H835" s="28">
        <f>H834-E835</f>
        <v>7800</v>
      </c>
      <c r="I835" s="61" t="s">
        <v>22</v>
      </c>
      <c r="J835" s="28" t="s">
        <v>1959</v>
      </c>
      <c r="K835" s="27">
        <v>260805003</v>
      </c>
      <c r="L835" s="27">
        <f>41-16</f>
        <v>25</v>
      </c>
      <c r="M835" s="27">
        <f>L835-D835</f>
        <v>21</v>
      </c>
      <c r="N835" s="19">
        <v>46228</v>
      </c>
      <c r="O835" s="21">
        <f t="shared" si="68"/>
        <v>46592</v>
      </c>
    </row>
    <row r="836" spans="1:15" ht="20.149999999999999" hidden="1" customHeight="1" x14ac:dyDescent="0.2">
      <c r="A836" s="29">
        <v>46240</v>
      </c>
      <c r="B836" s="29">
        <v>46241</v>
      </c>
      <c r="C836" s="30" t="s">
        <v>1444</v>
      </c>
      <c r="D836" s="30">
        <v>12</v>
      </c>
      <c r="E836" s="30">
        <f t="shared" si="67"/>
        <v>2340</v>
      </c>
      <c r="F836" s="161" t="s">
        <v>444</v>
      </c>
      <c r="G836" s="37" t="s">
        <v>656</v>
      </c>
      <c r="H836" s="32">
        <f>H825-E836</f>
        <v>149300</v>
      </c>
      <c r="I836" s="32"/>
      <c r="J836" s="32"/>
      <c r="K836" s="30">
        <v>260805004</v>
      </c>
      <c r="L836" s="30"/>
      <c r="M836" s="30">
        <f>M829-D836</f>
        <v>4</v>
      </c>
      <c r="N836" s="19">
        <v>46192</v>
      </c>
      <c r="O836" s="21">
        <f t="shared" si="68"/>
        <v>46556</v>
      </c>
    </row>
    <row r="837" spans="1:15" ht="20.149999999999999" hidden="1" customHeight="1" x14ac:dyDescent="0.25">
      <c r="A837" s="40">
        <v>46241</v>
      </c>
      <c r="B837" s="40">
        <v>46241</v>
      </c>
      <c r="C837" s="41" t="s">
        <v>1444</v>
      </c>
      <c r="D837" s="41">
        <v>4</v>
      </c>
      <c r="E837" s="41">
        <f t="shared" si="67"/>
        <v>780</v>
      </c>
      <c r="F837" s="60" t="s">
        <v>27</v>
      </c>
      <c r="G837" s="60" t="s">
        <v>1454</v>
      </c>
      <c r="H837" s="42">
        <f>H827-E837</f>
        <v>1560</v>
      </c>
      <c r="I837" s="42"/>
      <c r="J837" s="42"/>
      <c r="K837" s="41" t="s">
        <v>1792</v>
      </c>
      <c r="L837" s="41"/>
      <c r="M837" s="41">
        <f>M836-D837</f>
        <v>0</v>
      </c>
      <c r="N837" s="19">
        <v>46192</v>
      </c>
      <c r="O837" s="21">
        <f t="shared" si="68"/>
        <v>46556</v>
      </c>
    </row>
    <row r="838" spans="1:15" ht="20.149999999999999" hidden="1" customHeight="1" x14ac:dyDescent="0.25">
      <c r="A838" s="40">
        <v>46241</v>
      </c>
      <c r="B838" s="40">
        <v>46241</v>
      </c>
      <c r="C838" s="41" t="s">
        <v>1786</v>
      </c>
      <c r="D838" s="41">
        <v>4</v>
      </c>
      <c r="E838" s="41">
        <f t="shared" si="67"/>
        <v>780</v>
      </c>
      <c r="F838" s="60" t="s">
        <v>27</v>
      </c>
      <c r="G838" s="60" t="s">
        <v>1454</v>
      </c>
      <c r="H838" s="42">
        <f>H837-E838</f>
        <v>780</v>
      </c>
      <c r="I838" s="42"/>
      <c r="J838" s="42"/>
      <c r="K838" s="41" t="s">
        <v>1793</v>
      </c>
      <c r="L838" s="41"/>
      <c r="M838" s="41">
        <f>M830-D838</f>
        <v>28</v>
      </c>
      <c r="N838" s="19">
        <v>46193</v>
      </c>
      <c r="O838" s="21">
        <f t="shared" si="68"/>
        <v>46557</v>
      </c>
    </row>
    <row r="839" spans="1:15" ht="20.149999999999999" hidden="1" customHeight="1" x14ac:dyDescent="0.25">
      <c r="A839" s="22">
        <v>46244</v>
      </c>
      <c r="B839" s="22">
        <v>46245</v>
      </c>
      <c r="C839" s="23" t="s">
        <v>1438</v>
      </c>
      <c r="D839" s="23">
        <v>4</v>
      </c>
      <c r="E839" s="23">
        <f t="shared" si="67"/>
        <v>780</v>
      </c>
      <c r="F839" s="38" t="s">
        <v>267</v>
      </c>
      <c r="G839" s="38" t="s">
        <v>1805</v>
      </c>
      <c r="H839" s="25">
        <f>H833-E839</f>
        <v>3120</v>
      </c>
      <c r="I839" s="25"/>
      <c r="J839" s="25"/>
      <c r="K839" s="23">
        <v>260807002</v>
      </c>
      <c r="L839" s="23"/>
      <c r="M839" s="23">
        <f>M838-D839</f>
        <v>24</v>
      </c>
      <c r="N839" s="19">
        <v>46193</v>
      </c>
      <c r="O839" s="21">
        <f t="shared" si="68"/>
        <v>46557</v>
      </c>
    </row>
    <row r="840" spans="1:15" ht="20.149999999999999" hidden="1" customHeight="1" x14ac:dyDescent="0.25">
      <c r="A840" s="22">
        <v>46244</v>
      </c>
      <c r="B840" s="22">
        <v>46245</v>
      </c>
      <c r="C840" s="23" t="s">
        <v>1794</v>
      </c>
      <c r="D840" s="23">
        <v>4</v>
      </c>
      <c r="E840" s="23">
        <f t="shared" si="67"/>
        <v>780</v>
      </c>
      <c r="F840" s="38" t="s">
        <v>267</v>
      </c>
      <c r="G840" s="38" t="s">
        <v>1799</v>
      </c>
      <c r="H840" s="25">
        <f>H839-E840</f>
        <v>2340</v>
      </c>
      <c r="I840" s="43" t="s">
        <v>22</v>
      </c>
      <c r="J840" s="25"/>
      <c r="K840" s="23">
        <v>260807002</v>
      </c>
      <c r="L840" s="23">
        <v>41</v>
      </c>
      <c r="M840" s="23">
        <f>L840-D840</f>
        <v>37</v>
      </c>
      <c r="N840" s="19">
        <v>46229</v>
      </c>
      <c r="O840" s="21">
        <f t="shared" si="68"/>
        <v>46593</v>
      </c>
    </row>
    <row r="841" spans="1:15" ht="20.149999999999999" hidden="1" customHeight="1" x14ac:dyDescent="0.25">
      <c r="A841" s="22">
        <v>46244</v>
      </c>
      <c r="B841" s="22">
        <v>46245</v>
      </c>
      <c r="C841" s="23" t="s">
        <v>1800</v>
      </c>
      <c r="D841" s="23">
        <v>4</v>
      </c>
      <c r="E841" s="23">
        <f t="shared" si="67"/>
        <v>780</v>
      </c>
      <c r="F841" s="38" t="s">
        <v>267</v>
      </c>
      <c r="G841" s="38" t="s">
        <v>1543</v>
      </c>
      <c r="H841" s="25">
        <f>H840-E841</f>
        <v>1560</v>
      </c>
      <c r="I841" s="43" t="s">
        <v>22</v>
      </c>
      <c r="J841" s="25"/>
      <c r="K841" s="23">
        <v>260807002</v>
      </c>
      <c r="L841" s="23">
        <v>42</v>
      </c>
      <c r="M841" s="23">
        <f>L841-D841</f>
        <v>38</v>
      </c>
      <c r="N841" s="19">
        <v>46231</v>
      </c>
      <c r="O841" s="21">
        <f t="shared" si="68"/>
        <v>46595</v>
      </c>
    </row>
    <row r="842" spans="1:15" ht="20.149999999999999" hidden="1" customHeight="1" x14ac:dyDescent="0.3">
      <c r="A842" s="33">
        <v>46244</v>
      </c>
      <c r="B842" s="33">
        <v>46245</v>
      </c>
      <c r="C842" s="34" t="s">
        <v>1801</v>
      </c>
      <c r="D842" s="34">
        <v>4</v>
      </c>
      <c r="E842" s="34">
        <f t="shared" si="67"/>
        <v>780</v>
      </c>
      <c r="F842" s="39" t="s">
        <v>274</v>
      </c>
      <c r="G842" s="39" t="s">
        <v>1806</v>
      </c>
      <c r="H842" s="35">
        <f>H835-E842</f>
        <v>7020</v>
      </c>
      <c r="I842" s="63" t="s">
        <v>22</v>
      </c>
      <c r="J842" s="35"/>
      <c r="K842" s="34">
        <v>260807003</v>
      </c>
      <c r="L842" s="34">
        <v>41</v>
      </c>
      <c r="M842" s="34">
        <f>L842-D842</f>
        <v>37</v>
      </c>
      <c r="N842" s="19">
        <v>46232</v>
      </c>
      <c r="O842" s="21">
        <f t="shared" si="68"/>
        <v>46596</v>
      </c>
    </row>
    <row r="843" spans="1:15" ht="20.149999999999999" hidden="1" customHeight="1" x14ac:dyDescent="0.3">
      <c r="A843" s="33">
        <v>46244</v>
      </c>
      <c r="B843" s="33">
        <v>46245</v>
      </c>
      <c r="C843" s="34" t="s">
        <v>1795</v>
      </c>
      <c r="D843" s="34">
        <v>4</v>
      </c>
      <c r="E843" s="34">
        <f t="shared" si="67"/>
        <v>780</v>
      </c>
      <c r="F843" s="39" t="s">
        <v>274</v>
      </c>
      <c r="G843" s="39" t="s">
        <v>1469</v>
      </c>
      <c r="H843" s="35">
        <f>H842-E843</f>
        <v>6240</v>
      </c>
      <c r="I843" s="63" t="s">
        <v>22</v>
      </c>
      <c r="J843" s="35"/>
      <c r="K843" s="34">
        <v>260807003</v>
      </c>
      <c r="L843" s="34">
        <v>41</v>
      </c>
      <c r="M843" s="34">
        <f>L843-D843</f>
        <v>37</v>
      </c>
      <c r="N843" s="19">
        <v>46233</v>
      </c>
      <c r="O843" s="21">
        <f t="shared" si="68"/>
        <v>46597</v>
      </c>
    </row>
    <row r="844" spans="1:15" ht="20.149999999999999" hidden="1" customHeight="1" x14ac:dyDescent="0.3">
      <c r="A844" s="33">
        <v>46244</v>
      </c>
      <c r="B844" s="33">
        <v>46245</v>
      </c>
      <c r="C844" s="34" t="s">
        <v>1796</v>
      </c>
      <c r="D844" s="34">
        <v>4</v>
      </c>
      <c r="E844" s="34">
        <f t="shared" si="67"/>
        <v>780</v>
      </c>
      <c r="F844" s="39" t="s">
        <v>274</v>
      </c>
      <c r="G844" s="39" t="s">
        <v>1808</v>
      </c>
      <c r="H844" s="35">
        <f>H843-E844</f>
        <v>5460</v>
      </c>
      <c r="I844" s="63" t="s">
        <v>22</v>
      </c>
      <c r="J844" s="35"/>
      <c r="K844" s="34" t="s">
        <v>1807</v>
      </c>
      <c r="L844" s="34">
        <v>41</v>
      </c>
      <c r="M844" s="34">
        <f>L844-D844</f>
        <v>37</v>
      </c>
      <c r="N844" s="19">
        <v>46234</v>
      </c>
      <c r="O844" s="21">
        <f t="shared" si="68"/>
        <v>46598</v>
      </c>
    </row>
    <row r="845" spans="1:15" ht="20.149999999999999" hidden="1" customHeight="1" x14ac:dyDescent="0.2">
      <c r="A845" s="29">
        <v>46244</v>
      </c>
      <c r="B845" s="29">
        <v>46245</v>
      </c>
      <c r="C845" s="30" t="s">
        <v>1438</v>
      </c>
      <c r="D845" s="30">
        <v>12</v>
      </c>
      <c r="E845" s="30">
        <f t="shared" si="67"/>
        <v>2340</v>
      </c>
      <c r="F845" s="37" t="s">
        <v>30</v>
      </c>
      <c r="G845" s="37" t="s">
        <v>1549</v>
      </c>
      <c r="H845" s="32">
        <f>H831-E845</f>
        <v>13260</v>
      </c>
      <c r="I845" s="32"/>
      <c r="J845" s="32"/>
      <c r="K845" s="30">
        <v>260807004</v>
      </c>
      <c r="L845" s="30"/>
      <c r="M845" s="30">
        <f>M839-D845</f>
        <v>12</v>
      </c>
      <c r="N845" s="19">
        <v>46193</v>
      </c>
      <c r="O845" s="21">
        <f t="shared" si="68"/>
        <v>46557</v>
      </c>
    </row>
    <row r="846" spans="1:15" ht="20.149999999999999" hidden="1" customHeight="1" x14ac:dyDescent="0.2">
      <c r="A846" s="40">
        <v>46244</v>
      </c>
      <c r="B846" s="129">
        <v>46244</v>
      </c>
      <c r="C846" s="41" t="s">
        <v>1500</v>
      </c>
      <c r="D846" s="41">
        <v>12</v>
      </c>
      <c r="E846" s="41">
        <f t="shared" si="67"/>
        <v>2340</v>
      </c>
      <c r="F846" s="41" t="s">
        <v>31</v>
      </c>
      <c r="G846" s="60" t="s">
        <v>869</v>
      </c>
      <c r="H846" s="42">
        <f>H814-E846</f>
        <v>10860</v>
      </c>
      <c r="I846" s="42"/>
      <c r="J846" s="42"/>
      <c r="K846" s="41" t="s">
        <v>1812</v>
      </c>
      <c r="L846" s="41"/>
      <c r="M846" s="41">
        <f>M735-D846</f>
        <v>25</v>
      </c>
      <c r="N846" s="19">
        <v>46194</v>
      </c>
      <c r="O846" s="21">
        <f t="shared" si="68"/>
        <v>46558</v>
      </c>
    </row>
    <row r="847" spans="1:15" ht="20.149999999999999" hidden="1" customHeight="1" x14ac:dyDescent="0.2">
      <c r="A847" s="26">
        <v>46244</v>
      </c>
      <c r="B847" s="26">
        <v>46245</v>
      </c>
      <c r="C847" s="27" t="s">
        <v>1802</v>
      </c>
      <c r="D847" s="27">
        <v>12</v>
      </c>
      <c r="E847" s="27">
        <f t="shared" si="67"/>
        <v>2340</v>
      </c>
      <c r="F847" s="149" t="s">
        <v>444</v>
      </c>
      <c r="G847" s="36" t="s">
        <v>1809</v>
      </c>
      <c r="H847" s="28">
        <f>H836-E847</f>
        <v>146960</v>
      </c>
      <c r="I847" s="28"/>
      <c r="J847" s="28"/>
      <c r="K847" s="27">
        <v>260807006</v>
      </c>
      <c r="L847" s="27"/>
      <c r="M847" s="27">
        <f>M845-D847</f>
        <v>0</v>
      </c>
      <c r="N847" s="19">
        <v>46193</v>
      </c>
      <c r="O847" s="21">
        <f t="shared" si="68"/>
        <v>46557</v>
      </c>
    </row>
    <row r="848" spans="1:15" ht="20.149999999999999" hidden="1" customHeight="1" x14ac:dyDescent="0.2">
      <c r="A848" s="33">
        <v>46245</v>
      </c>
      <c r="B848" s="33">
        <v>46245</v>
      </c>
      <c r="C848" s="34" t="s">
        <v>1500</v>
      </c>
      <c r="D848" s="34">
        <v>4</v>
      </c>
      <c r="E848" s="34">
        <f t="shared" si="67"/>
        <v>780</v>
      </c>
      <c r="F848" s="34" t="s">
        <v>1569</v>
      </c>
      <c r="G848" s="34" t="s">
        <v>1822</v>
      </c>
      <c r="H848" s="35">
        <f>H817-E848</f>
        <v>50860</v>
      </c>
      <c r="I848" s="35"/>
      <c r="J848" s="35"/>
      <c r="K848" s="34">
        <v>260810006</v>
      </c>
      <c r="L848" s="34"/>
      <c r="M848" s="34">
        <f>M846-D848</f>
        <v>21</v>
      </c>
      <c r="N848" s="19">
        <v>46194</v>
      </c>
      <c r="O848" s="21">
        <f t="shared" si="68"/>
        <v>46558</v>
      </c>
    </row>
    <row r="849" spans="1:15" ht="20.149999999999999" hidden="1" customHeight="1" x14ac:dyDescent="0.25">
      <c r="A849" s="22">
        <v>46245</v>
      </c>
      <c r="B849" s="22">
        <v>46245</v>
      </c>
      <c r="C849" s="23" t="s">
        <v>1817</v>
      </c>
      <c r="D849" s="23">
        <v>4</v>
      </c>
      <c r="E849" s="23">
        <f t="shared" si="67"/>
        <v>780</v>
      </c>
      <c r="F849" s="38" t="s">
        <v>27</v>
      </c>
      <c r="G849" s="38" t="s">
        <v>1823</v>
      </c>
      <c r="H849" s="25">
        <f>H838-E849</f>
        <v>0</v>
      </c>
      <c r="I849" s="25"/>
      <c r="J849" s="25"/>
      <c r="K849" s="23">
        <v>260810007</v>
      </c>
      <c r="L849" s="23"/>
      <c r="M849" s="23">
        <f>M736-D849</f>
        <v>34</v>
      </c>
      <c r="N849" s="19">
        <v>46196</v>
      </c>
      <c r="O849" s="21">
        <f t="shared" si="68"/>
        <v>46560</v>
      </c>
    </row>
    <row r="850" spans="1:15" ht="20.149999999999999" hidden="1" customHeight="1" x14ac:dyDescent="0.25">
      <c r="A850" s="22">
        <v>46245</v>
      </c>
      <c r="B850" s="22">
        <v>46245</v>
      </c>
      <c r="C850" s="23" t="s">
        <v>1813</v>
      </c>
      <c r="D850" s="23">
        <v>8</v>
      </c>
      <c r="E850" s="23">
        <f t="shared" si="67"/>
        <v>1560</v>
      </c>
      <c r="F850" s="38" t="s">
        <v>27</v>
      </c>
      <c r="G850" s="148" t="s">
        <v>1814</v>
      </c>
      <c r="H850" s="25">
        <f>25740-E850</f>
        <v>24180</v>
      </c>
      <c r="I850" s="25"/>
      <c r="J850" s="25"/>
      <c r="K850" s="23" t="s">
        <v>1821</v>
      </c>
      <c r="L850" s="23"/>
      <c r="M850" s="23">
        <f>M849-D850</f>
        <v>26</v>
      </c>
      <c r="N850" s="19">
        <v>46196</v>
      </c>
      <c r="O850" s="21">
        <f t="shared" si="68"/>
        <v>46560</v>
      </c>
    </row>
    <row r="851" spans="1:15" ht="20.149999999999999" hidden="1" customHeight="1" x14ac:dyDescent="0.25">
      <c r="A851" s="40">
        <v>46246</v>
      </c>
      <c r="B851" s="40">
        <v>46247</v>
      </c>
      <c r="C851" s="41" t="s">
        <v>1830</v>
      </c>
      <c r="D851" s="41">
        <v>21</v>
      </c>
      <c r="E851" s="41">
        <f t="shared" si="67"/>
        <v>4095</v>
      </c>
      <c r="F851" s="60" t="s">
        <v>307</v>
      </c>
      <c r="G851" s="60" t="s">
        <v>1832</v>
      </c>
      <c r="H851" s="42">
        <f>H830-E851</f>
        <v>27885</v>
      </c>
      <c r="I851" s="42"/>
      <c r="J851" s="42"/>
      <c r="K851" s="41" t="s">
        <v>1833</v>
      </c>
      <c r="L851" s="41"/>
      <c r="M851" s="41">
        <f>M848-D851</f>
        <v>0</v>
      </c>
      <c r="N851" s="19">
        <v>46194</v>
      </c>
      <c r="O851" s="21">
        <f t="shared" si="68"/>
        <v>46558</v>
      </c>
    </row>
    <row r="852" spans="1:15" ht="20.149999999999999" hidden="1" customHeight="1" x14ac:dyDescent="0.25">
      <c r="A852" s="40">
        <v>46246</v>
      </c>
      <c r="B852" s="40">
        <v>46247</v>
      </c>
      <c r="C852" s="41" t="s">
        <v>1501</v>
      </c>
      <c r="D852" s="41">
        <v>19</v>
      </c>
      <c r="E852" s="41">
        <f t="shared" si="67"/>
        <v>3705</v>
      </c>
      <c r="F852" s="60" t="s">
        <v>307</v>
      </c>
      <c r="G852" s="60" t="s">
        <v>1827</v>
      </c>
      <c r="H852" s="42">
        <f>H851-E852</f>
        <v>24180</v>
      </c>
      <c r="I852" s="42"/>
      <c r="J852" s="42"/>
      <c r="K852" s="41" t="s">
        <v>1833</v>
      </c>
      <c r="L852" s="41"/>
      <c r="M852" s="41">
        <f>M850-D852</f>
        <v>7</v>
      </c>
      <c r="N852" s="19">
        <v>46196</v>
      </c>
      <c r="O852" s="21">
        <f t="shared" si="68"/>
        <v>46560</v>
      </c>
    </row>
    <row r="853" spans="1:15" ht="20.149999999999999" hidden="1" customHeight="1" x14ac:dyDescent="0.25">
      <c r="A853" s="29">
        <v>46247</v>
      </c>
      <c r="B853" s="29">
        <v>46248</v>
      </c>
      <c r="C853" s="30" t="s">
        <v>1501</v>
      </c>
      <c r="D853" s="30">
        <v>7</v>
      </c>
      <c r="E853" s="30">
        <f t="shared" si="67"/>
        <v>1365</v>
      </c>
      <c r="F853" s="37" t="s">
        <v>267</v>
      </c>
      <c r="G853" s="37" t="s">
        <v>1408</v>
      </c>
      <c r="H853" s="32">
        <f>H841-E853</f>
        <v>195</v>
      </c>
      <c r="I853" s="32"/>
      <c r="J853" s="32"/>
      <c r="K853" s="30">
        <v>260812003</v>
      </c>
      <c r="L853" s="30"/>
      <c r="M853" s="30">
        <f>M852-D853</f>
        <v>0</v>
      </c>
      <c r="N853" s="19">
        <v>46196</v>
      </c>
      <c r="O853" s="21">
        <f t="shared" si="68"/>
        <v>46560</v>
      </c>
    </row>
    <row r="854" spans="1:15" ht="20.149999999999999" hidden="1" customHeight="1" x14ac:dyDescent="0.25">
      <c r="A854" s="29">
        <v>46247</v>
      </c>
      <c r="B854" s="29">
        <v>46248</v>
      </c>
      <c r="C854" s="30" t="s">
        <v>1502</v>
      </c>
      <c r="D854" s="30">
        <v>1</v>
      </c>
      <c r="E854" s="30">
        <f t="shared" si="67"/>
        <v>195</v>
      </c>
      <c r="F854" s="37" t="s">
        <v>267</v>
      </c>
      <c r="G854" s="37" t="s">
        <v>1408</v>
      </c>
      <c r="H854" s="32">
        <f>H853-E854</f>
        <v>0</v>
      </c>
      <c r="I854" s="32"/>
      <c r="J854" s="32"/>
      <c r="K854" s="30">
        <v>260812003</v>
      </c>
      <c r="L854" s="30"/>
      <c r="M854" s="30">
        <f>M737-D854</f>
        <v>37</v>
      </c>
      <c r="N854" s="19">
        <v>46197</v>
      </c>
      <c r="O854" s="21">
        <f t="shared" si="68"/>
        <v>46561</v>
      </c>
    </row>
    <row r="855" spans="1:15" ht="20.149999999999999" hidden="1" customHeight="1" x14ac:dyDescent="0.3">
      <c r="A855" s="26">
        <v>46247</v>
      </c>
      <c r="B855" s="26">
        <v>46248</v>
      </c>
      <c r="C855" s="27" t="s">
        <v>1502</v>
      </c>
      <c r="D855" s="27">
        <v>8</v>
      </c>
      <c r="E855" s="27">
        <f t="shared" si="67"/>
        <v>1560</v>
      </c>
      <c r="F855" s="36" t="s">
        <v>274</v>
      </c>
      <c r="G855" s="36" t="s">
        <v>1840</v>
      </c>
      <c r="H855" s="28">
        <f>H844-E855</f>
        <v>3900</v>
      </c>
      <c r="I855" s="28"/>
      <c r="J855" s="28"/>
      <c r="K855" s="27">
        <v>260812004</v>
      </c>
      <c r="L855" s="27"/>
      <c r="M855" s="27">
        <f>M854-D855</f>
        <v>29</v>
      </c>
      <c r="N855" s="19">
        <v>46197</v>
      </c>
      <c r="O855" s="21">
        <f t="shared" si="68"/>
        <v>46561</v>
      </c>
    </row>
    <row r="856" spans="1:15" ht="20.149999999999999" hidden="1" customHeight="1" x14ac:dyDescent="0.2">
      <c r="A856" s="22">
        <v>46247</v>
      </c>
      <c r="B856" s="22">
        <v>46248</v>
      </c>
      <c r="C856" s="23" t="s">
        <v>1836</v>
      </c>
      <c r="D856" s="23">
        <v>16</v>
      </c>
      <c r="E856" s="23">
        <f t="shared" si="67"/>
        <v>3120</v>
      </c>
      <c r="F856" s="38" t="s">
        <v>30</v>
      </c>
      <c r="G856" s="38" t="s">
        <v>1549</v>
      </c>
      <c r="H856" s="25">
        <f>H845-E856</f>
        <v>10140</v>
      </c>
      <c r="I856" s="25"/>
      <c r="J856" s="25"/>
      <c r="K856" s="23">
        <v>260812005</v>
      </c>
      <c r="L856" s="23"/>
      <c r="M856" s="23">
        <f>M855-D856</f>
        <v>13</v>
      </c>
      <c r="N856" s="19">
        <v>46197</v>
      </c>
      <c r="O856" s="21">
        <f t="shared" si="68"/>
        <v>46561</v>
      </c>
    </row>
    <row r="857" spans="1:15" ht="20.149999999999999" hidden="1" customHeight="1" x14ac:dyDescent="0.2">
      <c r="A857" s="90">
        <v>46247</v>
      </c>
      <c r="B857" s="90">
        <v>46248</v>
      </c>
      <c r="C857" s="91" t="s">
        <v>1844</v>
      </c>
      <c r="D857" s="91">
        <v>8</v>
      </c>
      <c r="E857" s="91">
        <f t="shared" si="67"/>
        <v>1560</v>
      </c>
      <c r="F857" s="91" t="s">
        <v>31</v>
      </c>
      <c r="G857" s="92" t="s">
        <v>940</v>
      </c>
      <c r="H857" s="93">
        <f>H846-E857</f>
        <v>9300</v>
      </c>
      <c r="I857" s="93"/>
      <c r="J857" s="93"/>
      <c r="K857" s="91">
        <v>260813001</v>
      </c>
      <c r="L857" s="91"/>
      <c r="M857" s="91">
        <f>M738-D857</f>
        <v>29</v>
      </c>
      <c r="N857" s="19">
        <v>46198</v>
      </c>
      <c r="O857" s="21">
        <f t="shared" si="68"/>
        <v>46562</v>
      </c>
    </row>
    <row r="858" spans="1:15" ht="20.149999999999999" hidden="1" customHeight="1" x14ac:dyDescent="0.2">
      <c r="A858" s="33">
        <v>46247</v>
      </c>
      <c r="B858" s="33">
        <v>46248</v>
      </c>
      <c r="C858" s="34" t="s">
        <v>1837</v>
      </c>
      <c r="D858" s="34">
        <v>8</v>
      </c>
      <c r="E858" s="34">
        <f t="shared" si="67"/>
        <v>1560</v>
      </c>
      <c r="F858" s="145" t="s">
        <v>444</v>
      </c>
      <c r="G858" s="39" t="s">
        <v>1841</v>
      </c>
      <c r="H858" s="35">
        <f>H847-E858</f>
        <v>145400</v>
      </c>
      <c r="I858" s="35"/>
      <c r="J858" s="35"/>
      <c r="K858" s="34">
        <v>260812006</v>
      </c>
      <c r="L858" s="34"/>
      <c r="M858" s="34">
        <f>M856-D858</f>
        <v>5</v>
      </c>
      <c r="N858" s="19">
        <v>46197</v>
      </c>
      <c r="O858" s="21">
        <f t="shared" si="68"/>
        <v>46561</v>
      </c>
    </row>
    <row r="859" spans="1:15" ht="20.149999999999999" hidden="1" customHeight="1" x14ac:dyDescent="0.25">
      <c r="A859" s="29">
        <v>46248</v>
      </c>
      <c r="B859" s="29">
        <v>46248</v>
      </c>
      <c r="C859" s="30" t="s">
        <v>1848</v>
      </c>
      <c r="D859" s="30">
        <v>5</v>
      </c>
      <c r="E859" s="30">
        <f t="shared" si="67"/>
        <v>975</v>
      </c>
      <c r="F859" s="37" t="s">
        <v>27</v>
      </c>
      <c r="G859" s="37" t="s">
        <v>1854</v>
      </c>
      <c r="H859" s="32">
        <f>H850-E859</f>
        <v>23205</v>
      </c>
      <c r="I859" s="32"/>
      <c r="J859" s="32"/>
      <c r="K859" s="30">
        <v>260813003</v>
      </c>
      <c r="L859" s="30"/>
      <c r="M859" s="30">
        <f>M858-D859</f>
        <v>0</v>
      </c>
      <c r="N859" s="19">
        <v>46197</v>
      </c>
      <c r="O859" s="21">
        <f t="shared" si="68"/>
        <v>46561</v>
      </c>
    </row>
    <row r="860" spans="1:15" ht="20.149999999999999" hidden="1" customHeight="1" x14ac:dyDescent="0.25">
      <c r="A860" s="29">
        <v>46248</v>
      </c>
      <c r="B860" s="29">
        <v>46248</v>
      </c>
      <c r="C860" s="30" t="s">
        <v>1849</v>
      </c>
      <c r="D860" s="30">
        <v>3</v>
      </c>
      <c r="E860" s="30">
        <f t="shared" si="67"/>
        <v>585</v>
      </c>
      <c r="F860" s="37" t="s">
        <v>27</v>
      </c>
      <c r="G860" s="37" t="s">
        <v>1845</v>
      </c>
      <c r="H860" s="32">
        <f>H859-E860</f>
        <v>22620</v>
      </c>
      <c r="I860" s="32"/>
      <c r="J860" s="32"/>
      <c r="K860" s="30">
        <v>260813003</v>
      </c>
      <c r="L860" s="30"/>
      <c r="M860" s="30">
        <f>M857-D860</f>
        <v>26</v>
      </c>
      <c r="N860" s="19">
        <v>46198</v>
      </c>
      <c r="O860" s="21">
        <f t="shared" si="68"/>
        <v>46562</v>
      </c>
    </row>
    <row r="861" spans="1:15" ht="20.149999999999999" hidden="1" customHeight="1" x14ac:dyDescent="0.2">
      <c r="A861" s="40">
        <v>46248</v>
      </c>
      <c r="B861" s="40">
        <v>46251</v>
      </c>
      <c r="C861" s="41" t="s">
        <v>1853</v>
      </c>
      <c r="D861" s="41">
        <v>12</v>
      </c>
      <c r="E861" s="41">
        <f t="shared" si="67"/>
        <v>2340</v>
      </c>
      <c r="F861" s="146" t="s">
        <v>444</v>
      </c>
      <c r="G861" s="60" t="s">
        <v>1855</v>
      </c>
      <c r="H861" s="42">
        <f>H858-E861</f>
        <v>143060</v>
      </c>
      <c r="I861" s="42"/>
      <c r="J861" s="42"/>
      <c r="K861" s="41">
        <v>260813007</v>
      </c>
      <c r="L861" s="41"/>
      <c r="M861" s="41">
        <f>M860-D861</f>
        <v>14</v>
      </c>
      <c r="N861" s="19">
        <v>46198</v>
      </c>
      <c r="O861" s="21">
        <f t="shared" si="68"/>
        <v>46562</v>
      </c>
    </row>
    <row r="862" spans="1:15" ht="20.149999999999999" hidden="1" customHeight="1" x14ac:dyDescent="0.2">
      <c r="A862" s="26">
        <v>46251</v>
      </c>
      <c r="B862" s="26">
        <v>46252</v>
      </c>
      <c r="C862" s="27" t="s">
        <v>1865</v>
      </c>
      <c r="D862" s="27">
        <v>4</v>
      </c>
      <c r="E862" s="27">
        <f t="shared" si="67"/>
        <v>780</v>
      </c>
      <c r="F862" s="27" t="s">
        <v>1860</v>
      </c>
      <c r="G862" s="149" t="s">
        <v>1913</v>
      </c>
      <c r="H862" s="28">
        <f>27300-E862</f>
        <v>26520</v>
      </c>
      <c r="I862" s="61" t="s">
        <v>22</v>
      </c>
      <c r="J862" s="28"/>
      <c r="K862" s="27">
        <v>260814003</v>
      </c>
      <c r="L862" s="27">
        <v>42</v>
      </c>
      <c r="M862" s="27">
        <f t="shared" ref="M862:M867" si="70">L862-D862</f>
        <v>38</v>
      </c>
      <c r="N862" s="19">
        <v>46235</v>
      </c>
      <c r="O862" s="21">
        <f t="shared" si="68"/>
        <v>46599</v>
      </c>
    </row>
    <row r="863" spans="1:15" ht="20.149999999999999" hidden="1" customHeight="1" x14ac:dyDescent="0.2">
      <c r="A863" s="26">
        <v>46251</v>
      </c>
      <c r="B863" s="26">
        <v>46252</v>
      </c>
      <c r="C863" s="27" t="s">
        <v>1866</v>
      </c>
      <c r="D863" s="27">
        <v>4</v>
      </c>
      <c r="E863" s="27">
        <f t="shared" si="67"/>
        <v>780</v>
      </c>
      <c r="F863" s="27" t="s">
        <v>1860</v>
      </c>
      <c r="G863" s="149" t="s">
        <v>1913</v>
      </c>
      <c r="H863" s="28">
        <f>H862-E863</f>
        <v>25740</v>
      </c>
      <c r="I863" s="61" t="s">
        <v>22</v>
      </c>
      <c r="J863" s="28"/>
      <c r="K863" s="27">
        <v>260814003</v>
      </c>
      <c r="L863" s="27">
        <v>41</v>
      </c>
      <c r="M863" s="27">
        <f t="shared" si="70"/>
        <v>37</v>
      </c>
      <c r="N863" s="19">
        <v>46236</v>
      </c>
      <c r="O863" s="21">
        <f t="shared" si="68"/>
        <v>46600</v>
      </c>
    </row>
    <row r="864" spans="1:15" ht="20.149999999999999" hidden="1" customHeight="1" x14ac:dyDescent="0.2">
      <c r="A864" s="26">
        <v>46251</v>
      </c>
      <c r="B864" s="26">
        <v>46252</v>
      </c>
      <c r="C864" s="27" t="s">
        <v>1867</v>
      </c>
      <c r="D864" s="27">
        <v>4</v>
      </c>
      <c r="E864" s="27">
        <f t="shared" si="67"/>
        <v>780</v>
      </c>
      <c r="F864" s="27" t="s">
        <v>1860</v>
      </c>
      <c r="G864" s="149" t="s">
        <v>1913</v>
      </c>
      <c r="H864" s="28">
        <f>H863-E864</f>
        <v>24960</v>
      </c>
      <c r="I864" s="61" t="s">
        <v>22</v>
      </c>
      <c r="J864" s="28"/>
      <c r="K864" s="27">
        <v>260814003</v>
      </c>
      <c r="L864" s="27">
        <v>41</v>
      </c>
      <c r="M864" s="27">
        <f t="shared" si="70"/>
        <v>37</v>
      </c>
      <c r="N864" s="19">
        <v>46238</v>
      </c>
      <c r="O864" s="21">
        <f t="shared" si="68"/>
        <v>46602</v>
      </c>
    </row>
    <row r="865" spans="1:15" ht="20.149999999999999" hidden="1" customHeight="1" x14ac:dyDescent="0.3">
      <c r="A865" s="22">
        <v>46251</v>
      </c>
      <c r="B865" s="22">
        <v>46252</v>
      </c>
      <c r="C865" s="23" t="s">
        <v>1868</v>
      </c>
      <c r="D865" s="23">
        <v>4</v>
      </c>
      <c r="E865" s="23">
        <f t="shared" si="67"/>
        <v>780</v>
      </c>
      <c r="F865" s="38" t="s">
        <v>274</v>
      </c>
      <c r="G865" s="38" t="s">
        <v>1871</v>
      </c>
      <c r="H865" s="25">
        <f>H855-E865</f>
        <v>3120</v>
      </c>
      <c r="I865" s="43" t="s">
        <v>22</v>
      </c>
      <c r="J865" s="25"/>
      <c r="K865" s="23">
        <v>260814004</v>
      </c>
      <c r="L865" s="23">
        <v>42</v>
      </c>
      <c r="M865" s="23">
        <f t="shared" si="70"/>
        <v>38</v>
      </c>
      <c r="N865" s="19">
        <v>46239</v>
      </c>
      <c r="O865" s="21">
        <f t="shared" si="68"/>
        <v>46603</v>
      </c>
    </row>
    <row r="866" spans="1:15" ht="20.149999999999999" hidden="1" customHeight="1" x14ac:dyDescent="0.3">
      <c r="A866" s="22">
        <v>46251</v>
      </c>
      <c r="B866" s="22">
        <v>46252</v>
      </c>
      <c r="C866" s="23" t="s">
        <v>1861</v>
      </c>
      <c r="D866" s="23">
        <v>4</v>
      </c>
      <c r="E866" s="23">
        <f t="shared" si="67"/>
        <v>780</v>
      </c>
      <c r="F866" s="38" t="s">
        <v>274</v>
      </c>
      <c r="G866" s="38" t="s">
        <v>1863</v>
      </c>
      <c r="H866" s="25">
        <f>H865-E866</f>
        <v>2340</v>
      </c>
      <c r="I866" s="43" t="s">
        <v>22</v>
      </c>
      <c r="J866" s="25"/>
      <c r="K866" s="23">
        <v>260814004</v>
      </c>
      <c r="L866" s="23">
        <v>41</v>
      </c>
      <c r="M866" s="23">
        <f t="shared" si="70"/>
        <v>37</v>
      </c>
      <c r="N866" s="19">
        <v>46240</v>
      </c>
      <c r="O866" s="21">
        <f t="shared" si="68"/>
        <v>46604</v>
      </c>
    </row>
    <row r="867" spans="1:15" ht="20.149999999999999" hidden="1" customHeight="1" x14ac:dyDescent="0.3">
      <c r="A867" s="22">
        <v>46251</v>
      </c>
      <c r="B867" s="22">
        <v>46252</v>
      </c>
      <c r="C867" s="23" t="s">
        <v>1862</v>
      </c>
      <c r="D867" s="23">
        <v>4</v>
      </c>
      <c r="E867" s="23">
        <f t="shared" si="67"/>
        <v>780</v>
      </c>
      <c r="F867" s="38" t="s">
        <v>274</v>
      </c>
      <c r="G867" s="38" t="s">
        <v>1872</v>
      </c>
      <c r="H867" s="25">
        <f>H866-E867</f>
        <v>1560</v>
      </c>
      <c r="I867" s="43" t="s">
        <v>22</v>
      </c>
      <c r="J867" s="25"/>
      <c r="K867" s="23" t="s">
        <v>1875</v>
      </c>
      <c r="L867" s="23">
        <v>41</v>
      </c>
      <c r="M867" s="23">
        <f t="shared" si="70"/>
        <v>37</v>
      </c>
      <c r="N867" s="19">
        <v>46241</v>
      </c>
      <c r="O867" s="21">
        <f t="shared" si="68"/>
        <v>46605</v>
      </c>
    </row>
    <row r="868" spans="1:15" ht="20.149999999999999" hidden="1" customHeight="1" x14ac:dyDescent="0.25">
      <c r="A868" s="33">
        <v>46252</v>
      </c>
      <c r="B868" s="33">
        <v>46252</v>
      </c>
      <c r="C868" s="34" t="s">
        <v>1853</v>
      </c>
      <c r="D868" s="34">
        <v>10</v>
      </c>
      <c r="E868" s="34">
        <f t="shared" si="67"/>
        <v>1950</v>
      </c>
      <c r="F868" s="39" t="s">
        <v>27</v>
      </c>
      <c r="G868" s="39" t="s">
        <v>1854</v>
      </c>
      <c r="H868" s="35">
        <f>H860-E868</f>
        <v>20670</v>
      </c>
      <c r="I868" s="35"/>
      <c r="J868" s="35"/>
      <c r="K868" s="34">
        <v>260817003</v>
      </c>
      <c r="L868" s="34"/>
      <c r="M868" s="34">
        <f>M861-D868</f>
        <v>4</v>
      </c>
      <c r="N868" s="19">
        <v>46198</v>
      </c>
      <c r="O868" s="21">
        <f t="shared" ref="O868:O931" si="71">DATE(YEAR(N868)+1,MONTH(N868),DAY(N868))-1</f>
        <v>46562</v>
      </c>
    </row>
    <row r="869" spans="1:15" ht="20.149999999999999" hidden="1" customHeight="1" x14ac:dyDescent="0.25">
      <c r="A869" s="33">
        <v>46252</v>
      </c>
      <c r="B869" s="33">
        <v>46252</v>
      </c>
      <c r="C869" s="34" t="s">
        <v>1878</v>
      </c>
      <c r="D869" s="34">
        <v>2</v>
      </c>
      <c r="E869" s="34">
        <f t="shared" si="67"/>
        <v>390</v>
      </c>
      <c r="F869" s="39" t="s">
        <v>27</v>
      </c>
      <c r="G869" s="39" t="s">
        <v>1845</v>
      </c>
      <c r="H869" s="35">
        <f>H868-E869</f>
        <v>20280</v>
      </c>
      <c r="I869" s="35"/>
      <c r="J869" s="35"/>
      <c r="K869" s="34">
        <v>260817003</v>
      </c>
      <c r="L869" s="34"/>
      <c r="M869" s="34">
        <f>M739-D869</f>
        <v>36</v>
      </c>
      <c r="N869" s="19">
        <v>46199</v>
      </c>
      <c r="O869" s="21">
        <f t="shared" si="71"/>
        <v>46563</v>
      </c>
    </row>
    <row r="870" spans="1:15" ht="20.149999999999999" hidden="1" customHeight="1" x14ac:dyDescent="0.2">
      <c r="A870" s="29">
        <v>46252</v>
      </c>
      <c r="B870" s="29">
        <v>46253</v>
      </c>
      <c r="C870" s="30" t="s">
        <v>1878</v>
      </c>
      <c r="D870" s="30">
        <v>12</v>
      </c>
      <c r="E870" s="30">
        <f t="shared" si="67"/>
        <v>2340</v>
      </c>
      <c r="F870" s="37" t="s">
        <v>30</v>
      </c>
      <c r="G870" s="37" t="s">
        <v>1549</v>
      </c>
      <c r="H870" s="32">
        <f>H856-E870</f>
        <v>7800</v>
      </c>
      <c r="I870" s="32"/>
      <c r="J870" s="32"/>
      <c r="K870" s="30">
        <v>260817004</v>
      </c>
      <c r="L870" s="30"/>
      <c r="M870" s="30">
        <f>M869-D870</f>
        <v>24</v>
      </c>
      <c r="N870" s="19">
        <v>46199</v>
      </c>
      <c r="O870" s="21">
        <f t="shared" si="71"/>
        <v>46563</v>
      </c>
    </row>
    <row r="871" spans="1:15" ht="20.149999999999999" hidden="1" customHeight="1" x14ac:dyDescent="0.25">
      <c r="A871" s="26">
        <v>46253</v>
      </c>
      <c r="B871" s="26">
        <v>46254</v>
      </c>
      <c r="C871" s="27" t="s">
        <v>1503</v>
      </c>
      <c r="D871" s="27">
        <v>4</v>
      </c>
      <c r="E871" s="27">
        <f t="shared" si="67"/>
        <v>780</v>
      </c>
      <c r="F871" s="36" t="s">
        <v>307</v>
      </c>
      <c r="G871" s="36" t="s">
        <v>1827</v>
      </c>
      <c r="H871" s="28">
        <f>H852-E871</f>
        <v>23400</v>
      </c>
      <c r="I871" s="28"/>
      <c r="J871" s="28"/>
      <c r="K871" s="27">
        <v>260818005</v>
      </c>
      <c r="L871" s="27"/>
      <c r="M871" s="27">
        <f>M868-D871</f>
        <v>0</v>
      </c>
      <c r="N871" s="19">
        <v>46198</v>
      </c>
      <c r="O871" s="21">
        <f t="shared" si="71"/>
        <v>46562</v>
      </c>
    </row>
    <row r="872" spans="1:15" ht="20.149999999999999" hidden="1" customHeight="1" x14ac:dyDescent="0.25">
      <c r="A872" s="26">
        <v>46253</v>
      </c>
      <c r="B872" s="26">
        <v>46254</v>
      </c>
      <c r="C872" s="27" t="s">
        <v>1883</v>
      </c>
      <c r="D872" s="27">
        <v>16</v>
      </c>
      <c r="E872" s="27">
        <f t="shared" ref="E872:E943" si="72">D872*195</f>
        <v>3120</v>
      </c>
      <c r="F872" s="36" t="s">
        <v>307</v>
      </c>
      <c r="G872" s="36" t="s">
        <v>1881</v>
      </c>
      <c r="H872" s="28">
        <f>H871-E872</f>
        <v>20280</v>
      </c>
      <c r="I872" s="28"/>
      <c r="J872" s="28"/>
      <c r="K872" s="27">
        <v>260818005</v>
      </c>
      <c r="L872" s="27"/>
      <c r="M872" s="27">
        <f>M870-D872</f>
        <v>8</v>
      </c>
      <c r="N872" s="19">
        <v>46199</v>
      </c>
      <c r="O872" s="21">
        <f t="shared" si="71"/>
        <v>46563</v>
      </c>
    </row>
    <row r="873" spans="1:15" ht="20.149999999999999" hidden="1" customHeight="1" x14ac:dyDescent="0.25">
      <c r="A873" s="26">
        <v>46253</v>
      </c>
      <c r="B873" s="26">
        <v>46254</v>
      </c>
      <c r="C873" s="27" t="s">
        <v>1505</v>
      </c>
      <c r="D873" s="27">
        <v>16</v>
      </c>
      <c r="E873" s="27">
        <f t="shared" si="72"/>
        <v>3120</v>
      </c>
      <c r="F873" s="36" t="s">
        <v>307</v>
      </c>
      <c r="G873" s="36" t="s">
        <v>1827</v>
      </c>
      <c r="H873" s="28">
        <f>H872-E873</f>
        <v>17160</v>
      </c>
      <c r="I873" s="28"/>
      <c r="J873" s="28"/>
      <c r="K873" s="27">
        <v>260818005</v>
      </c>
      <c r="L873" s="27"/>
      <c r="M873" s="27">
        <f>M740-D873</f>
        <v>22</v>
      </c>
      <c r="N873" s="19">
        <v>46200</v>
      </c>
      <c r="O873" s="21">
        <f t="shared" si="71"/>
        <v>46564</v>
      </c>
    </row>
    <row r="874" spans="1:15" ht="20.149999999999999" hidden="1" customHeight="1" x14ac:dyDescent="0.2">
      <c r="A874" s="22">
        <v>46254</v>
      </c>
      <c r="B874" s="22">
        <v>46255</v>
      </c>
      <c r="C874" s="23" t="s">
        <v>1892</v>
      </c>
      <c r="D874" s="23">
        <v>4</v>
      </c>
      <c r="E874" s="23">
        <f t="shared" si="72"/>
        <v>780</v>
      </c>
      <c r="F874" s="23" t="s">
        <v>1860</v>
      </c>
      <c r="G874" s="38" t="s">
        <v>1912</v>
      </c>
      <c r="H874" s="25">
        <f>H864-E874</f>
        <v>24180</v>
      </c>
      <c r="I874" s="43" t="s">
        <v>22</v>
      </c>
      <c r="J874" s="25"/>
      <c r="K874" s="23">
        <v>260819003</v>
      </c>
      <c r="L874" s="23">
        <v>41</v>
      </c>
      <c r="M874" s="23">
        <f t="shared" ref="M874:M879" si="73">L874-D874</f>
        <v>37</v>
      </c>
      <c r="N874" s="19">
        <v>46242</v>
      </c>
      <c r="O874" s="21">
        <f t="shared" si="71"/>
        <v>46606</v>
      </c>
    </row>
    <row r="875" spans="1:15" ht="20.149999999999999" hidden="1" customHeight="1" x14ac:dyDescent="0.2">
      <c r="A875" s="22">
        <v>46254</v>
      </c>
      <c r="B875" s="22">
        <v>46255</v>
      </c>
      <c r="C875" s="23" t="s">
        <v>1893</v>
      </c>
      <c r="D875" s="23">
        <v>4</v>
      </c>
      <c r="E875" s="23">
        <f t="shared" si="72"/>
        <v>780</v>
      </c>
      <c r="F875" s="23" t="s">
        <v>1860</v>
      </c>
      <c r="G875" s="38" t="s">
        <v>1912</v>
      </c>
      <c r="H875" s="25">
        <f>H874-E875</f>
        <v>23400</v>
      </c>
      <c r="I875" s="43" t="s">
        <v>22</v>
      </c>
      <c r="J875" s="25"/>
      <c r="K875" s="23">
        <v>260819003</v>
      </c>
      <c r="L875" s="23">
        <v>42</v>
      </c>
      <c r="M875" s="23">
        <f t="shared" si="73"/>
        <v>38</v>
      </c>
      <c r="N875" s="19">
        <v>46243</v>
      </c>
      <c r="O875" s="21">
        <f t="shared" si="71"/>
        <v>46607</v>
      </c>
    </row>
    <row r="876" spans="1:15" ht="20.149999999999999" hidden="1" customHeight="1" x14ac:dyDescent="0.2">
      <c r="A876" s="22">
        <v>46254</v>
      </c>
      <c r="B876" s="22">
        <v>46255</v>
      </c>
      <c r="C876" s="23" t="s">
        <v>1894</v>
      </c>
      <c r="D876" s="23">
        <v>4</v>
      </c>
      <c r="E876" s="23">
        <f t="shared" si="72"/>
        <v>780</v>
      </c>
      <c r="F876" s="23" t="s">
        <v>1860</v>
      </c>
      <c r="G876" s="38" t="s">
        <v>1912</v>
      </c>
      <c r="H876" s="25">
        <f>H875-E876</f>
        <v>22620</v>
      </c>
      <c r="I876" s="43" t="s">
        <v>22</v>
      </c>
      <c r="J876" s="25"/>
      <c r="K876" s="23">
        <v>260819003</v>
      </c>
      <c r="L876" s="23">
        <v>41</v>
      </c>
      <c r="M876" s="23">
        <f t="shared" si="73"/>
        <v>37</v>
      </c>
      <c r="N876" s="19">
        <v>46245</v>
      </c>
      <c r="O876" s="21">
        <f t="shared" si="71"/>
        <v>46609</v>
      </c>
    </row>
    <row r="877" spans="1:15" ht="20.149999999999999" hidden="1" customHeight="1" x14ac:dyDescent="0.3">
      <c r="A877" s="40">
        <v>46254</v>
      </c>
      <c r="B877" s="40">
        <v>46255</v>
      </c>
      <c r="C877" s="41" t="s">
        <v>1895</v>
      </c>
      <c r="D877" s="41">
        <v>4</v>
      </c>
      <c r="E877" s="41">
        <f t="shared" si="72"/>
        <v>780</v>
      </c>
      <c r="F877" s="60" t="s">
        <v>274</v>
      </c>
      <c r="G877" s="60" t="s">
        <v>1906</v>
      </c>
      <c r="H877" s="42">
        <f>H867-E877</f>
        <v>780</v>
      </c>
      <c r="I877" s="121" t="s">
        <v>22</v>
      </c>
      <c r="J877" s="42"/>
      <c r="K877" s="41">
        <v>260819004</v>
      </c>
      <c r="L877" s="41">
        <v>41</v>
      </c>
      <c r="M877" s="41">
        <f t="shared" si="73"/>
        <v>37</v>
      </c>
      <c r="N877" s="19">
        <v>46246</v>
      </c>
      <c r="O877" s="21">
        <f t="shared" si="71"/>
        <v>46610</v>
      </c>
    </row>
    <row r="878" spans="1:15" ht="20.149999999999999" hidden="1" customHeight="1" x14ac:dyDescent="0.3">
      <c r="A878" s="40">
        <v>46254</v>
      </c>
      <c r="B878" s="40">
        <v>46255</v>
      </c>
      <c r="C878" s="41" t="s">
        <v>1896</v>
      </c>
      <c r="D878" s="41">
        <v>4</v>
      </c>
      <c r="E878" s="41">
        <f t="shared" si="72"/>
        <v>780</v>
      </c>
      <c r="F878" s="60" t="s">
        <v>274</v>
      </c>
      <c r="G878" s="60" t="s">
        <v>1872</v>
      </c>
      <c r="H878" s="42">
        <f>H877-E878</f>
        <v>0</v>
      </c>
      <c r="I878" s="121" t="s">
        <v>22</v>
      </c>
      <c r="J878" s="42"/>
      <c r="K878" s="41">
        <v>260819004</v>
      </c>
      <c r="L878" s="41">
        <v>42</v>
      </c>
      <c r="M878" s="41">
        <f t="shared" si="73"/>
        <v>38</v>
      </c>
      <c r="N878" s="19">
        <v>46247</v>
      </c>
      <c r="O878" s="21">
        <f t="shared" si="71"/>
        <v>46611</v>
      </c>
    </row>
    <row r="879" spans="1:15" ht="20.149999999999999" hidden="1" customHeight="1" x14ac:dyDescent="0.3">
      <c r="A879" s="40">
        <v>46254</v>
      </c>
      <c r="B879" s="40">
        <v>46255</v>
      </c>
      <c r="C879" s="41" t="s">
        <v>1887</v>
      </c>
      <c r="D879" s="41">
        <v>4</v>
      </c>
      <c r="E879" s="41">
        <f t="shared" si="72"/>
        <v>780</v>
      </c>
      <c r="F879" s="60" t="s">
        <v>274</v>
      </c>
      <c r="G879" s="146" t="s">
        <v>1907</v>
      </c>
      <c r="H879" s="42">
        <f>35880-E879</f>
        <v>35100</v>
      </c>
      <c r="I879" s="121" t="s">
        <v>22</v>
      </c>
      <c r="J879" s="42"/>
      <c r="K879" s="41" t="s">
        <v>1905</v>
      </c>
      <c r="L879" s="41">
        <v>41</v>
      </c>
      <c r="M879" s="41">
        <f t="shared" si="73"/>
        <v>37</v>
      </c>
      <c r="N879" s="19">
        <v>46248</v>
      </c>
      <c r="O879" s="21">
        <f t="shared" si="71"/>
        <v>46612</v>
      </c>
    </row>
    <row r="880" spans="1:15" ht="20.149999999999999" hidden="1" customHeight="1" x14ac:dyDescent="0.2">
      <c r="A880" s="33">
        <v>46254</v>
      </c>
      <c r="B880" s="33">
        <v>46255</v>
      </c>
      <c r="C880" s="34" t="s">
        <v>1897</v>
      </c>
      <c r="D880" s="34">
        <v>8</v>
      </c>
      <c r="E880" s="34">
        <f t="shared" si="72"/>
        <v>1560</v>
      </c>
      <c r="F880" s="39" t="s">
        <v>30</v>
      </c>
      <c r="G880" s="39" t="s">
        <v>1908</v>
      </c>
      <c r="H880" s="35">
        <f>H870-E880</f>
        <v>6240</v>
      </c>
      <c r="I880" s="35"/>
      <c r="J880" s="35"/>
      <c r="K880" s="34">
        <v>260819005</v>
      </c>
      <c r="L880" s="34"/>
      <c r="M880" s="34">
        <f>M873-D880</f>
        <v>14</v>
      </c>
      <c r="N880" s="19">
        <v>46200</v>
      </c>
      <c r="O880" s="21">
        <f t="shared" si="71"/>
        <v>46564</v>
      </c>
    </row>
    <row r="881" spans="1:15" ht="20.149999999999999" hidden="1" customHeight="1" x14ac:dyDescent="0.2">
      <c r="A881" s="29">
        <v>46254</v>
      </c>
      <c r="B881" s="29">
        <v>46255</v>
      </c>
      <c r="C881" s="30" t="s">
        <v>1504</v>
      </c>
      <c r="D881" s="30">
        <v>8</v>
      </c>
      <c r="E881" s="30">
        <f t="shared" si="72"/>
        <v>1560</v>
      </c>
      <c r="F881" s="161" t="s">
        <v>444</v>
      </c>
      <c r="G881" s="37" t="s">
        <v>656</v>
      </c>
      <c r="H881" s="32">
        <f>H861-E881</f>
        <v>141500</v>
      </c>
      <c r="I881" s="32"/>
      <c r="J881" s="32"/>
      <c r="K881" s="30">
        <v>260819006</v>
      </c>
      <c r="L881" s="30"/>
      <c r="M881" s="30">
        <f>M872-D881</f>
        <v>0</v>
      </c>
      <c r="N881" s="19">
        <v>46199</v>
      </c>
      <c r="O881" s="21">
        <f t="shared" si="71"/>
        <v>46563</v>
      </c>
    </row>
    <row r="882" spans="1:15" ht="20.149999999999999" hidden="1" customHeight="1" x14ac:dyDescent="0.2">
      <c r="A882" s="26">
        <v>46254</v>
      </c>
      <c r="B882" s="26">
        <v>46254</v>
      </c>
      <c r="C882" s="27" t="s">
        <v>1505</v>
      </c>
      <c r="D882" s="27">
        <v>12</v>
      </c>
      <c r="E882" s="27">
        <f t="shared" si="72"/>
        <v>2340</v>
      </c>
      <c r="F882" s="36" t="s">
        <v>26</v>
      </c>
      <c r="G882" s="36" t="s">
        <v>1915</v>
      </c>
      <c r="H882" s="28">
        <f>H502-E882</f>
        <v>25740</v>
      </c>
      <c r="I882" s="28"/>
      <c r="J882" s="28"/>
      <c r="K882" s="27">
        <v>260820001</v>
      </c>
      <c r="L882" s="27"/>
      <c r="M882" s="27">
        <f>M880-D882</f>
        <v>2</v>
      </c>
      <c r="N882" s="19">
        <v>46200</v>
      </c>
      <c r="O882" s="21">
        <f t="shared" si="71"/>
        <v>46564</v>
      </c>
    </row>
    <row r="883" spans="1:15" ht="20.149999999999999" hidden="1" customHeight="1" x14ac:dyDescent="0.2">
      <c r="A883" s="40">
        <v>46255</v>
      </c>
      <c r="B883" s="40">
        <v>46255</v>
      </c>
      <c r="C883" s="41" t="s">
        <v>1923</v>
      </c>
      <c r="D883" s="41">
        <v>4</v>
      </c>
      <c r="E883" s="41">
        <f t="shared" si="72"/>
        <v>780</v>
      </c>
      <c r="F883" s="41" t="s">
        <v>1569</v>
      </c>
      <c r="G883" s="41" t="s">
        <v>1924</v>
      </c>
      <c r="H883" s="42">
        <f>H848-E883</f>
        <v>50080</v>
      </c>
      <c r="I883" s="42"/>
      <c r="J883" s="42"/>
      <c r="K883" s="41">
        <v>260820005</v>
      </c>
      <c r="L883" s="41"/>
      <c r="M883" s="41">
        <f>M772-D883</f>
        <v>34</v>
      </c>
      <c r="N883" s="19">
        <v>46201</v>
      </c>
      <c r="O883" s="21">
        <f t="shared" si="71"/>
        <v>46565</v>
      </c>
    </row>
    <row r="884" spans="1:15" ht="20.149999999999999" hidden="1" customHeight="1" x14ac:dyDescent="0.25">
      <c r="A884" s="22">
        <v>46255</v>
      </c>
      <c r="B884" s="22">
        <v>46255</v>
      </c>
      <c r="C884" s="23" t="s">
        <v>1928</v>
      </c>
      <c r="D884" s="38">
        <v>2</v>
      </c>
      <c r="E884" s="23">
        <f t="shared" si="72"/>
        <v>390</v>
      </c>
      <c r="F884" s="38" t="s">
        <v>27</v>
      </c>
      <c r="G884" s="38" t="s">
        <v>1930</v>
      </c>
      <c r="H884" s="25">
        <f>H869-E884</f>
        <v>19890</v>
      </c>
      <c r="I884" s="25"/>
      <c r="J884" s="25"/>
      <c r="K884" s="23" t="s">
        <v>1929</v>
      </c>
      <c r="L884" s="23"/>
      <c r="M884" s="23">
        <f>M882-D884</f>
        <v>0</v>
      </c>
      <c r="N884" s="19">
        <v>46200</v>
      </c>
      <c r="O884" s="21">
        <f t="shared" si="71"/>
        <v>46564</v>
      </c>
    </row>
    <row r="885" spans="1:15" ht="20.149999999999999" hidden="1" customHeight="1" x14ac:dyDescent="0.25">
      <c r="A885" s="22">
        <v>46255</v>
      </c>
      <c r="B885" s="22">
        <v>46255</v>
      </c>
      <c r="C885" s="23" t="s">
        <v>1599</v>
      </c>
      <c r="D885" s="38">
        <v>6</v>
      </c>
      <c r="E885" s="23">
        <f t="shared" si="72"/>
        <v>1170</v>
      </c>
      <c r="F885" s="38" t="s">
        <v>27</v>
      </c>
      <c r="G885" s="38" t="s">
        <v>1925</v>
      </c>
      <c r="H885" s="25">
        <f>H884-E885</f>
        <v>18720</v>
      </c>
      <c r="I885" s="25"/>
      <c r="J885" s="25"/>
      <c r="K885" s="23" t="s">
        <v>1929</v>
      </c>
      <c r="L885" s="23"/>
      <c r="M885" s="23">
        <f>M883-D885</f>
        <v>28</v>
      </c>
      <c r="N885" s="19">
        <v>46201</v>
      </c>
      <c r="O885" s="21">
        <f t="shared" si="71"/>
        <v>46565</v>
      </c>
    </row>
    <row r="886" spans="1:15" ht="20.149999999999999" hidden="1" customHeight="1" x14ac:dyDescent="0.2">
      <c r="A886" s="33">
        <v>46255</v>
      </c>
      <c r="B886" s="33">
        <v>46255</v>
      </c>
      <c r="C886" s="34" t="s">
        <v>1920</v>
      </c>
      <c r="D886" s="39">
        <v>8</v>
      </c>
      <c r="E886" s="34">
        <f t="shared" si="72"/>
        <v>1560</v>
      </c>
      <c r="F886" s="39" t="s">
        <v>26</v>
      </c>
      <c r="G886" s="39" t="s">
        <v>1915</v>
      </c>
      <c r="H886" s="35">
        <f>H882-E886</f>
        <v>24180</v>
      </c>
      <c r="I886" s="35"/>
      <c r="J886" s="35"/>
      <c r="K886" s="34" t="s">
        <v>1933</v>
      </c>
      <c r="L886" s="34"/>
      <c r="M886" s="34">
        <f>M885-D886</f>
        <v>20</v>
      </c>
      <c r="N886" s="19">
        <v>46201</v>
      </c>
      <c r="O886" s="21">
        <f t="shared" si="71"/>
        <v>46565</v>
      </c>
    </row>
    <row r="887" spans="1:15" ht="20.149999999999999" hidden="1" customHeight="1" x14ac:dyDescent="0.2">
      <c r="A887" s="33">
        <v>46255</v>
      </c>
      <c r="B887" s="33">
        <v>46255</v>
      </c>
      <c r="C887" s="34" t="s">
        <v>1931</v>
      </c>
      <c r="D887" s="34">
        <v>8</v>
      </c>
      <c r="E887" s="34">
        <f t="shared" si="72"/>
        <v>1560</v>
      </c>
      <c r="F887" s="39" t="s">
        <v>26</v>
      </c>
      <c r="G887" s="39" t="s">
        <v>1932</v>
      </c>
      <c r="H887" s="35">
        <f>H886-E887</f>
        <v>22620</v>
      </c>
      <c r="I887" s="35"/>
      <c r="J887" s="35"/>
      <c r="K887" s="34" t="s">
        <v>1934</v>
      </c>
      <c r="L887" s="34"/>
      <c r="M887" s="34">
        <f>M773-D887</f>
        <v>29</v>
      </c>
      <c r="N887" s="19">
        <v>46203</v>
      </c>
      <c r="O887" s="21">
        <f t="shared" si="71"/>
        <v>46567</v>
      </c>
    </row>
    <row r="888" spans="1:15" ht="20.149999999999999" hidden="1" customHeight="1" x14ac:dyDescent="0.2">
      <c r="A888" s="26">
        <v>46255</v>
      </c>
      <c r="B888" s="26">
        <v>46258</v>
      </c>
      <c r="C888" s="27" t="s">
        <v>1599</v>
      </c>
      <c r="D888" s="36">
        <v>12</v>
      </c>
      <c r="E888" s="27">
        <f t="shared" si="72"/>
        <v>2340</v>
      </c>
      <c r="F888" s="149" t="s">
        <v>444</v>
      </c>
      <c r="G888" s="36" t="s">
        <v>1926</v>
      </c>
      <c r="H888" s="28">
        <f>H881-E888</f>
        <v>139160</v>
      </c>
      <c r="I888" s="28"/>
      <c r="J888" s="28"/>
      <c r="K888" s="27">
        <v>260820008</v>
      </c>
      <c r="L888" s="27"/>
      <c r="M888" s="27">
        <f>M886-D888</f>
        <v>8</v>
      </c>
      <c r="N888" s="19">
        <v>46201</v>
      </c>
      <c r="O888" s="21">
        <f t="shared" si="71"/>
        <v>46565</v>
      </c>
    </row>
    <row r="889" spans="1:15" ht="20.149999999999999" hidden="1" customHeight="1" x14ac:dyDescent="0.2">
      <c r="A889" s="40">
        <v>46258</v>
      </c>
      <c r="B889" s="40">
        <v>46259</v>
      </c>
      <c r="C889" s="41" t="s">
        <v>1937</v>
      </c>
      <c r="D889" s="41">
        <v>8</v>
      </c>
      <c r="E889" s="41">
        <f t="shared" si="72"/>
        <v>1560</v>
      </c>
      <c r="F889" s="41" t="s">
        <v>1860</v>
      </c>
      <c r="G889" s="60" t="s">
        <v>1945</v>
      </c>
      <c r="H889" s="42">
        <f>H876-E889</f>
        <v>21060</v>
      </c>
      <c r="I889" s="42"/>
      <c r="J889" s="42"/>
      <c r="K889" s="41">
        <v>260821004</v>
      </c>
      <c r="L889" s="41"/>
      <c r="M889" s="41">
        <f>M888-D889</f>
        <v>0</v>
      </c>
      <c r="N889" s="19">
        <v>46201</v>
      </c>
      <c r="O889" s="21">
        <f t="shared" si="71"/>
        <v>46565</v>
      </c>
    </row>
    <row r="890" spans="1:15" ht="20.149999999999999" hidden="1" customHeight="1" x14ac:dyDescent="0.2">
      <c r="A890" s="40">
        <v>46258</v>
      </c>
      <c r="B890" s="40">
        <v>46259</v>
      </c>
      <c r="C890" s="41" t="s">
        <v>1938</v>
      </c>
      <c r="D890" s="41">
        <v>4</v>
      </c>
      <c r="E890" s="41">
        <f t="shared" si="72"/>
        <v>780</v>
      </c>
      <c r="F890" s="41" t="s">
        <v>1860</v>
      </c>
      <c r="G890" s="60" t="s">
        <v>1935</v>
      </c>
      <c r="H890" s="42">
        <f>H889-E890</f>
        <v>20280</v>
      </c>
      <c r="I890" s="42"/>
      <c r="J890" s="42"/>
      <c r="K890" s="41">
        <v>260821004</v>
      </c>
      <c r="L890" s="41"/>
      <c r="M890" s="41">
        <f>M887-D890</f>
        <v>25</v>
      </c>
      <c r="N890" s="19">
        <v>46203</v>
      </c>
      <c r="O890" s="21">
        <f t="shared" si="71"/>
        <v>46567</v>
      </c>
    </row>
    <row r="891" spans="1:15" ht="20.149999999999999" hidden="1" customHeight="1" x14ac:dyDescent="0.3">
      <c r="A891" s="29">
        <v>46258</v>
      </c>
      <c r="B891" s="29">
        <v>46259</v>
      </c>
      <c r="C891" s="30" t="s">
        <v>1939</v>
      </c>
      <c r="D891" s="30">
        <v>12</v>
      </c>
      <c r="E891" s="30">
        <f t="shared" si="72"/>
        <v>2340</v>
      </c>
      <c r="F891" s="37" t="s">
        <v>274</v>
      </c>
      <c r="G891" s="37" t="s">
        <v>1946</v>
      </c>
      <c r="H891" s="32">
        <f>H879-E891</f>
        <v>32760</v>
      </c>
      <c r="I891" s="32"/>
      <c r="J891" s="32"/>
      <c r="K891" s="30">
        <v>260821005</v>
      </c>
      <c r="L891" s="30"/>
      <c r="M891" s="30">
        <f>M890-D891</f>
        <v>13</v>
      </c>
      <c r="N891" s="19">
        <v>46203</v>
      </c>
      <c r="O891" s="21">
        <f t="shared" si="71"/>
        <v>46567</v>
      </c>
    </row>
    <row r="892" spans="1:15" ht="20.149999999999999" hidden="1" customHeight="1" x14ac:dyDescent="0.2">
      <c r="A892" s="22">
        <v>46258</v>
      </c>
      <c r="B892" s="22">
        <v>46258</v>
      </c>
      <c r="C892" s="23" t="s">
        <v>1950</v>
      </c>
      <c r="D892" s="23">
        <v>12</v>
      </c>
      <c r="E892" s="23">
        <f t="shared" si="72"/>
        <v>2340</v>
      </c>
      <c r="F892" s="38" t="s">
        <v>26</v>
      </c>
      <c r="G892" s="38" t="s">
        <v>1951</v>
      </c>
      <c r="H892" s="25">
        <f>H887-E892</f>
        <v>20280</v>
      </c>
      <c r="I892" s="25"/>
      <c r="J892" s="25"/>
      <c r="K892" s="23">
        <v>260824001</v>
      </c>
      <c r="L892" s="23"/>
      <c r="M892" s="23">
        <f>M891-D892</f>
        <v>1</v>
      </c>
      <c r="N892" s="19">
        <v>46203</v>
      </c>
      <c r="O892" s="21">
        <f t="shared" si="71"/>
        <v>46567</v>
      </c>
    </row>
    <row r="893" spans="1:15" ht="20.149999999999999" hidden="1" customHeight="1" x14ac:dyDescent="0.25">
      <c r="A893" s="33">
        <v>46259</v>
      </c>
      <c r="B893" s="33">
        <v>46259</v>
      </c>
      <c r="C893" s="34" t="s">
        <v>1592</v>
      </c>
      <c r="D893" s="34">
        <v>1</v>
      </c>
      <c r="E893" s="34">
        <f t="shared" si="72"/>
        <v>195</v>
      </c>
      <c r="F893" s="39" t="s">
        <v>27</v>
      </c>
      <c r="G893" s="39" t="s">
        <v>1954</v>
      </c>
      <c r="H893" s="35">
        <f>H885-E893</f>
        <v>18525</v>
      </c>
      <c r="I893" s="35"/>
      <c r="J893" s="35"/>
      <c r="K893" s="34">
        <v>260824002</v>
      </c>
      <c r="L893" s="34"/>
      <c r="M893" s="34">
        <f>M892-D893</f>
        <v>0</v>
      </c>
      <c r="N893" s="19">
        <v>46203</v>
      </c>
      <c r="O893" s="21">
        <f t="shared" si="71"/>
        <v>46567</v>
      </c>
    </row>
    <row r="894" spans="1:15" ht="20.149999999999999" hidden="1" customHeight="1" x14ac:dyDescent="0.25">
      <c r="A894" s="33">
        <v>46259</v>
      </c>
      <c r="B894" s="33">
        <v>46259</v>
      </c>
      <c r="C894" s="34" t="s">
        <v>1593</v>
      </c>
      <c r="D894" s="34">
        <v>11</v>
      </c>
      <c r="E894" s="34">
        <f t="shared" si="72"/>
        <v>2145</v>
      </c>
      <c r="F894" s="39" t="s">
        <v>27</v>
      </c>
      <c r="G894" s="39" t="s">
        <v>1953</v>
      </c>
      <c r="H894" s="35">
        <f>H893-E894</f>
        <v>16380</v>
      </c>
      <c r="I894" s="35"/>
      <c r="J894" s="35"/>
      <c r="K894" s="34">
        <v>260824002</v>
      </c>
      <c r="L894" s="34"/>
      <c r="M894" s="34">
        <f>M774-D894</f>
        <v>26</v>
      </c>
      <c r="N894" s="19">
        <v>46204</v>
      </c>
      <c r="O894" s="21">
        <f t="shared" si="71"/>
        <v>46568</v>
      </c>
    </row>
    <row r="895" spans="1:15" ht="20.149999999999999" hidden="1" customHeight="1" x14ac:dyDescent="0.2">
      <c r="A895" s="40">
        <v>46259</v>
      </c>
      <c r="B895" s="40">
        <v>46259</v>
      </c>
      <c r="C895" s="41" t="s">
        <v>1593</v>
      </c>
      <c r="D895" s="60">
        <v>16</v>
      </c>
      <c r="E895" s="41">
        <f t="shared" si="72"/>
        <v>3120</v>
      </c>
      <c r="F895" s="60" t="s">
        <v>26</v>
      </c>
      <c r="G895" s="60" t="s">
        <v>1955</v>
      </c>
      <c r="H895" s="42">
        <f>H892-E895</f>
        <v>17160</v>
      </c>
      <c r="I895" s="42"/>
      <c r="J895" s="42"/>
      <c r="K895" s="41">
        <v>260824003</v>
      </c>
      <c r="L895" s="41"/>
      <c r="M895" s="41">
        <f>M894-D895</f>
        <v>10</v>
      </c>
      <c r="N895" s="19">
        <v>46204</v>
      </c>
      <c r="O895" s="21">
        <f t="shared" si="71"/>
        <v>46568</v>
      </c>
    </row>
    <row r="896" spans="1:15" ht="20.149999999999999" hidden="1" customHeight="1" x14ac:dyDescent="0.25">
      <c r="A896" s="29">
        <v>46260</v>
      </c>
      <c r="B896" s="29">
        <v>46261</v>
      </c>
      <c r="C896" s="30" t="s">
        <v>1961</v>
      </c>
      <c r="D896" s="30">
        <v>10</v>
      </c>
      <c r="E896" s="30">
        <f t="shared" si="72"/>
        <v>1950</v>
      </c>
      <c r="F896" s="37" t="s">
        <v>307</v>
      </c>
      <c r="G896" s="37" t="s">
        <v>1752</v>
      </c>
      <c r="H896" s="32">
        <f>H873-E896</f>
        <v>15210</v>
      </c>
      <c r="I896" s="32"/>
      <c r="J896" s="32"/>
      <c r="K896" s="30">
        <v>260825004</v>
      </c>
      <c r="L896" s="30"/>
      <c r="M896" s="30">
        <f>M895-D896</f>
        <v>0</v>
      </c>
      <c r="N896" s="19">
        <v>46204</v>
      </c>
      <c r="O896" s="21">
        <f t="shared" si="71"/>
        <v>46568</v>
      </c>
    </row>
    <row r="897" spans="1:15" ht="20.149999999999999" hidden="1" customHeight="1" x14ac:dyDescent="0.25">
      <c r="A897" s="29">
        <v>46260</v>
      </c>
      <c r="B897" s="29">
        <v>46261</v>
      </c>
      <c r="C897" s="30" t="s">
        <v>1962</v>
      </c>
      <c r="D897" s="30">
        <v>22</v>
      </c>
      <c r="E897" s="30">
        <f t="shared" si="72"/>
        <v>4290</v>
      </c>
      <c r="F897" s="37" t="s">
        <v>307</v>
      </c>
      <c r="G897" s="37" t="s">
        <v>1958</v>
      </c>
      <c r="H897" s="32">
        <f>H896-E897</f>
        <v>10920</v>
      </c>
      <c r="I897" s="32"/>
      <c r="J897" s="32"/>
      <c r="K897" s="30">
        <v>260825004</v>
      </c>
      <c r="L897" s="30"/>
      <c r="M897" s="30">
        <f>M775-D897</f>
        <v>16</v>
      </c>
      <c r="N897" s="19">
        <v>46205</v>
      </c>
      <c r="O897" s="21">
        <f t="shared" si="71"/>
        <v>46569</v>
      </c>
    </row>
    <row r="898" spans="1:15" ht="20.149999999999999" hidden="1" customHeight="1" x14ac:dyDescent="0.25">
      <c r="A898" s="29">
        <v>46260</v>
      </c>
      <c r="B898" s="29">
        <v>46261</v>
      </c>
      <c r="C898" s="30" t="s">
        <v>1963</v>
      </c>
      <c r="D898" s="30">
        <v>12</v>
      </c>
      <c r="E898" s="30">
        <f t="shared" si="72"/>
        <v>2340</v>
      </c>
      <c r="F898" s="37" t="s">
        <v>307</v>
      </c>
      <c r="G898" s="37" t="s">
        <v>1958</v>
      </c>
      <c r="H898" s="32">
        <f>H897-E898</f>
        <v>8580</v>
      </c>
      <c r="I898" s="32"/>
      <c r="J898" s="32"/>
      <c r="K898" s="30">
        <v>260825004</v>
      </c>
      <c r="L898" s="30"/>
      <c r="M898" s="30">
        <f>M776-D898</f>
        <v>26</v>
      </c>
      <c r="N898" s="19">
        <v>46206</v>
      </c>
      <c r="O898" s="21">
        <f t="shared" si="71"/>
        <v>46570</v>
      </c>
    </row>
    <row r="899" spans="1:15" ht="20.149999999999999" hidden="1" customHeight="1" x14ac:dyDescent="0.2">
      <c r="A899" s="26">
        <v>46260</v>
      </c>
      <c r="B899" s="26">
        <v>46261</v>
      </c>
      <c r="C899" s="27" t="s">
        <v>1964</v>
      </c>
      <c r="D899" s="27">
        <v>16</v>
      </c>
      <c r="E899" s="27">
        <f t="shared" si="72"/>
        <v>3120</v>
      </c>
      <c r="F899" s="36" t="s">
        <v>30</v>
      </c>
      <c r="G899" s="36" t="s">
        <v>1967</v>
      </c>
      <c r="H899" s="28">
        <f>H880-E899</f>
        <v>3120</v>
      </c>
      <c r="I899" s="28"/>
      <c r="J899" s="28"/>
      <c r="K899" s="27">
        <v>260825005</v>
      </c>
      <c r="L899" s="27"/>
      <c r="M899" s="27">
        <f>M897-D899</f>
        <v>0</v>
      </c>
      <c r="N899" s="19">
        <v>46205</v>
      </c>
      <c r="O899" s="21">
        <f t="shared" si="71"/>
        <v>46569</v>
      </c>
    </row>
    <row r="900" spans="1:15" ht="20.149999999999999" hidden="1" customHeight="1" x14ac:dyDescent="0.2">
      <c r="A900" s="22">
        <v>46260</v>
      </c>
      <c r="B900" s="22">
        <v>46261</v>
      </c>
      <c r="C900" s="23" t="s">
        <v>1965</v>
      </c>
      <c r="D900" s="23">
        <v>8</v>
      </c>
      <c r="E900" s="23">
        <f t="shared" si="72"/>
        <v>1560</v>
      </c>
      <c r="F900" s="23" t="s">
        <v>31</v>
      </c>
      <c r="G900" s="38" t="s">
        <v>1968</v>
      </c>
      <c r="H900" s="25">
        <f>H857-E900</f>
        <v>7740</v>
      </c>
      <c r="I900" s="25"/>
      <c r="J900" s="25"/>
      <c r="K900" s="23">
        <v>260825006</v>
      </c>
      <c r="L900" s="23"/>
      <c r="M900" s="23">
        <f>M898-D900</f>
        <v>18</v>
      </c>
      <c r="N900" s="19">
        <v>46206</v>
      </c>
      <c r="O900" s="21">
        <f t="shared" si="71"/>
        <v>46570</v>
      </c>
    </row>
    <row r="901" spans="1:15" ht="20.149999999999999" hidden="1" customHeight="1" x14ac:dyDescent="0.2">
      <c r="A901" s="33">
        <v>46261</v>
      </c>
      <c r="B901" s="33">
        <v>46262</v>
      </c>
      <c r="C901" s="34" t="s">
        <v>1600</v>
      </c>
      <c r="D901" s="34">
        <v>8</v>
      </c>
      <c r="E901" s="34">
        <f t="shared" si="72"/>
        <v>1560</v>
      </c>
      <c r="F901" s="34" t="s">
        <v>1860</v>
      </c>
      <c r="G901" s="39" t="s">
        <v>1912</v>
      </c>
      <c r="H901" s="35">
        <f>H890-E901</f>
        <v>18720</v>
      </c>
      <c r="I901" s="35"/>
      <c r="J901" s="35"/>
      <c r="K901" s="34">
        <v>260826002</v>
      </c>
      <c r="L901" s="34"/>
      <c r="M901" s="34">
        <f>M900-D901</f>
        <v>10</v>
      </c>
      <c r="N901" s="19">
        <v>46206</v>
      </c>
      <c r="O901" s="21">
        <f t="shared" si="71"/>
        <v>46570</v>
      </c>
    </row>
    <row r="902" spans="1:15" ht="20.149999999999999" hidden="1" customHeight="1" x14ac:dyDescent="0.3">
      <c r="A902" s="40">
        <v>46261</v>
      </c>
      <c r="B902" s="40">
        <v>46262</v>
      </c>
      <c r="C902" s="41" t="s">
        <v>1974</v>
      </c>
      <c r="D902" s="41">
        <v>10</v>
      </c>
      <c r="E902" s="41">
        <f t="shared" si="72"/>
        <v>1950</v>
      </c>
      <c r="F902" s="60" t="s">
        <v>274</v>
      </c>
      <c r="G902" s="60" t="s">
        <v>1979</v>
      </c>
      <c r="H902" s="42">
        <f>H891-E902</f>
        <v>30810</v>
      </c>
      <c r="I902" s="42"/>
      <c r="J902" s="42"/>
      <c r="K902" s="41">
        <v>260826003</v>
      </c>
      <c r="L902" s="41"/>
      <c r="M902" s="41">
        <f>M901-D902</f>
        <v>0</v>
      </c>
      <c r="N902" s="19">
        <v>46206</v>
      </c>
      <c r="O902" s="21">
        <f t="shared" si="71"/>
        <v>46570</v>
      </c>
    </row>
    <row r="903" spans="1:15" ht="20.149999999999999" hidden="1" customHeight="1" x14ac:dyDescent="0.3">
      <c r="A903" s="40">
        <v>46261</v>
      </c>
      <c r="B903" s="40">
        <v>46262</v>
      </c>
      <c r="C903" s="41" t="s">
        <v>1975</v>
      </c>
      <c r="D903" s="41">
        <v>2</v>
      </c>
      <c r="E903" s="41">
        <f t="shared" si="72"/>
        <v>390</v>
      </c>
      <c r="F903" s="60" t="s">
        <v>274</v>
      </c>
      <c r="G903" s="60" t="s">
        <v>1971</v>
      </c>
      <c r="H903" s="42">
        <f>H902-E903</f>
        <v>30420</v>
      </c>
      <c r="I903" s="42"/>
      <c r="J903" s="42"/>
      <c r="K903" s="41">
        <v>260826003</v>
      </c>
      <c r="L903" s="41"/>
      <c r="M903" s="41">
        <f>M777-D903</f>
        <v>36</v>
      </c>
      <c r="N903" s="19">
        <v>46207</v>
      </c>
      <c r="O903" s="21">
        <f t="shared" si="71"/>
        <v>46571</v>
      </c>
    </row>
    <row r="904" spans="1:15" ht="20.149999999999999" hidden="1" customHeight="1" x14ac:dyDescent="0.2">
      <c r="A904" s="29">
        <v>46261</v>
      </c>
      <c r="B904" s="29">
        <v>46262</v>
      </c>
      <c r="C904" s="30" t="s">
        <v>1976</v>
      </c>
      <c r="D904" s="30">
        <v>12</v>
      </c>
      <c r="E904" s="30">
        <f t="shared" si="72"/>
        <v>2340</v>
      </c>
      <c r="F904" s="161" t="s">
        <v>444</v>
      </c>
      <c r="G904" s="37" t="s">
        <v>656</v>
      </c>
      <c r="H904" s="32">
        <f>H888-E904</f>
        <v>136820</v>
      </c>
      <c r="I904" s="32"/>
      <c r="J904" s="32"/>
      <c r="K904" s="30">
        <v>260826004</v>
      </c>
      <c r="L904" s="30"/>
      <c r="M904" s="30">
        <f>M903-D904</f>
        <v>24</v>
      </c>
      <c r="N904" s="19">
        <v>46207</v>
      </c>
      <c r="O904" s="21">
        <f t="shared" si="71"/>
        <v>46571</v>
      </c>
    </row>
    <row r="905" spans="1:15" ht="20.149999999999999" hidden="1" customHeight="1" x14ac:dyDescent="0.2">
      <c r="A905" s="26">
        <v>46262</v>
      </c>
      <c r="B905" s="26">
        <v>46262</v>
      </c>
      <c r="C905" s="27" t="s">
        <v>1985</v>
      </c>
      <c r="D905" s="27">
        <v>4</v>
      </c>
      <c r="E905" s="27">
        <f t="shared" si="72"/>
        <v>780</v>
      </c>
      <c r="F905" s="27" t="s">
        <v>1569</v>
      </c>
      <c r="G905" s="27" t="s">
        <v>1989</v>
      </c>
      <c r="H905" s="28">
        <f>H883-E905</f>
        <v>49300</v>
      </c>
      <c r="I905" s="28"/>
      <c r="J905" s="28"/>
      <c r="K905" s="27">
        <v>260827002</v>
      </c>
      <c r="L905" s="27"/>
      <c r="M905" s="27">
        <f>M904-D905</f>
        <v>20</v>
      </c>
      <c r="N905" s="19">
        <v>46207</v>
      </c>
      <c r="O905" s="21">
        <f t="shared" si="71"/>
        <v>46571</v>
      </c>
    </row>
    <row r="906" spans="1:15" ht="20.149999999999999" hidden="1" customHeight="1" x14ac:dyDescent="0.25">
      <c r="A906" s="22">
        <v>46262</v>
      </c>
      <c r="B906" s="22">
        <v>46262</v>
      </c>
      <c r="C906" s="23" t="s">
        <v>1986</v>
      </c>
      <c r="D906" s="23">
        <v>8</v>
      </c>
      <c r="E906" s="23">
        <f t="shared" si="72"/>
        <v>1560</v>
      </c>
      <c r="F906" s="38" t="s">
        <v>27</v>
      </c>
      <c r="G906" s="38" t="s">
        <v>1814</v>
      </c>
      <c r="H906" s="25">
        <f>H894-E906</f>
        <v>14820</v>
      </c>
      <c r="I906" s="25"/>
      <c r="J906" s="25"/>
      <c r="K906" s="23">
        <v>260827003</v>
      </c>
      <c r="L906" s="23"/>
      <c r="M906" s="23">
        <f>M905-D906</f>
        <v>12</v>
      </c>
      <c r="N906" s="19">
        <v>46207</v>
      </c>
      <c r="O906" s="21">
        <f t="shared" si="71"/>
        <v>46571</v>
      </c>
    </row>
    <row r="907" spans="1:15" ht="20.149999999999999" hidden="1" customHeight="1" x14ac:dyDescent="0.2">
      <c r="A907" s="33">
        <v>46262</v>
      </c>
      <c r="B907" s="33">
        <v>46262</v>
      </c>
      <c r="C907" s="34" t="s">
        <v>1987</v>
      </c>
      <c r="D907" s="39">
        <v>16</v>
      </c>
      <c r="E907" s="34">
        <f t="shared" si="72"/>
        <v>3120</v>
      </c>
      <c r="F907" s="39" t="s">
        <v>26</v>
      </c>
      <c r="G907" s="39" t="s">
        <v>1992</v>
      </c>
      <c r="H907" s="35">
        <f>H895-E907</f>
        <v>14040</v>
      </c>
      <c r="I907" s="35"/>
      <c r="J907" s="35"/>
      <c r="K907" s="34">
        <v>260827004</v>
      </c>
      <c r="L907" s="34"/>
      <c r="M907" s="34">
        <f>M783-D907</f>
        <v>21</v>
      </c>
      <c r="N907" s="19">
        <v>46208</v>
      </c>
      <c r="O907" s="21">
        <f t="shared" si="71"/>
        <v>46572</v>
      </c>
    </row>
    <row r="908" spans="1:15" ht="20.149999999999999" hidden="1" customHeight="1" x14ac:dyDescent="0.2">
      <c r="A908" s="40">
        <v>46262</v>
      </c>
      <c r="B908" s="40">
        <v>46265</v>
      </c>
      <c r="C908" s="41" t="s">
        <v>1986</v>
      </c>
      <c r="D908" s="41">
        <v>12</v>
      </c>
      <c r="E908" s="41">
        <f t="shared" si="72"/>
        <v>2340</v>
      </c>
      <c r="F908" s="60" t="s">
        <v>30</v>
      </c>
      <c r="G908" s="60" t="s">
        <v>1990</v>
      </c>
      <c r="H908" s="42">
        <f>H899-E908</f>
        <v>780</v>
      </c>
      <c r="I908" s="42"/>
      <c r="J908" s="42"/>
      <c r="K908" s="41">
        <v>260827005</v>
      </c>
      <c r="L908" s="41"/>
      <c r="M908" s="41">
        <f>M906-D908</f>
        <v>0</v>
      </c>
      <c r="N908" s="19">
        <v>46207</v>
      </c>
      <c r="O908" s="21">
        <f t="shared" si="71"/>
        <v>46571</v>
      </c>
    </row>
    <row r="909" spans="1:15" ht="20.149999999999999" hidden="1" customHeight="1" x14ac:dyDescent="0.2">
      <c r="A909" s="29">
        <v>46262</v>
      </c>
      <c r="B909" s="29">
        <v>46265</v>
      </c>
      <c r="C909" s="30" t="s">
        <v>1988</v>
      </c>
      <c r="D909" s="30">
        <v>12</v>
      </c>
      <c r="E909" s="30">
        <f t="shared" si="72"/>
        <v>2340</v>
      </c>
      <c r="F909" s="30" t="s">
        <v>31</v>
      </c>
      <c r="G909" s="37" t="s">
        <v>869</v>
      </c>
      <c r="H909" s="32">
        <f>H900-E909</f>
        <v>5400</v>
      </c>
      <c r="I909" s="32"/>
      <c r="J909" s="32"/>
      <c r="K909" s="30">
        <v>260827006</v>
      </c>
      <c r="L909" s="30"/>
      <c r="M909" s="30">
        <f>M907-D909</f>
        <v>9</v>
      </c>
      <c r="N909" s="19">
        <v>46208</v>
      </c>
      <c r="O909" s="21">
        <f t="shared" si="71"/>
        <v>46572</v>
      </c>
    </row>
    <row r="910" spans="1:15" ht="20.149999999999999" hidden="1" customHeight="1" x14ac:dyDescent="0.2">
      <c r="A910" s="26">
        <v>46265</v>
      </c>
      <c r="B910" s="26">
        <v>46265</v>
      </c>
      <c r="C910" s="27" t="s">
        <v>1628</v>
      </c>
      <c r="D910" s="27">
        <v>8</v>
      </c>
      <c r="E910" s="27">
        <f t="shared" si="72"/>
        <v>1560</v>
      </c>
      <c r="F910" s="36" t="s">
        <v>26</v>
      </c>
      <c r="G910" s="36" t="s">
        <v>2004</v>
      </c>
      <c r="H910" s="28">
        <f>H907-E910</f>
        <v>12480</v>
      </c>
      <c r="I910" s="28"/>
      <c r="J910" s="28"/>
      <c r="K910" s="27">
        <v>260828005</v>
      </c>
      <c r="L910" s="27"/>
      <c r="M910" s="27">
        <f>M784-D910</f>
        <v>29</v>
      </c>
      <c r="N910" s="19">
        <v>46210</v>
      </c>
      <c r="O910" s="21">
        <f t="shared" si="71"/>
        <v>46574</v>
      </c>
    </row>
    <row r="911" spans="1:15" ht="20.149999999999999" hidden="1" customHeight="1" x14ac:dyDescent="0.2">
      <c r="A911" s="22">
        <v>46265</v>
      </c>
      <c r="B911" s="22">
        <v>46266</v>
      </c>
      <c r="C911" s="23" t="s">
        <v>1993</v>
      </c>
      <c r="D911" s="23">
        <v>4</v>
      </c>
      <c r="E911" s="23">
        <f t="shared" si="72"/>
        <v>780</v>
      </c>
      <c r="F911" s="23" t="s">
        <v>1860</v>
      </c>
      <c r="G911" s="38" t="s">
        <v>2005</v>
      </c>
      <c r="H911" s="25">
        <f>H901-E911</f>
        <v>17940</v>
      </c>
      <c r="I911" s="43" t="s">
        <v>22</v>
      </c>
      <c r="J911" s="25"/>
      <c r="K911" s="23">
        <v>260828006</v>
      </c>
      <c r="L911" s="23">
        <v>41</v>
      </c>
      <c r="M911" s="23">
        <f t="shared" ref="M911:M916" si="74">L911-D911</f>
        <v>37</v>
      </c>
      <c r="N911" s="19">
        <v>46249</v>
      </c>
      <c r="O911" s="21">
        <f t="shared" si="71"/>
        <v>46613</v>
      </c>
    </row>
    <row r="912" spans="1:15" ht="20.149999999999999" hidden="1" customHeight="1" x14ac:dyDescent="0.2">
      <c r="A912" s="22">
        <v>46265</v>
      </c>
      <c r="B912" s="22">
        <v>46266</v>
      </c>
      <c r="C912" s="23" t="s">
        <v>1998</v>
      </c>
      <c r="D912" s="23">
        <v>4</v>
      </c>
      <c r="E912" s="23">
        <f t="shared" si="72"/>
        <v>780</v>
      </c>
      <c r="F912" s="23" t="s">
        <v>1860</v>
      </c>
      <c r="G912" s="38" t="s">
        <v>1997</v>
      </c>
      <c r="H912" s="25">
        <f>H911-E912</f>
        <v>17160</v>
      </c>
      <c r="I912" s="43" t="s">
        <v>22</v>
      </c>
      <c r="J912" s="25"/>
      <c r="K912" s="23">
        <v>260828006</v>
      </c>
      <c r="L912" s="23">
        <v>42</v>
      </c>
      <c r="M912" s="23">
        <f t="shared" si="74"/>
        <v>38</v>
      </c>
      <c r="N912" s="19">
        <v>46250</v>
      </c>
      <c r="O912" s="21">
        <f t="shared" si="71"/>
        <v>46614</v>
      </c>
    </row>
    <row r="913" spans="1:15" ht="20.149999999999999" hidden="1" customHeight="1" x14ac:dyDescent="0.2">
      <c r="A913" s="22">
        <v>46265</v>
      </c>
      <c r="B913" s="22">
        <v>46266</v>
      </c>
      <c r="C913" s="23" t="s">
        <v>1994</v>
      </c>
      <c r="D913" s="23">
        <v>4</v>
      </c>
      <c r="E913" s="23">
        <f t="shared" si="72"/>
        <v>780</v>
      </c>
      <c r="F913" s="23" t="s">
        <v>1860</v>
      </c>
      <c r="G913" s="38" t="s">
        <v>1912</v>
      </c>
      <c r="H913" s="25">
        <f>H912-E913</f>
        <v>16380</v>
      </c>
      <c r="I913" s="43" t="s">
        <v>22</v>
      </c>
      <c r="J913" s="25"/>
      <c r="K913" s="23">
        <v>260828006</v>
      </c>
      <c r="L913" s="23">
        <v>41</v>
      </c>
      <c r="M913" s="23">
        <f t="shared" si="74"/>
        <v>37</v>
      </c>
      <c r="N913" s="19">
        <v>46252</v>
      </c>
      <c r="O913" s="21">
        <f t="shared" si="71"/>
        <v>46616</v>
      </c>
    </row>
    <row r="914" spans="1:15" ht="20.149999999999999" hidden="1" customHeight="1" x14ac:dyDescent="0.3">
      <c r="A914" s="33">
        <v>46265</v>
      </c>
      <c r="B914" s="33">
        <v>46266</v>
      </c>
      <c r="C914" s="34" t="s">
        <v>1999</v>
      </c>
      <c r="D914" s="34">
        <v>4</v>
      </c>
      <c r="E914" s="34">
        <f t="shared" si="72"/>
        <v>780</v>
      </c>
      <c r="F914" s="39" t="s">
        <v>274</v>
      </c>
      <c r="G914" s="39" t="s">
        <v>2006</v>
      </c>
      <c r="H914" s="35">
        <f>H903-E914</f>
        <v>29640</v>
      </c>
      <c r="I914" s="63" t="s">
        <v>22</v>
      </c>
      <c r="J914" s="35"/>
      <c r="K914" s="34">
        <v>260828007</v>
      </c>
      <c r="L914" s="34">
        <v>41</v>
      </c>
      <c r="M914" s="34">
        <f t="shared" si="74"/>
        <v>37</v>
      </c>
      <c r="N914" s="19">
        <v>46253</v>
      </c>
      <c r="O914" s="21">
        <f t="shared" si="71"/>
        <v>46617</v>
      </c>
    </row>
    <row r="915" spans="1:15" ht="20.149999999999999" hidden="1" customHeight="1" x14ac:dyDescent="0.3">
      <c r="A915" s="33">
        <v>46265</v>
      </c>
      <c r="B915" s="33">
        <v>46266</v>
      </c>
      <c r="C915" s="34" t="s">
        <v>1995</v>
      </c>
      <c r="D915" s="34">
        <v>4</v>
      </c>
      <c r="E915" s="34">
        <f t="shared" si="72"/>
        <v>780</v>
      </c>
      <c r="F915" s="39" t="s">
        <v>274</v>
      </c>
      <c r="G915" s="39" t="s">
        <v>1907</v>
      </c>
      <c r="H915" s="35">
        <f>H914-E915</f>
        <v>28860</v>
      </c>
      <c r="I915" s="63" t="s">
        <v>22</v>
      </c>
      <c r="J915" s="35"/>
      <c r="K915" s="34">
        <v>260828007</v>
      </c>
      <c r="L915" s="34">
        <v>42</v>
      </c>
      <c r="M915" s="34">
        <f t="shared" si="74"/>
        <v>38</v>
      </c>
      <c r="N915" s="19">
        <v>46254</v>
      </c>
      <c r="O915" s="21">
        <f t="shared" si="71"/>
        <v>46618</v>
      </c>
    </row>
    <row r="916" spans="1:15" ht="20.149999999999999" hidden="1" customHeight="1" x14ac:dyDescent="0.3">
      <c r="A916" s="33">
        <v>46265</v>
      </c>
      <c r="B916" s="33">
        <v>46266</v>
      </c>
      <c r="C916" s="34" t="s">
        <v>2000</v>
      </c>
      <c r="D916" s="34">
        <v>4</v>
      </c>
      <c r="E916" s="34">
        <f t="shared" si="72"/>
        <v>780</v>
      </c>
      <c r="F916" s="39" t="s">
        <v>274</v>
      </c>
      <c r="G916" s="39" t="s">
        <v>1907</v>
      </c>
      <c r="H916" s="35">
        <f>H915-E916</f>
        <v>28080</v>
      </c>
      <c r="I916" s="63" t="s">
        <v>22</v>
      </c>
      <c r="J916" s="35"/>
      <c r="K916" s="34" t="s">
        <v>2009</v>
      </c>
      <c r="L916" s="34">
        <v>41</v>
      </c>
      <c r="M916" s="34">
        <f t="shared" si="74"/>
        <v>37</v>
      </c>
      <c r="N916" s="19">
        <v>46255</v>
      </c>
      <c r="O916" s="21">
        <f t="shared" si="71"/>
        <v>46619</v>
      </c>
    </row>
    <row r="917" spans="1:15" ht="20.149999999999999" hidden="1" customHeight="1" x14ac:dyDescent="0.2">
      <c r="A917" s="40">
        <v>46265</v>
      </c>
      <c r="B917" s="40">
        <v>46266</v>
      </c>
      <c r="C917" s="41" t="s">
        <v>2001</v>
      </c>
      <c r="D917" s="41">
        <v>12</v>
      </c>
      <c r="E917" s="41">
        <f t="shared" si="72"/>
        <v>2340</v>
      </c>
      <c r="F917" s="146" t="s">
        <v>444</v>
      </c>
      <c r="G917" s="60" t="s">
        <v>2007</v>
      </c>
      <c r="H917" s="42">
        <f>H904-E917</f>
        <v>134480</v>
      </c>
      <c r="I917" s="42"/>
      <c r="J917" s="42"/>
      <c r="K917" s="41">
        <v>260828008</v>
      </c>
      <c r="L917" s="41"/>
      <c r="M917" s="41">
        <f>M910-D917</f>
        <v>17</v>
      </c>
      <c r="N917" s="19">
        <v>46210</v>
      </c>
      <c r="O917" s="21">
        <f t="shared" si="71"/>
        <v>46574</v>
      </c>
    </row>
    <row r="918" spans="1:15" ht="20.149999999999999" hidden="1" customHeight="1" x14ac:dyDescent="0.25">
      <c r="A918" s="26">
        <v>46266</v>
      </c>
      <c r="B918" s="26">
        <v>46266</v>
      </c>
      <c r="C918" s="27" t="s">
        <v>1636</v>
      </c>
      <c r="D918" s="27">
        <v>9</v>
      </c>
      <c r="E918" s="27">
        <f t="shared" si="72"/>
        <v>1755</v>
      </c>
      <c r="F918" s="36" t="s">
        <v>27</v>
      </c>
      <c r="G918" s="36" t="s">
        <v>2017</v>
      </c>
      <c r="H918" s="28">
        <f>H906-E918</f>
        <v>13065</v>
      </c>
      <c r="I918" s="28"/>
      <c r="J918" s="28"/>
      <c r="K918" s="27" t="s">
        <v>2020</v>
      </c>
      <c r="L918" s="27"/>
      <c r="M918" s="27">
        <f>M909-D918</f>
        <v>0</v>
      </c>
      <c r="N918" s="19">
        <v>46208</v>
      </c>
      <c r="O918" s="21">
        <f t="shared" si="71"/>
        <v>46572</v>
      </c>
    </row>
    <row r="919" spans="1:15" ht="20.149999999999999" hidden="1" customHeight="1" x14ac:dyDescent="0.25">
      <c r="A919" s="26">
        <v>46266</v>
      </c>
      <c r="B919" s="26">
        <v>46266</v>
      </c>
      <c r="C919" s="27" t="s">
        <v>2012</v>
      </c>
      <c r="D919" s="27">
        <v>3</v>
      </c>
      <c r="E919" s="27">
        <f t="shared" si="72"/>
        <v>585</v>
      </c>
      <c r="F919" s="36" t="s">
        <v>27</v>
      </c>
      <c r="G919" s="36" t="s">
        <v>2010</v>
      </c>
      <c r="H919" s="28">
        <f>H918-E919</f>
        <v>12480</v>
      </c>
      <c r="I919" s="28"/>
      <c r="J919" s="28"/>
      <c r="K919" s="27" t="s">
        <v>2020</v>
      </c>
      <c r="L919" s="27"/>
      <c r="M919" s="27">
        <f>M917-D919</f>
        <v>14</v>
      </c>
      <c r="N919" s="19">
        <v>46210</v>
      </c>
      <c r="O919" s="21">
        <f t="shared" si="71"/>
        <v>46574</v>
      </c>
    </row>
    <row r="920" spans="1:15" ht="20.149999999999999" hidden="1" customHeight="1" x14ac:dyDescent="0.2">
      <c r="A920" s="29">
        <v>46266</v>
      </c>
      <c r="B920" s="29">
        <v>46266</v>
      </c>
      <c r="C920" s="30" t="s">
        <v>2013</v>
      </c>
      <c r="D920" s="30">
        <v>7</v>
      </c>
      <c r="E920" s="30">
        <f t="shared" si="72"/>
        <v>1365</v>
      </c>
      <c r="F920" s="37" t="s">
        <v>26</v>
      </c>
      <c r="G920" s="37" t="s">
        <v>796</v>
      </c>
      <c r="H920" s="32">
        <f>H910-E920</f>
        <v>11115</v>
      </c>
      <c r="I920" s="32"/>
      <c r="J920" s="32"/>
      <c r="K920" s="30">
        <v>260831004</v>
      </c>
      <c r="L920" s="30"/>
      <c r="M920" s="30">
        <f>M785-D920</f>
        <v>30</v>
      </c>
      <c r="N920" s="19">
        <v>46211</v>
      </c>
      <c r="O920" s="21">
        <f t="shared" si="71"/>
        <v>46575</v>
      </c>
    </row>
    <row r="921" spans="1:15" ht="20.149999999999999" hidden="1" customHeight="1" x14ac:dyDescent="0.2">
      <c r="A921" s="29">
        <v>46266</v>
      </c>
      <c r="B921" s="29">
        <v>46266</v>
      </c>
      <c r="C921" s="30" t="s">
        <v>1630</v>
      </c>
      <c r="D921" s="30">
        <v>5</v>
      </c>
      <c r="E921" s="30">
        <f t="shared" si="72"/>
        <v>975</v>
      </c>
      <c r="F921" s="37" t="s">
        <v>26</v>
      </c>
      <c r="G921" s="37" t="s">
        <v>2011</v>
      </c>
      <c r="H921" s="32">
        <f>H920-E921</f>
        <v>10140</v>
      </c>
      <c r="I921" s="32"/>
      <c r="J921" s="32"/>
      <c r="K921" s="30">
        <v>260831004</v>
      </c>
      <c r="L921" s="30"/>
      <c r="M921" s="30">
        <f>M786-D921</f>
        <v>33</v>
      </c>
      <c r="N921" s="19">
        <v>46212</v>
      </c>
      <c r="O921" s="21">
        <f t="shared" si="71"/>
        <v>46576</v>
      </c>
    </row>
    <row r="922" spans="1:15" ht="20.149999999999999" hidden="1" customHeight="1" x14ac:dyDescent="0.25">
      <c r="A922" s="22">
        <v>46266</v>
      </c>
      <c r="B922" s="22">
        <v>46267</v>
      </c>
      <c r="C922" s="23" t="s">
        <v>2014</v>
      </c>
      <c r="D922" s="23">
        <v>14</v>
      </c>
      <c r="E922" s="23">
        <f t="shared" si="72"/>
        <v>2730</v>
      </c>
      <c r="F922" s="38" t="s">
        <v>307</v>
      </c>
      <c r="G922" s="38" t="s">
        <v>2018</v>
      </c>
      <c r="H922" s="25">
        <f>H898-E922</f>
        <v>5850</v>
      </c>
      <c r="I922" s="25"/>
      <c r="J922" s="25"/>
      <c r="K922" s="23">
        <v>260831005</v>
      </c>
      <c r="L922" s="23"/>
      <c r="M922" s="23">
        <f>M919-D922</f>
        <v>0</v>
      </c>
      <c r="N922" s="19">
        <v>46210</v>
      </c>
      <c r="O922" s="21">
        <f t="shared" si="71"/>
        <v>46574</v>
      </c>
    </row>
    <row r="923" spans="1:15" ht="20.149999999999999" hidden="1" customHeight="1" x14ac:dyDescent="0.25">
      <c r="A923" s="22">
        <v>46266</v>
      </c>
      <c r="B923" s="22">
        <v>46267</v>
      </c>
      <c r="C923" s="23" t="s">
        <v>2015</v>
      </c>
      <c r="D923" s="23">
        <v>18</v>
      </c>
      <c r="E923" s="23">
        <f t="shared" si="72"/>
        <v>3510</v>
      </c>
      <c r="F923" s="38" t="s">
        <v>307</v>
      </c>
      <c r="G923" s="38" t="s">
        <v>1752</v>
      </c>
      <c r="H923" s="25">
        <f>H922-E923</f>
        <v>2340</v>
      </c>
      <c r="I923" s="25"/>
      <c r="J923" s="25"/>
      <c r="K923" s="23">
        <v>260831005</v>
      </c>
      <c r="L923" s="23"/>
      <c r="M923" s="23">
        <f>M920-D923</f>
        <v>12</v>
      </c>
      <c r="N923" s="19">
        <v>46211</v>
      </c>
      <c r="O923" s="21">
        <f t="shared" si="71"/>
        <v>46575</v>
      </c>
    </row>
    <row r="924" spans="1:15" ht="20.149999999999999" hidden="1" customHeight="1" x14ac:dyDescent="0.2">
      <c r="A924" s="33">
        <v>46268</v>
      </c>
      <c r="B924" s="33">
        <v>46269</v>
      </c>
      <c r="C924" s="34" t="s">
        <v>2025</v>
      </c>
      <c r="D924" s="34">
        <v>8</v>
      </c>
      <c r="E924" s="34">
        <f t="shared" si="72"/>
        <v>1560</v>
      </c>
      <c r="F924" s="34" t="s">
        <v>1860</v>
      </c>
      <c r="G924" s="39" t="s">
        <v>2035</v>
      </c>
      <c r="H924" s="35">
        <f>H913-E924</f>
        <v>14820</v>
      </c>
      <c r="I924" s="35"/>
      <c r="J924" s="35"/>
      <c r="K924" s="34">
        <v>260902003</v>
      </c>
      <c r="L924" s="34"/>
      <c r="M924" s="34">
        <f>M921-D924</f>
        <v>25</v>
      </c>
      <c r="N924" s="19">
        <v>46212</v>
      </c>
      <c r="O924" s="21">
        <f t="shared" si="71"/>
        <v>46576</v>
      </c>
    </row>
    <row r="925" spans="1:15" ht="20.149999999999999" hidden="1" customHeight="1" x14ac:dyDescent="0.3">
      <c r="A925" s="40">
        <v>46268</v>
      </c>
      <c r="B925" s="40">
        <v>46269</v>
      </c>
      <c r="C925" s="41" t="s">
        <v>2026</v>
      </c>
      <c r="D925" s="41">
        <v>8</v>
      </c>
      <c r="E925" s="41">
        <f t="shared" si="72"/>
        <v>1560</v>
      </c>
      <c r="F925" s="60" t="s">
        <v>274</v>
      </c>
      <c r="G925" s="60" t="s">
        <v>2036</v>
      </c>
      <c r="H925" s="42">
        <f>H916-E925</f>
        <v>26520</v>
      </c>
      <c r="I925" s="42"/>
      <c r="J925" s="42"/>
      <c r="K925" s="41">
        <v>260902004</v>
      </c>
      <c r="L925" s="41"/>
      <c r="M925" s="41">
        <f>M924-D925</f>
        <v>17</v>
      </c>
      <c r="N925" s="19">
        <v>46212</v>
      </c>
      <c r="O925" s="21">
        <f t="shared" si="71"/>
        <v>46576</v>
      </c>
    </row>
    <row r="926" spans="1:15" ht="20.149999999999999" hidden="1" customHeight="1" x14ac:dyDescent="0.2">
      <c r="A926" s="29">
        <v>46268</v>
      </c>
      <c r="B926" s="29">
        <v>46269</v>
      </c>
      <c r="C926" s="30" t="s">
        <v>2027</v>
      </c>
      <c r="D926" s="30">
        <v>4</v>
      </c>
      <c r="E926" s="30">
        <f t="shared" si="72"/>
        <v>780</v>
      </c>
      <c r="F926" s="37" t="s">
        <v>30</v>
      </c>
      <c r="G926" s="37" t="s">
        <v>1549</v>
      </c>
      <c r="H926" s="32">
        <f>H908-E926</f>
        <v>0</v>
      </c>
      <c r="I926" s="32"/>
      <c r="J926" s="32"/>
      <c r="K926" s="30">
        <v>260902005</v>
      </c>
      <c r="L926" s="30"/>
      <c r="M926" s="30">
        <f>M925-D926</f>
        <v>13</v>
      </c>
      <c r="N926" s="19">
        <v>46212</v>
      </c>
      <c r="O926" s="21">
        <f t="shared" si="71"/>
        <v>46576</v>
      </c>
    </row>
    <row r="927" spans="1:15" ht="20.149999999999999" hidden="1" customHeight="1" x14ac:dyDescent="0.2">
      <c r="A927" s="29">
        <v>46268</v>
      </c>
      <c r="B927" s="29">
        <v>46269</v>
      </c>
      <c r="C927" s="30" t="s">
        <v>1630</v>
      </c>
      <c r="D927" s="30">
        <v>4</v>
      </c>
      <c r="E927" s="30">
        <f t="shared" si="72"/>
        <v>780</v>
      </c>
      <c r="F927" s="37" t="s">
        <v>30</v>
      </c>
      <c r="G927" s="161" t="s">
        <v>2024</v>
      </c>
      <c r="H927" s="32">
        <f>85800-E927</f>
        <v>85020</v>
      </c>
      <c r="I927" s="32"/>
      <c r="J927" s="32"/>
      <c r="K927" s="30" t="s">
        <v>2034</v>
      </c>
      <c r="L927" s="30"/>
      <c r="M927" s="30">
        <f>M926-D927</f>
        <v>9</v>
      </c>
      <c r="N927" s="19">
        <v>46212</v>
      </c>
      <c r="O927" s="21">
        <f t="shared" si="71"/>
        <v>46576</v>
      </c>
    </row>
    <row r="928" spans="1:15" ht="20.149999999999999" hidden="1" customHeight="1" x14ac:dyDescent="0.2">
      <c r="A928" s="26">
        <v>46268</v>
      </c>
      <c r="B928" s="26">
        <v>46269</v>
      </c>
      <c r="C928" s="27" t="s">
        <v>2028</v>
      </c>
      <c r="D928" s="27">
        <v>12</v>
      </c>
      <c r="E928" s="27">
        <f t="shared" si="72"/>
        <v>2340</v>
      </c>
      <c r="F928" s="27" t="s">
        <v>31</v>
      </c>
      <c r="G928" s="36" t="s">
        <v>869</v>
      </c>
      <c r="H928" s="28">
        <f>H909-E928</f>
        <v>3060</v>
      </c>
      <c r="I928" s="28"/>
      <c r="J928" s="28"/>
      <c r="K928" s="27">
        <v>260902006</v>
      </c>
      <c r="L928" s="27"/>
      <c r="M928" s="27">
        <f>M923-D928</f>
        <v>0</v>
      </c>
      <c r="N928" s="19">
        <v>46211</v>
      </c>
      <c r="O928" s="21">
        <f t="shared" si="71"/>
        <v>46575</v>
      </c>
    </row>
    <row r="929" spans="1:15" ht="20.149999999999999" hidden="1" customHeight="1" x14ac:dyDescent="0.2">
      <c r="A929" s="22">
        <v>46268</v>
      </c>
      <c r="B929" s="22">
        <v>46269</v>
      </c>
      <c r="C929" s="23" t="s">
        <v>2029</v>
      </c>
      <c r="D929" s="23">
        <v>8</v>
      </c>
      <c r="E929" s="23">
        <f t="shared" si="72"/>
        <v>1560</v>
      </c>
      <c r="F929" s="148" t="s">
        <v>444</v>
      </c>
      <c r="G929" s="38" t="s">
        <v>2037</v>
      </c>
      <c r="H929" s="25">
        <f>H917-E929</f>
        <v>132920</v>
      </c>
      <c r="I929" s="25"/>
      <c r="J929" s="25"/>
      <c r="K929" s="23">
        <v>260902007</v>
      </c>
      <c r="L929" s="23"/>
      <c r="M929" s="23">
        <f>M927-D929</f>
        <v>1</v>
      </c>
      <c r="N929" s="19">
        <v>46212</v>
      </c>
      <c r="O929" s="21">
        <f t="shared" si="71"/>
        <v>46576</v>
      </c>
    </row>
    <row r="930" spans="1:15" ht="20.149999999999999" hidden="1" customHeight="1" x14ac:dyDescent="0.25">
      <c r="A930" s="33">
        <v>46269</v>
      </c>
      <c r="B930" s="33">
        <v>46269</v>
      </c>
      <c r="C930" s="34" t="s">
        <v>1630</v>
      </c>
      <c r="D930" s="34">
        <v>1</v>
      </c>
      <c r="E930" s="34">
        <f t="shared" si="72"/>
        <v>195</v>
      </c>
      <c r="F930" s="39" t="s">
        <v>27</v>
      </c>
      <c r="G930" s="39" t="s">
        <v>2048</v>
      </c>
      <c r="H930" s="35">
        <f>H919-E930</f>
        <v>12285</v>
      </c>
      <c r="I930" s="35"/>
      <c r="J930" s="35"/>
      <c r="K930" s="34">
        <v>260903002</v>
      </c>
      <c r="L930" s="34"/>
      <c r="M930" s="34">
        <f>M929-D930</f>
        <v>0</v>
      </c>
      <c r="N930" s="19">
        <v>46212</v>
      </c>
      <c r="O930" s="21">
        <f t="shared" si="71"/>
        <v>46576</v>
      </c>
    </row>
    <row r="931" spans="1:15" ht="20.149999999999999" hidden="1" customHeight="1" x14ac:dyDescent="0.25">
      <c r="A931" s="33">
        <v>46269</v>
      </c>
      <c r="B931" s="33">
        <v>46269</v>
      </c>
      <c r="C931" s="34" t="s">
        <v>1621</v>
      </c>
      <c r="D931" s="34">
        <v>7</v>
      </c>
      <c r="E931" s="34">
        <f t="shared" si="72"/>
        <v>1365</v>
      </c>
      <c r="F931" s="39" t="s">
        <v>27</v>
      </c>
      <c r="G931" s="39" t="s">
        <v>2041</v>
      </c>
      <c r="H931" s="35">
        <f>H930-E931</f>
        <v>10920</v>
      </c>
      <c r="I931" s="35"/>
      <c r="J931" s="35"/>
      <c r="K931" s="34">
        <v>260903002</v>
      </c>
      <c r="L931" s="34"/>
      <c r="M931" s="34">
        <f>M787-D931</f>
        <v>30</v>
      </c>
      <c r="N931" s="19">
        <v>46213</v>
      </c>
      <c r="O931" s="21">
        <f t="shared" si="71"/>
        <v>46577</v>
      </c>
    </row>
    <row r="932" spans="1:15" ht="20.149999999999999" hidden="1" customHeight="1" x14ac:dyDescent="0.2">
      <c r="A932" s="40">
        <v>46269</v>
      </c>
      <c r="B932" s="40">
        <v>46269</v>
      </c>
      <c r="C932" s="41" t="s">
        <v>1621</v>
      </c>
      <c r="D932" s="41">
        <v>16</v>
      </c>
      <c r="E932" s="41">
        <f t="shared" si="72"/>
        <v>3120</v>
      </c>
      <c r="F932" s="60" t="s">
        <v>26</v>
      </c>
      <c r="G932" s="60" t="s">
        <v>2050</v>
      </c>
      <c r="H932" s="42">
        <f>H921-E932</f>
        <v>7020</v>
      </c>
      <c r="I932" s="42"/>
      <c r="J932" s="42"/>
      <c r="K932" s="41" t="s">
        <v>2051</v>
      </c>
      <c r="L932" s="41"/>
      <c r="M932" s="41">
        <f>M931-D932</f>
        <v>14</v>
      </c>
      <c r="N932" s="19">
        <v>46213</v>
      </c>
      <c r="O932" s="21">
        <f t="shared" ref="O932:O995" si="75">DATE(YEAR(N932)+1,MONTH(N932),DAY(N932))-1</f>
        <v>46577</v>
      </c>
    </row>
    <row r="933" spans="1:15" ht="20.149999999999999" hidden="1" customHeight="1" x14ac:dyDescent="0.2">
      <c r="A933" s="29">
        <v>46272</v>
      </c>
      <c r="B933" s="29">
        <v>46272</v>
      </c>
      <c r="C933" s="30" t="s">
        <v>1631</v>
      </c>
      <c r="D933" s="30">
        <v>8</v>
      </c>
      <c r="E933" s="30">
        <f t="shared" si="72"/>
        <v>1560</v>
      </c>
      <c r="F933" s="37" t="s">
        <v>26</v>
      </c>
      <c r="G933" s="37" t="s">
        <v>796</v>
      </c>
      <c r="H933" s="32">
        <f>H932-E933</f>
        <v>5460</v>
      </c>
      <c r="I933" s="32"/>
      <c r="J933" s="32"/>
      <c r="K933" s="30">
        <v>260904003</v>
      </c>
      <c r="L933" s="30"/>
      <c r="M933" s="30">
        <f>M788-D933</f>
        <v>30</v>
      </c>
      <c r="N933" s="19">
        <v>46214</v>
      </c>
      <c r="O933" s="21">
        <f t="shared" si="75"/>
        <v>46578</v>
      </c>
    </row>
    <row r="934" spans="1:15" ht="20.149999999999999" hidden="1" customHeight="1" x14ac:dyDescent="0.2">
      <c r="A934" s="26">
        <v>46272</v>
      </c>
      <c r="B934" s="26">
        <v>46273</v>
      </c>
      <c r="C934" s="27" t="s">
        <v>1656</v>
      </c>
      <c r="D934" s="27">
        <v>12</v>
      </c>
      <c r="E934" s="27">
        <f t="shared" si="72"/>
        <v>2340</v>
      </c>
      <c r="F934" s="27" t="s">
        <v>1860</v>
      </c>
      <c r="G934" s="36" t="s">
        <v>2060</v>
      </c>
      <c r="H934" s="28">
        <f>H924-E934</f>
        <v>12480</v>
      </c>
      <c r="I934" s="28"/>
      <c r="J934" s="28"/>
      <c r="K934" s="27">
        <v>260904004</v>
      </c>
      <c r="L934" s="27"/>
      <c r="M934" s="27">
        <f>M796-D934</f>
        <v>20</v>
      </c>
      <c r="N934" s="19">
        <v>46215</v>
      </c>
      <c r="O934" s="21">
        <f t="shared" si="75"/>
        <v>46579</v>
      </c>
    </row>
    <row r="935" spans="1:15" ht="20.149999999999999" hidden="1" customHeight="1" x14ac:dyDescent="0.3">
      <c r="A935" s="22">
        <v>46272</v>
      </c>
      <c r="B935" s="22">
        <v>46273</v>
      </c>
      <c r="C935" s="23" t="s">
        <v>2055</v>
      </c>
      <c r="D935" s="23">
        <v>4</v>
      </c>
      <c r="E935" s="23">
        <f t="shared" si="72"/>
        <v>780</v>
      </c>
      <c r="F935" s="38" t="s">
        <v>274</v>
      </c>
      <c r="G935" s="38" t="s">
        <v>2061</v>
      </c>
      <c r="H935" s="25">
        <f>H925-E935</f>
        <v>25740</v>
      </c>
      <c r="I935" s="43" t="s">
        <v>22</v>
      </c>
      <c r="J935" s="25"/>
      <c r="K935" s="23">
        <v>260904005</v>
      </c>
      <c r="L935" s="23">
        <v>42</v>
      </c>
      <c r="M935" s="23">
        <f>L935-D935</f>
        <v>38</v>
      </c>
      <c r="N935" s="19">
        <v>46256</v>
      </c>
      <c r="O935" s="21">
        <f t="shared" si="75"/>
        <v>46620</v>
      </c>
    </row>
    <row r="936" spans="1:15" ht="20.149999999999999" hidden="1" customHeight="1" x14ac:dyDescent="0.3">
      <c r="A936" s="22">
        <v>46272</v>
      </c>
      <c r="B936" s="22">
        <v>46273</v>
      </c>
      <c r="C936" s="23" t="s">
        <v>2052</v>
      </c>
      <c r="D936" s="23">
        <v>4</v>
      </c>
      <c r="E936" s="23">
        <f t="shared" si="72"/>
        <v>780</v>
      </c>
      <c r="F936" s="38" t="s">
        <v>274</v>
      </c>
      <c r="G936" s="38" t="s">
        <v>1907</v>
      </c>
      <c r="H936" s="25">
        <f>H935-E936</f>
        <v>24960</v>
      </c>
      <c r="I936" s="43" t="s">
        <v>22</v>
      </c>
      <c r="J936" s="25"/>
      <c r="K936" s="23">
        <v>260904005</v>
      </c>
      <c r="L936" s="23">
        <v>41</v>
      </c>
      <c r="M936" s="23">
        <f>L936-D936</f>
        <v>37</v>
      </c>
      <c r="N936" s="19">
        <v>46261</v>
      </c>
      <c r="O936" s="21">
        <f t="shared" si="75"/>
        <v>46625</v>
      </c>
    </row>
    <row r="937" spans="1:15" ht="20.149999999999999" hidden="1" customHeight="1" x14ac:dyDescent="0.3">
      <c r="A937" s="22">
        <v>46272</v>
      </c>
      <c r="B937" s="22">
        <v>46273</v>
      </c>
      <c r="C937" s="23" t="s">
        <v>2056</v>
      </c>
      <c r="D937" s="23">
        <v>4</v>
      </c>
      <c r="E937" s="23">
        <f t="shared" si="72"/>
        <v>780</v>
      </c>
      <c r="F937" s="38" t="s">
        <v>274</v>
      </c>
      <c r="G937" s="38" t="s">
        <v>2063</v>
      </c>
      <c r="H937" s="25">
        <f>H936-E937</f>
        <v>24180</v>
      </c>
      <c r="I937" s="43" t="s">
        <v>22</v>
      </c>
      <c r="J937" s="25"/>
      <c r="K937" s="23" t="s">
        <v>2062</v>
      </c>
      <c r="L937" s="23">
        <v>41</v>
      </c>
      <c r="M937" s="23">
        <f>L937-D937</f>
        <v>37</v>
      </c>
      <c r="N937" s="19">
        <v>46264</v>
      </c>
      <c r="O937" s="21">
        <f t="shared" si="75"/>
        <v>46628</v>
      </c>
    </row>
    <row r="938" spans="1:15" ht="20.149999999999999" hidden="1" customHeight="1" x14ac:dyDescent="0.2">
      <c r="A938" s="33">
        <v>46272</v>
      </c>
      <c r="B938" s="33">
        <v>46273</v>
      </c>
      <c r="C938" s="34" t="s">
        <v>1631</v>
      </c>
      <c r="D938" s="34">
        <v>12</v>
      </c>
      <c r="E938" s="34">
        <f t="shared" si="72"/>
        <v>2340</v>
      </c>
      <c r="F938" s="39" t="s">
        <v>30</v>
      </c>
      <c r="G938" s="39" t="s">
        <v>2064</v>
      </c>
      <c r="H938" s="35">
        <f>H927-E938</f>
        <v>82680</v>
      </c>
      <c r="I938" s="35"/>
      <c r="J938" s="35"/>
      <c r="K938" s="34">
        <v>260904006</v>
      </c>
      <c r="L938" s="34"/>
      <c r="M938" s="34">
        <f>M933-D938</f>
        <v>18</v>
      </c>
      <c r="N938" s="19">
        <v>46214</v>
      </c>
      <c r="O938" s="21">
        <f t="shared" si="75"/>
        <v>46578</v>
      </c>
    </row>
    <row r="939" spans="1:15" ht="20.149999999999999" hidden="1" customHeight="1" x14ac:dyDescent="0.2">
      <c r="A939" s="40">
        <v>46272</v>
      </c>
      <c r="B939" s="40">
        <v>46273</v>
      </c>
      <c r="C939" s="41" t="s">
        <v>1621</v>
      </c>
      <c r="D939" s="41">
        <v>12</v>
      </c>
      <c r="E939" s="41">
        <f t="shared" si="72"/>
        <v>2340</v>
      </c>
      <c r="F939" s="41" t="s">
        <v>31</v>
      </c>
      <c r="G939" s="60" t="s">
        <v>869</v>
      </c>
      <c r="H939" s="42">
        <f>H928-E939</f>
        <v>720</v>
      </c>
      <c r="I939" s="42"/>
      <c r="J939" s="42"/>
      <c r="K939" s="41">
        <v>260904007</v>
      </c>
      <c r="L939" s="41"/>
      <c r="M939" s="41">
        <f>M932-D939</f>
        <v>2</v>
      </c>
      <c r="N939" s="19">
        <v>46213</v>
      </c>
      <c r="O939" s="21">
        <f t="shared" si="75"/>
        <v>46577</v>
      </c>
    </row>
    <row r="940" spans="1:15" ht="20.149999999999999" hidden="1" customHeight="1" x14ac:dyDescent="0.2">
      <c r="A940" s="29">
        <v>46272</v>
      </c>
      <c r="B940" s="29">
        <v>46273</v>
      </c>
      <c r="C940" s="30" t="s">
        <v>2057</v>
      </c>
      <c r="D940" s="30">
        <v>2</v>
      </c>
      <c r="E940" s="30">
        <f>D940*195</f>
        <v>390</v>
      </c>
      <c r="F940" s="161" t="s">
        <v>444</v>
      </c>
      <c r="G940" s="37" t="s">
        <v>2065</v>
      </c>
      <c r="H940" s="32">
        <f>H929-E940</f>
        <v>132530</v>
      </c>
      <c r="I940" s="32"/>
      <c r="J940" s="32"/>
      <c r="K940" s="30">
        <v>260904008</v>
      </c>
      <c r="L940" s="30"/>
      <c r="M940" s="30">
        <f>M939-D940</f>
        <v>0</v>
      </c>
      <c r="N940" s="19">
        <v>46213</v>
      </c>
      <c r="O940" s="21">
        <f t="shared" si="75"/>
        <v>46577</v>
      </c>
    </row>
    <row r="941" spans="1:15" ht="20.149999999999999" hidden="1" customHeight="1" x14ac:dyDescent="0.2">
      <c r="A941" s="29">
        <v>46272</v>
      </c>
      <c r="B941" s="29">
        <v>46273</v>
      </c>
      <c r="C941" s="30" t="s">
        <v>2058</v>
      </c>
      <c r="D941" s="30">
        <v>10</v>
      </c>
      <c r="E941" s="30">
        <f t="shared" si="72"/>
        <v>1950</v>
      </c>
      <c r="F941" s="161" t="s">
        <v>444</v>
      </c>
      <c r="G941" s="37" t="s">
        <v>656</v>
      </c>
      <c r="H941" s="32">
        <f>H940-E941</f>
        <v>130580</v>
      </c>
      <c r="I941" s="32"/>
      <c r="J941" s="32"/>
      <c r="K941" s="30">
        <v>260904008</v>
      </c>
      <c r="L941" s="30"/>
      <c r="M941" s="30">
        <f>M938-D941</f>
        <v>8</v>
      </c>
      <c r="N941" s="19">
        <v>46214</v>
      </c>
      <c r="O941" s="21">
        <f t="shared" si="75"/>
        <v>46578</v>
      </c>
    </row>
    <row r="942" spans="1:15" ht="20.149999999999999" hidden="1" customHeight="1" x14ac:dyDescent="0.2">
      <c r="A942" s="22">
        <v>46273</v>
      </c>
      <c r="B942" s="22">
        <v>46273</v>
      </c>
      <c r="C942" s="23" t="s">
        <v>2069</v>
      </c>
      <c r="D942" s="23">
        <v>4</v>
      </c>
      <c r="E942" s="23">
        <f t="shared" si="72"/>
        <v>780</v>
      </c>
      <c r="F942" s="23" t="s">
        <v>1569</v>
      </c>
      <c r="G942" s="23" t="s">
        <v>81</v>
      </c>
      <c r="H942" s="25">
        <f>H905-E942</f>
        <v>48520</v>
      </c>
      <c r="I942" s="25"/>
      <c r="J942" s="25"/>
      <c r="K942" s="23">
        <v>260907003</v>
      </c>
      <c r="L942" s="23"/>
      <c r="M942" s="23">
        <f>M812-D942</f>
        <v>33</v>
      </c>
      <c r="N942" s="19">
        <v>46217</v>
      </c>
      <c r="O942" s="21">
        <f t="shared" si="75"/>
        <v>46581</v>
      </c>
    </row>
    <row r="943" spans="1:15" ht="20.149999999999999" hidden="1" customHeight="1" x14ac:dyDescent="0.25">
      <c r="A943" s="26">
        <v>46273</v>
      </c>
      <c r="B943" s="26">
        <v>46273</v>
      </c>
      <c r="C943" s="27" t="s">
        <v>2070</v>
      </c>
      <c r="D943" s="27">
        <v>8</v>
      </c>
      <c r="E943" s="27">
        <f t="shared" si="72"/>
        <v>1560</v>
      </c>
      <c r="F943" s="36" t="s">
        <v>27</v>
      </c>
      <c r="G943" s="36" t="s">
        <v>2073</v>
      </c>
      <c r="H943" s="28">
        <f>H931-E943</f>
        <v>9360</v>
      </c>
      <c r="I943" s="28"/>
      <c r="J943" s="28"/>
      <c r="K943" s="27">
        <v>260907004</v>
      </c>
      <c r="L943" s="27"/>
      <c r="M943" s="27">
        <f>M941-D943</f>
        <v>0</v>
      </c>
      <c r="N943" s="19">
        <v>46214</v>
      </c>
      <c r="O943" s="21">
        <f t="shared" si="75"/>
        <v>46578</v>
      </c>
    </row>
    <row r="944" spans="1:15" ht="20.149999999999999" hidden="1" customHeight="1" x14ac:dyDescent="0.25">
      <c r="A944" s="26">
        <v>46273</v>
      </c>
      <c r="B944" s="26">
        <v>46273</v>
      </c>
      <c r="C944" s="27" t="s">
        <v>2071</v>
      </c>
      <c r="D944" s="27">
        <v>4</v>
      </c>
      <c r="E944" s="27">
        <f t="shared" ref="E944:E1010" si="76">D944*195</f>
        <v>780</v>
      </c>
      <c r="F944" s="36" t="s">
        <v>27</v>
      </c>
      <c r="G944" s="36" t="s">
        <v>1814</v>
      </c>
      <c r="H944" s="28">
        <f>H943-E944</f>
        <v>8580</v>
      </c>
      <c r="I944" s="28"/>
      <c r="J944" s="28"/>
      <c r="K944" s="27">
        <v>260907004</v>
      </c>
      <c r="L944" s="27"/>
      <c r="M944" s="27">
        <f>M942-D944</f>
        <v>29</v>
      </c>
      <c r="N944" s="19">
        <v>46217</v>
      </c>
      <c r="O944" s="21">
        <f t="shared" si="75"/>
        <v>46581</v>
      </c>
    </row>
    <row r="945" spans="1:15" ht="20.149999999999999" hidden="1" customHeight="1" x14ac:dyDescent="0.2">
      <c r="A945" s="33">
        <v>46273</v>
      </c>
      <c r="B945" s="33">
        <v>46273</v>
      </c>
      <c r="C945" s="34" t="s">
        <v>1702</v>
      </c>
      <c r="D945" s="39">
        <v>12</v>
      </c>
      <c r="E945" s="34">
        <f t="shared" si="76"/>
        <v>2340</v>
      </c>
      <c r="F945" s="39" t="s">
        <v>26</v>
      </c>
      <c r="G945" s="39" t="s">
        <v>2075</v>
      </c>
      <c r="H945" s="35">
        <f>H933-E945</f>
        <v>3120</v>
      </c>
      <c r="I945" s="35"/>
      <c r="J945" s="35"/>
      <c r="K945" s="34">
        <v>260907005</v>
      </c>
      <c r="L945" s="34"/>
      <c r="M945" s="34">
        <f>M944-D945</f>
        <v>17</v>
      </c>
      <c r="N945" s="19">
        <v>46217</v>
      </c>
      <c r="O945" s="21">
        <f t="shared" si="75"/>
        <v>46581</v>
      </c>
    </row>
    <row r="946" spans="1:15" ht="20.149999999999999" hidden="1" customHeight="1" x14ac:dyDescent="0.25">
      <c r="A946" s="40">
        <v>46274</v>
      </c>
      <c r="B946" s="40">
        <v>46275</v>
      </c>
      <c r="C946" s="41" t="s">
        <v>2079</v>
      </c>
      <c r="D946" s="41">
        <v>16</v>
      </c>
      <c r="E946" s="41">
        <f t="shared" si="76"/>
        <v>3120</v>
      </c>
      <c r="F946" s="60" t="s">
        <v>307</v>
      </c>
      <c r="G946" s="146" t="s">
        <v>2084</v>
      </c>
      <c r="H946" s="42">
        <f>49920-E946</f>
        <v>46800</v>
      </c>
      <c r="I946" s="42"/>
      <c r="J946" s="42"/>
      <c r="K946" s="41">
        <v>260908003</v>
      </c>
      <c r="L946" s="41"/>
      <c r="M946" s="41">
        <f>M934-D946</f>
        <v>4</v>
      </c>
      <c r="N946" s="19">
        <v>46215</v>
      </c>
      <c r="O946" s="21">
        <f t="shared" si="75"/>
        <v>46579</v>
      </c>
    </row>
    <row r="947" spans="1:15" ht="20.149999999999999" hidden="1" customHeight="1" x14ac:dyDescent="0.25">
      <c r="A947" s="40">
        <v>46274</v>
      </c>
      <c r="B947" s="40">
        <v>46275</v>
      </c>
      <c r="C947" s="41" t="s">
        <v>2080</v>
      </c>
      <c r="D947" s="41">
        <v>20</v>
      </c>
      <c r="E947" s="41">
        <f t="shared" si="76"/>
        <v>3900</v>
      </c>
      <c r="F947" s="60" t="s">
        <v>307</v>
      </c>
      <c r="G947" s="146" t="s">
        <v>2077</v>
      </c>
      <c r="H947" s="42">
        <f>H946-E947</f>
        <v>42900</v>
      </c>
      <c r="I947" s="42"/>
      <c r="J947" s="42"/>
      <c r="K947" s="41">
        <v>260908003</v>
      </c>
      <c r="L947" s="41"/>
      <c r="M947" s="41">
        <f>M819-D947</f>
        <v>17</v>
      </c>
      <c r="N947" s="19">
        <v>46218</v>
      </c>
      <c r="O947" s="21">
        <f t="shared" si="75"/>
        <v>46582</v>
      </c>
    </row>
    <row r="948" spans="1:15" ht="20.149999999999999" hidden="1" customHeight="1" x14ac:dyDescent="0.25">
      <c r="A948" s="40">
        <v>46274</v>
      </c>
      <c r="B948" s="40">
        <v>46275</v>
      </c>
      <c r="C948" s="41" t="s">
        <v>1735</v>
      </c>
      <c r="D948" s="41">
        <v>12</v>
      </c>
      <c r="E948" s="41">
        <f t="shared" si="76"/>
        <v>2340</v>
      </c>
      <c r="F948" s="60" t="s">
        <v>307</v>
      </c>
      <c r="G948" s="60" t="s">
        <v>1752</v>
      </c>
      <c r="H948" s="42">
        <f>H923-E948</f>
        <v>0</v>
      </c>
      <c r="I948" s="42"/>
      <c r="J948" s="42"/>
      <c r="K948" s="41" t="s">
        <v>2081</v>
      </c>
      <c r="L948" s="41"/>
      <c r="M948" s="41">
        <f>M820-D948</f>
        <v>10</v>
      </c>
      <c r="N948" s="19">
        <v>46219</v>
      </c>
      <c r="O948" s="21">
        <f t="shared" si="75"/>
        <v>46583</v>
      </c>
    </row>
    <row r="949" spans="1:15" ht="20.149999999999999" hidden="1" customHeight="1" x14ac:dyDescent="0.2">
      <c r="A949" s="29">
        <v>46275</v>
      </c>
      <c r="B949" s="29">
        <v>46276</v>
      </c>
      <c r="C949" s="30" t="s">
        <v>2090</v>
      </c>
      <c r="D949" s="30">
        <v>1</v>
      </c>
      <c r="E949" s="30">
        <f t="shared" si="76"/>
        <v>195</v>
      </c>
      <c r="F949" s="30" t="s">
        <v>1860</v>
      </c>
      <c r="G949" s="37" t="s">
        <v>1912</v>
      </c>
      <c r="H949" s="32">
        <f>H934-E949</f>
        <v>12285</v>
      </c>
      <c r="I949" s="32"/>
      <c r="J949" s="32"/>
      <c r="K949" s="30">
        <v>260909002</v>
      </c>
      <c r="L949" s="30"/>
      <c r="M949" s="30">
        <f>M945-D949</f>
        <v>16</v>
      </c>
      <c r="N949" s="19">
        <v>46217</v>
      </c>
      <c r="O949" s="21">
        <f t="shared" si="75"/>
        <v>46581</v>
      </c>
    </row>
    <row r="950" spans="1:15" ht="20.149999999999999" hidden="1" customHeight="1" x14ac:dyDescent="0.2">
      <c r="A950" s="29">
        <v>46275</v>
      </c>
      <c r="B950" s="29">
        <v>46276</v>
      </c>
      <c r="C950" s="30" t="s">
        <v>2091</v>
      </c>
      <c r="D950" s="30">
        <v>7</v>
      </c>
      <c r="E950" s="30">
        <f t="shared" si="76"/>
        <v>1365</v>
      </c>
      <c r="F950" s="30" t="s">
        <v>1860</v>
      </c>
      <c r="G950" s="37" t="s">
        <v>2088</v>
      </c>
      <c r="H950" s="32">
        <f>H949-E950</f>
        <v>10920</v>
      </c>
      <c r="I950" s="32"/>
      <c r="J950" s="32"/>
      <c r="K950" s="30">
        <v>260909002</v>
      </c>
      <c r="L950" s="30"/>
      <c r="M950" s="30">
        <f>M948-D950</f>
        <v>3</v>
      </c>
      <c r="N950" s="19">
        <v>46219</v>
      </c>
      <c r="O950" s="21">
        <f t="shared" si="75"/>
        <v>46583</v>
      </c>
    </row>
    <row r="951" spans="1:15" ht="20.149999999999999" hidden="1" customHeight="1" x14ac:dyDescent="0.2">
      <c r="A951" s="29">
        <v>46275</v>
      </c>
      <c r="B951" s="29">
        <v>46276</v>
      </c>
      <c r="C951" s="30" t="s">
        <v>2092</v>
      </c>
      <c r="D951" s="30">
        <v>4</v>
      </c>
      <c r="E951" s="30">
        <f t="shared" si="76"/>
        <v>780</v>
      </c>
      <c r="F951" s="30" t="s">
        <v>1860</v>
      </c>
      <c r="G951" s="37" t="s">
        <v>2087</v>
      </c>
      <c r="H951" s="32">
        <f>H950-E951</f>
        <v>10140</v>
      </c>
      <c r="I951" s="32"/>
      <c r="J951" s="32"/>
      <c r="K951" s="30">
        <v>260909002</v>
      </c>
      <c r="L951" s="30"/>
      <c r="M951" s="30">
        <f>M821-D951</f>
        <v>13</v>
      </c>
      <c r="N951" s="19">
        <v>46220</v>
      </c>
      <c r="O951" s="21">
        <f t="shared" si="75"/>
        <v>46584</v>
      </c>
    </row>
    <row r="952" spans="1:15" ht="20.149999999999999" hidden="1" customHeight="1" x14ac:dyDescent="0.3">
      <c r="A952" s="26">
        <v>46275</v>
      </c>
      <c r="B952" s="26">
        <v>46276</v>
      </c>
      <c r="C952" s="27" t="s">
        <v>2093</v>
      </c>
      <c r="D952" s="27">
        <v>4</v>
      </c>
      <c r="E952" s="27">
        <f t="shared" si="76"/>
        <v>780</v>
      </c>
      <c r="F952" s="36" t="s">
        <v>274</v>
      </c>
      <c r="G952" s="36" t="s">
        <v>1907</v>
      </c>
      <c r="H952" s="28">
        <f>H937-E952</f>
        <v>23400</v>
      </c>
      <c r="I952" s="28"/>
      <c r="J952" s="28"/>
      <c r="K952" s="27">
        <v>260909003</v>
      </c>
      <c r="L952" s="27"/>
      <c r="M952" s="27">
        <f>M946-D952</f>
        <v>0</v>
      </c>
      <c r="N952" s="19">
        <v>46215</v>
      </c>
      <c r="O952" s="21">
        <f t="shared" si="75"/>
        <v>46579</v>
      </c>
    </row>
    <row r="953" spans="1:15" ht="20.149999999999999" hidden="1" customHeight="1" x14ac:dyDescent="0.3">
      <c r="A953" s="26">
        <v>46275</v>
      </c>
      <c r="B953" s="26">
        <v>46276</v>
      </c>
      <c r="C953" s="27" t="s">
        <v>1702</v>
      </c>
      <c r="D953" s="27">
        <v>8</v>
      </c>
      <c r="E953" s="27">
        <f t="shared" si="76"/>
        <v>1560</v>
      </c>
      <c r="F953" s="36" t="s">
        <v>274</v>
      </c>
      <c r="G953" s="36" t="s">
        <v>1907</v>
      </c>
      <c r="H953" s="28">
        <f>H952-E953</f>
        <v>21840</v>
      </c>
      <c r="I953" s="28"/>
      <c r="J953" s="28"/>
      <c r="K953" s="27">
        <v>260909003</v>
      </c>
      <c r="L953" s="27"/>
      <c r="M953" s="27">
        <f>M949-D953</f>
        <v>8</v>
      </c>
      <c r="N953" s="19">
        <v>46217</v>
      </c>
      <c r="O953" s="21">
        <f t="shared" si="75"/>
        <v>46581</v>
      </c>
    </row>
    <row r="954" spans="1:15" ht="20.149999999999999" hidden="1" customHeight="1" x14ac:dyDescent="0.2">
      <c r="A954" s="22">
        <v>46275</v>
      </c>
      <c r="B954" s="22">
        <v>46276</v>
      </c>
      <c r="C954" s="23" t="s">
        <v>2094</v>
      </c>
      <c r="D954" s="23">
        <v>8</v>
      </c>
      <c r="E954" s="23">
        <f t="shared" si="76"/>
        <v>1560</v>
      </c>
      <c r="F954" s="38" t="s">
        <v>30</v>
      </c>
      <c r="G954" s="38" t="s">
        <v>2024</v>
      </c>
      <c r="H954" s="25">
        <f>H938-E954</f>
        <v>81120</v>
      </c>
      <c r="I954" s="25"/>
      <c r="J954" s="25"/>
      <c r="K954" s="23">
        <v>260909004</v>
      </c>
      <c r="L954" s="23"/>
      <c r="M954" s="23">
        <f>M953-D954</f>
        <v>0</v>
      </c>
      <c r="N954" s="19">
        <v>46217</v>
      </c>
      <c r="O954" s="21">
        <f t="shared" si="75"/>
        <v>46581</v>
      </c>
    </row>
    <row r="955" spans="1:15" ht="20.149999999999999" hidden="1" customHeight="1" x14ac:dyDescent="0.2">
      <c r="A955" s="33">
        <v>46275</v>
      </c>
      <c r="B955" s="33">
        <v>46276</v>
      </c>
      <c r="C955" s="34" t="s">
        <v>2095</v>
      </c>
      <c r="D955" s="34">
        <v>8</v>
      </c>
      <c r="E955" s="34">
        <f t="shared" si="76"/>
        <v>1560</v>
      </c>
      <c r="F955" s="34" t="s">
        <v>31</v>
      </c>
      <c r="G955" s="145" t="s">
        <v>2098</v>
      </c>
      <c r="H955" s="35">
        <f>21060-E955</f>
        <v>19500</v>
      </c>
      <c r="I955" s="35"/>
      <c r="J955" s="35"/>
      <c r="K955" s="34">
        <v>260909005</v>
      </c>
      <c r="L955" s="34"/>
      <c r="M955" s="34">
        <f>M947-D955</f>
        <v>9</v>
      </c>
      <c r="N955" s="19">
        <v>46218</v>
      </c>
      <c r="O955" s="21">
        <f t="shared" si="75"/>
        <v>46582</v>
      </c>
    </row>
    <row r="956" spans="1:15" ht="20.149999999999999" hidden="1" customHeight="1" x14ac:dyDescent="0.2">
      <c r="A956" s="40">
        <v>46275</v>
      </c>
      <c r="B956" s="40">
        <v>46276</v>
      </c>
      <c r="C956" s="41" t="s">
        <v>2095</v>
      </c>
      <c r="D956" s="41">
        <v>5</v>
      </c>
      <c r="E956" s="41">
        <f t="shared" si="76"/>
        <v>975</v>
      </c>
      <c r="F956" s="146" t="s">
        <v>444</v>
      </c>
      <c r="G956" s="60" t="s">
        <v>2099</v>
      </c>
      <c r="H956" s="42">
        <f>H941-E956</f>
        <v>129605</v>
      </c>
      <c r="I956" s="42"/>
      <c r="J956" s="42"/>
      <c r="K956" s="41">
        <v>260909006</v>
      </c>
      <c r="L956" s="41"/>
      <c r="M956" s="41">
        <f>M955-D956</f>
        <v>4</v>
      </c>
      <c r="N956" s="19">
        <v>46218</v>
      </c>
      <c r="O956" s="21">
        <f t="shared" si="75"/>
        <v>46582</v>
      </c>
    </row>
    <row r="957" spans="1:15" ht="20.149999999999999" hidden="1" customHeight="1" x14ac:dyDescent="0.2">
      <c r="A957" s="40">
        <v>46275</v>
      </c>
      <c r="B957" s="40">
        <v>46276</v>
      </c>
      <c r="C957" s="41" t="s">
        <v>2091</v>
      </c>
      <c r="D957" s="41">
        <v>3</v>
      </c>
      <c r="E957" s="41">
        <f t="shared" si="76"/>
        <v>585</v>
      </c>
      <c r="F957" s="146" t="s">
        <v>444</v>
      </c>
      <c r="G957" s="60" t="s">
        <v>2089</v>
      </c>
      <c r="H957" s="42">
        <f>H956-E957</f>
        <v>129020</v>
      </c>
      <c r="I957" s="42"/>
      <c r="J957" s="42"/>
      <c r="K957" s="41">
        <v>260909006</v>
      </c>
      <c r="L957" s="41"/>
      <c r="M957" s="41">
        <f>M950-D957</f>
        <v>0</v>
      </c>
      <c r="N957" s="19">
        <v>46219</v>
      </c>
      <c r="O957" s="21">
        <f t="shared" si="75"/>
        <v>46583</v>
      </c>
    </row>
    <row r="958" spans="1:15" ht="20.149999999999999" hidden="1" customHeight="1" x14ac:dyDescent="0.2">
      <c r="A958" s="26">
        <v>46276</v>
      </c>
      <c r="B958" s="26">
        <v>46276</v>
      </c>
      <c r="C958" s="27" t="s">
        <v>2106</v>
      </c>
      <c r="D958" s="27">
        <v>4</v>
      </c>
      <c r="E958" s="27">
        <f t="shared" si="76"/>
        <v>780</v>
      </c>
      <c r="F958" s="27" t="s">
        <v>1569</v>
      </c>
      <c r="G958" s="27" t="s">
        <v>2113</v>
      </c>
      <c r="H958" s="28">
        <f>H942-E958</f>
        <v>47740</v>
      </c>
      <c r="I958" s="28"/>
      <c r="J958" s="28"/>
      <c r="K958" s="27">
        <v>260910002</v>
      </c>
      <c r="L958" s="27"/>
      <c r="M958" s="27">
        <f>M951-D958</f>
        <v>9</v>
      </c>
      <c r="N958" s="19">
        <v>46220</v>
      </c>
      <c r="O958" s="21">
        <f t="shared" si="75"/>
        <v>46584</v>
      </c>
    </row>
    <row r="959" spans="1:15" ht="20.149999999999999" hidden="1" customHeight="1" x14ac:dyDescent="0.25">
      <c r="A959" s="29">
        <v>46276</v>
      </c>
      <c r="B959" s="29">
        <v>46276</v>
      </c>
      <c r="C959" s="30" t="s">
        <v>2107</v>
      </c>
      <c r="D959" s="30">
        <v>8</v>
      </c>
      <c r="E959" s="30">
        <f t="shared" si="76"/>
        <v>1560</v>
      </c>
      <c r="F959" s="37" t="s">
        <v>27</v>
      </c>
      <c r="G959" s="37" t="s">
        <v>2114</v>
      </c>
      <c r="H959" s="32">
        <f>H944-E959</f>
        <v>7020</v>
      </c>
      <c r="I959" s="32"/>
      <c r="J959" s="32"/>
      <c r="K959" s="30">
        <v>260910003</v>
      </c>
      <c r="L959" s="30"/>
      <c r="M959" s="30">
        <f>M958-D959</f>
        <v>1</v>
      </c>
      <c r="N959" s="19">
        <v>46220</v>
      </c>
      <c r="O959" s="21">
        <f t="shared" si="75"/>
        <v>46584</v>
      </c>
    </row>
    <row r="960" spans="1:15" ht="20.149999999999999" hidden="1" customHeight="1" x14ac:dyDescent="0.2">
      <c r="A960" s="22">
        <v>46276</v>
      </c>
      <c r="B960" s="22">
        <v>46276</v>
      </c>
      <c r="C960" s="23" t="s">
        <v>2108</v>
      </c>
      <c r="D960" s="23">
        <v>4</v>
      </c>
      <c r="E960" s="23">
        <f t="shared" si="76"/>
        <v>780</v>
      </c>
      <c r="F960" s="38" t="s">
        <v>26</v>
      </c>
      <c r="G960" s="38" t="s">
        <v>2115</v>
      </c>
      <c r="H960" s="25">
        <f>1560-E960</f>
        <v>780</v>
      </c>
      <c r="I960" s="25"/>
      <c r="J960" s="25"/>
      <c r="K960" s="23">
        <v>260910004</v>
      </c>
      <c r="L960" s="23"/>
      <c r="M960" s="23">
        <f>M956-D960</f>
        <v>0</v>
      </c>
      <c r="N960" s="19">
        <v>46218</v>
      </c>
      <c r="O960" s="21">
        <f t="shared" si="75"/>
        <v>46582</v>
      </c>
    </row>
    <row r="961" spans="1:15" ht="20.149999999999999" hidden="1" customHeight="1" x14ac:dyDescent="0.2">
      <c r="A961" s="22">
        <v>46276</v>
      </c>
      <c r="B961" s="22">
        <v>46276</v>
      </c>
      <c r="C961" s="23" t="s">
        <v>1736</v>
      </c>
      <c r="D961" s="23">
        <v>4</v>
      </c>
      <c r="E961" s="23">
        <f t="shared" si="76"/>
        <v>780</v>
      </c>
      <c r="F961" s="38" t="s">
        <v>26</v>
      </c>
      <c r="G961" s="38" t="s">
        <v>2111</v>
      </c>
      <c r="H961" s="25">
        <f>H960-E961</f>
        <v>0</v>
      </c>
      <c r="I961" s="25"/>
      <c r="J961" s="25"/>
      <c r="K961" s="23">
        <v>260910004</v>
      </c>
      <c r="L961" s="23"/>
      <c r="M961" s="23">
        <f>M822-D961</f>
        <v>34</v>
      </c>
      <c r="N961" s="19">
        <v>46221</v>
      </c>
      <c r="O961" s="21">
        <f t="shared" si="75"/>
        <v>46585</v>
      </c>
    </row>
    <row r="962" spans="1:15" ht="20.149999999999999" hidden="1" customHeight="1" x14ac:dyDescent="0.2">
      <c r="A962" s="22">
        <v>46276</v>
      </c>
      <c r="B962" s="22">
        <v>46276</v>
      </c>
      <c r="C962" s="23" t="s">
        <v>1736</v>
      </c>
      <c r="D962" s="23">
        <v>4</v>
      </c>
      <c r="E962" s="23">
        <f t="shared" si="76"/>
        <v>780</v>
      </c>
      <c r="F962" s="38" t="s">
        <v>26</v>
      </c>
      <c r="G962" s="148" t="s">
        <v>2116</v>
      </c>
      <c r="H962" s="25">
        <f>39780-E962</f>
        <v>39000</v>
      </c>
      <c r="I962" s="25"/>
      <c r="J962" s="25"/>
      <c r="K962" s="23" t="s">
        <v>2110</v>
      </c>
      <c r="L962" s="23"/>
      <c r="M962" s="23">
        <f>M961-D962</f>
        <v>30</v>
      </c>
      <c r="N962" s="19">
        <v>46221</v>
      </c>
      <c r="O962" s="21">
        <f t="shared" si="75"/>
        <v>46585</v>
      </c>
    </row>
    <row r="963" spans="1:15" ht="20.149999999999999" hidden="1" customHeight="1" x14ac:dyDescent="0.2">
      <c r="A963" s="33">
        <v>46279</v>
      </c>
      <c r="B963" s="33">
        <v>46279</v>
      </c>
      <c r="C963" s="34" t="s">
        <v>2122</v>
      </c>
      <c r="D963" s="34">
        <v>8</v>
      </c>
      <c r="E963" s="34">
        <f t="shared" si="76"/>
        <v>1560</v>
      </c>
      <c r="F963" s="39" t="s">
        <v>26</v>
      </c>
      <c r="G963" s="39" t="s">
        <v>2130</v>
      </c>
      <c r="H963" s="35">
        <f>H962-E963</f>
        <v>37440</v>
      </c>
      <c r="I963" s="35"/>
      <c r="J963" s="35"/>
      <c r="K963" s="34">
        <v>260911011</v>
      </c>
      <c r="L963" s="34"/>
      <c r="M963" s="34">
        <f>M962-D963</f>
        <v>22</v>
      </c>
      <c r="N963" s="19">
        <v>46221</v>
      </c>
      <c r="O963" s="21">
        <f t="shared" si="75"/>
        <v>46585</v>
      </c>
    </row>
    <row r="964" spans="1:15" ht="20.149999999999999" hidden="1" customHeight="1" x14ac:dyDescent="0.2">
      <c r="A964" s="40">
        <v>46279</v>
      </c>
      <c r="B964" s="40">
        <v>46280</v>
      </c>
      <c r="C964" s="41" t="s">
        <v>1737</v>
      </c>
      <c r="D964" s="41">
        <v>4</v>
      </c>
      <c r="E964" s="41">
        <f t="shared" si="76"/>
        <v>780</v>
      </c>
      <c r="F964" s="41" t="s">
        <v>1860</v>
      </c>
      <c r="G964" s="60" t="s">
        <v>2131</v>
      </c>
      <c r="H964" s="42">
        <f>H951-E964</f>
        <v>9360</v>
      </c>
      <c r="I964" s="121"/>
      <c r="J964" s="42"/>
      <c r="K964" s="41">
        <v>260911012</v>
      </c>
      <c r="L964" s="41"/>
      <c r="M964" s="41">
        <f>M823-D964</f>
        <v>33</v>
      </c>
      <c r="N964" s="19">
        <v>46222</v>
      </c>
      <c r="O964" s="21">
        <f t="shared" si="75"/>
        <v>46586</v>
      </c>
    </row>
    <row r="965" spans="1:15" ht="20.149999999999999" hidden="1" customHeight="1" x14ac:dyDescent="0.2">
      <c r="A965" s="40">
        <v>46279</v>
      </c>
      <c r="B965" s="40">
        <v>46280</v>
      </c>
      <c r="C965" s="41" t="s">
        <v>2123</v>
      </c>
      <c r="D965" s="41">
        <v>4</v>
      </c>
      <c r="E965" s="41">
        <f t="shared" si="76"/>
        <v>780</v>
      </c>
      <c r="F965" s="41" t="s">
        <v>1860</v>
      </c>
      <c r="G965" s="60" t="s">
        <v>2120</v>
      </c>
      <c r="H965" s="42">
        <f>H964-E965</f>
        <v>8580</v>
      </c>
      <c r="I965" s="121" t="s">
        <v>22</v>
      </c>
      <c r="J965" s="42"/>
      <c r="K965" s="41">
        <v>260911012</v>
      </c>
      <c r="L965" s="41">
        <v>42</v>
      </c>
      <c r="M965" s="41">
        <f>L965-D965</f>
        <v>38</v>
      </c>
      <c r="N965" s="19">
        <v>46266</v>
      </c>
      <c r="O965" s="21">
        <f t="shared" si="75"/>
        <v>46630</v>
      </c>
    </row>
    <row r="966" spans="1:15" ht="20.149999999999999" hidden="1" customHeight="1" x14ac:dyDescent="0.2">
      <c r="A966" s="40">
        <v>46279</v>
      </c>
      <c r="B966" s="40">
        <v>46280</v>
      </c>
      <c r="C966" s="41" t="s">
        <v>2124</v>
      </c>
      <c r="D966" s="41">
        <v>4</v>
      </c>
      <c r="E966" s="41">
        <f t="shared" si="76"/>
        <v>780</v>
      </c>
      <c r="F966" s="41" t="s">
        <v>1860</v>
      </c>
      <c r="G966" s="60" t="s">
        <v>2087</v>
      </c>
      <c r="H966" s="42">
        <f>H965-E966</f>
        <v>7800</v>
      </c>
      <c r="I966" s="121" t="s">
        <v>22</v>
      </c>
      <c r="J966" s="42"/>
      <c r="K966" s="41">
        <v>260911012</v>
      </c>
      <c r="L966" s="41">
        <v>41</v>
      </c>
      <c r="M966" s="41">
        <f>L966-D966</f>
        <v>37</v>
      </c>
      <c r="N966" s="19">
        <v>46267</v>
      </c>
      <c r="O966" s="21">
        <f t="shared" si="75"/>
        <v>46631</v>
      </c>
    </row>
    <row r="967" spans="1:15" ht="20.149999999999999" hidden="1" customHeight="1" x14ac:dyDescent="0.3">
      <c r="A967" s="29">
        <v>46279</v>
      </c>
      <c r="B967" s="29">
        <v>46280</v>
      </c>
      <c r="C967" s="30" t="s">
        <v>2118</v>
      </c>
      <c r="D967" s="30">
        <v>4</v>
      </c>
      <c r="E967" s="30">
        <f t="shared" si="76"/>
        <v>780</v>
      </c>
      <c r="F967" s="37" t="s">
        <v>274</v>
      </c>
      <c r="G967" s="37" t="s">
        <v>1907</v>
      </c>
      <c r="H967" s="32">
        <f>H953-E967</f>
        <v>21060</v>
      </c>
      <c r="I967" s="70" t="s">
        <v>22</v>
      </c>
      <c r="J967" s="32"/>
      <c r="K967" s="30">
        <v>260911013</v>
      </c>
      <c r="L967" s="30">
        <v>41</v>
      </c>
      <c r="M967" s="30">
        <f>L967-D967</f>
        <v>37</v>
      </c>
      <c r="N967" s="19">
        <v>46268</v>
      </c>
      <c r="O967" s="21">
        <f t="shared" si="75"/>
        <v>46632</v>
      </c>
    </row>
    <row r="968" spans="1:15" ht="20.149999999999999" hidden="1" customHeight="1" x14ac:dyDescent="0.3">
      <c r="A968" s="29">
        <v>46279</v>
      </c>
      <c r="B968" s="29">
        <v>46280</v>
      </c>
      <c r="C968" s="30" t="s">
        <v>2119</v>
      </c>
      <c r="D968" s="30">
        <v>4</v>
      </c>
      <c r="E968" s="30">
        <f t="shared" si="76"/>
        <v>780</v>
      </c>
      <c r="F968" s="37" t="s">
        <v>274</v>
      </c>
      <c r="G968" s="37" t="s">
        <v>1907</v>
      </c>
      <c r="H968" s="32">
        <f>H967-E968</f>
        <v>20280</v>
      </c>
      <c r="I968" s="70" t="s">
        <v>22</v>
      </c>
      <c r="J968" s="32"/>
      <c r="K968" s="30">
        <v>260911013</v>
      </c>
      <c r="L968" s="30">
        <v>42</v>
      </c>
      <c r="M968" s="30">
        <f>L968-D968</f>
        <v>38</v>
      </c>
      <c r="N968" s="19">
        <v>46269</v>
      </c>
      <c r="O968" s="21">
        <f t="shared" si="75"/>
        <v>46633</v>
      </c>
    </row>
    <row r="969" spans="1:15" ht="20.149999999999999" hidden="1" customHeight="1" x14ac:dyDescent="0.3">
      <c r="A969" s="29">
        <v>46279</v>
      </c>
      <c r="B969" s="29">
        <v>46280</v>
      </c>
      <c r="C969" s="30" t="s">
        <v>2125</v>
      </c>
      <c r="D969" s="30">
        <v>4</v>
      </c>
      <c r="E969" s="30">
        <f t="shared" si="76"/>
        <v>780</v>
      </c>
      <c r="F969" s="37" t="s">
        <v>274</v>
      </c>
      <c r="G969" s="37" t="s">
        <v>1907</v>
      </c>
      <c r="H969" s="32">
        <f>H968-E969</f>
        <v>19500</v>
      </c>
      <c r="I969" s="70" t="s">
        <v>22</v>
      </c>
      <c r="J969" s="32"/>
      <c r="K969" s="30">
        <v>260911013</v>
      </c>
      <c r="L969" s="30">
        <v>41</v>
      </c>
      <c r="M969" s="30">
        <f>L969-D969</f>
        <v>37</v>
      </c>
      <c r="N969" s="19">
        <v>46270</v>
      </c>
      <c r="O969" s="21">
        <f t="shared" si="75"/>
        <v>46634</v>
      </c>
    </row>
    <row r="970" spans="1:15" ht="20.149999999999999" hidden="1" customHeight="1" x14ac:dyDescent="0.2">
      <c r="A970" s="26">
        <v>46279</v>
      </c>
      <c r="B970" s="26">
        <v>46280</v>
      </c>
      <c r="C970" s="27" t="s">
        <v>1736</v>
      </c>
      <c r="D970" s="27">
        <v>12</v>
      </c>
      <c r="E970" s="27">
        <f t="shared" si="76"/>
        <v>2340</v>
      </c>
      <c r="F970" s="36" t="s">
        <v>30</v>
      </c>
      <c r="G970" s="36" t="s">
        <v>2132</v>
      </c>
      <c r="H970" s="28">
        <f>H954-E970</f>
        <v>78780</v>
      </c>
      <c r="I970" s="28"/>
      <c r="J970" s="28"/>
      <c r="K970" s="27">
        <v>260911014</v>
      </c>
      <c r="L970" s="27"/>
      <c r="M970" s="27">
        <f>M963-D970</f>
        <v>10</v>
      </c>
      <c r="N970" s="19">
        <v>46221</v>
      </c>
      <c r="O970" s="21">
        <f t="shared" si="75"/>
        <v>46585</v>
      </c>
    </row>
    <row r="971" spans="1:15" ht="20.149999999999999" hidden="1" customHeight="1" x14ac:dyDescent="0.2">
      <c r="A971" s="22">
        <v>46279</v>
      </c>
      <c r="B971" s="22">
        <v>46280</v>
      </c>
      <c r="C971" s="23" t="s">
        <v>2126</v>
      </c>
      <c r="D971" s="23">
        <v>12</v>
      </c>
      <c r="E971" s="23">
        <f t="shared" si="76"/>
        <v>2340</v>
      </c>
      <c r="F971" s="23" t="s">
        <v>31</v>
      </c>
      <c r="G971" s="38" t="s">
        <v>2098</v>
      </c>
      <c r="H971" s="25">
        <f>H955-E971</f>
        <v>17160</v>
      </c>
      <c r="I971" s="25"/>
      <c r="J971" s="25"/>
      <c r="K971" s="23">
        <v>260911015</v>
      </c>
      <c r="L971" s="23"/>
      <c r="M971" s="23">
        <f>M964-D971</f>
        <v>21</v>
      </c>
      <c r="N971" s="19">
        <v>46222</v>
      </c>
      <c r="O971" s="21">
        <f t="shared" si="75"/>
        <v>46586</v>
      </c>
    </row>
    <row r="972" spans="1:15" ht="20.149999999999999" hidden="1" customHeight="1" x14ac:dyDescent="0.2">
      <c r="A972" s="33">
        <v>46279</v>
      </c>
      <c r="B972" s="33">
        <v>46280</v>
      </c>
      <c r="C972" s="34" t="s">
        <v>2127</v>
      </c>
      <c r="D972" s="34">
        <v>10</v>
      </c>
      <c r="E972" s="34">
        <f t="shared" si="76"/>
        <v>1950</v>
      </c>
      <c r="F972" s="145" t="s">
        <v>444</v>
      </c>
      <c r="G972" s="39" t="s">
        <v>2133</v>
      </c>
      <c r="H972" s="35">
        <f>H957-E972</f>
        <v>127070</v>
      </c>
      <c r="I972" s="35"/>
      <c r="J972" s="35"/>
      <c r="K972" s="34">
        <v>260911016</v>
      </c>
      <c r="L972" s="34"/>
      <c r="M972" s="34">
        <f>M970-D972</f>
        <v>0</v>
      </c>
      <c r="N972" s="19">
        <v>46221</v>
      </c>
      <c r="O972" s="21">
        <f t="shared" si="75"/>
        <v>46585</v>
      </c>
    </row>
    <row r="973" spans="1:15" ht="20.149999999999999" hidden="1" customHeight="1" x14ac:dyDescent="0.2">
      <c r="A973" s="33">
        <v>46279</v>
      </c>
      <c r="B973" s="33">
        <v>46280</v>
      </c>
      <c r="C973" s="34" t="s">
        <v>2128</v>
      </c>
      <c r="D973" s="34">
        <v>2</v>
      </c>
      <c r="E973" s="34">
        <f t="shared" si="76"/>
        <v>390</v>
      </c>
      <c r="F973" s="145" t="s">
        <v>444</v>
      </c>
      <c r="G973" s="39" t="s">
        <v>656</v>
      </c>
      <c r="H973" s="35">
        <f>H972-E973</f>
        <v>126680</v>
      </c>
      <c r="I973" s="35"/>
      <c r="J973" s="35"/>
      <c r="K973" s="34">
        <v>260911016</v>
      </c>
      <c r="L973" s="34"/>
      <c r="M973" s="34">
        <f>M971-D973</f>
        <v>19</v>
      </c>
      <c r="N973" s="19">
        <v>46222</v>
      </c>
      <c r="O973" s="21">
        <f t="shared" si="75"/>
        <v>46586</v>
      </c>
    </row>
    <row r="974" spans="1:15" ht="20.149999999999999" hidden="1" customHeight="1" x14ac:dyDescent="0.2">
      <c r="A974" s="40">
        <v>46280</v>
      </c>
      <c r="B974" s="40">
        <v>46280</v>
      </c>
      <c r="C974" s="41" t="s">
        <v>2140</v>
      </c>
      <c r="D974" s="41">
        <v>1</v>
      </c>
      <c r="E974" s="41">
        <f t="shared" si="76"/>
        <v>195</v>
      </c>
      <c r="F974" s="41" t="s">
        <v>1569</v>
      </c>
      <c r="G974" s="41" t="s">
        <v>2145</v>
      </c>
      <c r="H974" s="42">
        <f>H958-E974</f>
        <v>47545</v>
      </c>
      <c r="I974" s="42"/>
      <c r="J974" s="42"/>
      <c r="K974" s="41">
        <v>260914003</v>
      </c>
      <c r="L974" s="41"/>
      <c r="M974" s="41">
        <f>M959-D974</f>
        <v>0</v>
      </c>
      <c r="N974" s="19">
        <v>46220</v>
      </c>
      <c r="O974" s="21">
        <f t="shared" si="75"/>
        <v>46584</v>
      </c>
    </row>
    <row r="975" spans="1:15" ht="20.149999999999999" hidden="1" customHeight="1" x14ac:dyDescent="0.2">
      <c r="A975" s="40">
        <v>46280</v>
      </c>
      <c r="B975" s="40">
        <v>46280</v>
      </c>
      <c r="C975" s="41" t="s">
        <v>2141</v>
      </c>
      <c r="D975" s="41">
        <v>3</v>
      </c>
      <c r="E975" s="41">
        <f t="shared" si="76"/>
        <v>585</v>
      </c>
      <c r="F975" s="41" t="s">
        <v>1569</v>
      </c>
      <c r="G975" s="41" t="s">
        <v>2136</v>
      </c>
      <c r="H975" s="42">
        <f>H974-E975</f>
        <v>46960</v>
      </c>
      <c r="I975" s="42"/>
      <c r="J975" s="42"/>
      <c r="K975" s="41">
        <v>260914003</v>
      </c>
      <c r="L975" s="41"/>
      <c r="M975" s="41">
        <f>M973-D975</f>
        <v>16</v>
      </c>
      <c r="N975" s="19">
        <v>46222</v>
      </c>
      <c r="O975" s="21">
        <f t="shared" si="75"/>
        <v>46586</v>
      </c>
    </row>
    <row r="976" spans="1:15" ht="20.149999999999999" hidden="1" customHeight="1" x14ac:dyDescent="0.25">
      <c r="A976" s="26">
        <v>46280</v>
      </c>
      <c r="B976" s="26">
        <v>46280</v>
      </c>
      <c r="C976" s="27" t="s">
        <v>1730</v>
      </c>
      <c r="D976" s="27">
        <v>1</v>
      </c>
      <c r="E976" s="27">
        <f t="shared" si="76"/>
        <v>195</v>
      </c>
      <c r="F976" s="36" t="s">
        <v>27</v>
      </c>
      <c r="G976" s="36" t="s">
        <v>1814</v>
      </c>
      <c r="H976" s="28">
        <f>H959-E976</f>
        <v>6825</v>
      </c>
      <c r="I976" s="28"/>
      <c r="J976" s="28"/>
      <c r="K976" s="27">
        <v>260914004</v>
      </c>
      <c r="L976" s="27"/>
      <c r="M976" s="27">
        <f>M824-D976</f>
        <v>20</v>
      </c>
      <c r="N976" s="19">
        <v>46224</v>
      </c>
      <c r="O976" s="21">
        <f t="shared" si="75"/>
        <v>46588</v>
      </c>
    </row>
    <row r="977" spans="1:15" ht="20.149999999999999" hidden="1" customHeight="1" x14ac:dyDescent="0.25">
      <c r="A977" s="26">
        <v>46280</v>
      </c>
      <c r="B977" s="26">
        <v>46280</v>
      </c>
      <c r="C977" s="27" t="s">
        <v>2142</v>
      </c>
      <c r="D977" s="27">
        <v>11</v>
      </c>
      <c r="E977" s="27">
        <f t="shared" si="76"/>
        <v>2145</v>
      </c>
      <c r="F977" s="36" t="s">
        <v>27</v>
      </c>
      <c r="G977" s="36" t="s">
        <v>2137</v>
      </c>
      <c r="H977" s="28">
        <f>H976-E977</f>
        <v>4680</v>
      </c>
      <c r="I977" s="28"/>
      <c r="J977" s="28"/>
      <c r="K977" s="27">
        <v>260914004</v>
      </c>
      <c r="L977" s="27"/>
      <c r="M977" s="27">
        <f>M832-D977</f>
        <v>7</v>
      </c>
      <c r="N977" s="19">
        <v>46225</v>
      </c>
      <c r="O977" s="21">
        <f t="shared" si="75"/>
        <v>46589</v>
      </c>
    </row>
    <row r="978" spans="1:15" ht="20.149999999999999" hidden="1" customHeight="1" x14ac:dyDescent="0.2">
      <c r="A978" s="29">
        <v>46280</v>
      </c>
      <c r="B978" s="29">
        <v>46280</v>
      </c>
      <c r="C978" s="30" t="s">
        <v>2143</v>
      </c>
      <c r="D978" s="30">
        <v>8</v>
      </c>
      <c r="E978" s="30">
        <f t="shared" si="76"/>
        <v>1560</v>
      </c>
      <c r="F978" s="37" t="s">
        <v>26</v>
      </c>
      <c r="G978" s="37" t="s">
        <v>2116</v>
      </c>
      <c r="H978" s="32">
        <f>H963-E978</f>
        <v>35880</v>
      </c>
      <c r="I978" s="32"/>
      <c r="J978" s="32"/>
      <c r="K978" s="30">
        <v>260914005</v>
      </c>
      <c r="L978" s="30"/>
      <c r="M978" s="30">
        <f>M975-D978</f>
        <v>8</v>
      </c>
      <c r="N978" s="19">
        <v>46222</v>
      </c>
      <c r="O978" s="21">
        <f t="shared" si="75"/>
        <v>46586</v>
      </c>
    </row>
    <row r="979" spans="1:15" ht="20.149999999999999" hidden="1" customHeight="1" x14ac:dyDescent="0.2">
      <c r="A979" s="29">
        <v>46280</v>
      </c>
      <c r="B979" s="29">
        <v>46280</v>
      </c>
      <c r="C979" s="30" t="s">
        <v>1730</v>
      </c>
      <c r="D979" s="30">
        <v>4</v>
      </c>
      <c r="E979" s="30">
        <f t="shared" si="76"/>
        <v>780</v>
      </c>
      <c r="F979" s="37" t="s">
        <v>26</v>
      </c>
      <c r="G979" s="37" t="s">
        <v>2138</v>
      </c>
      <c r="H979" s="32">
        <f>H978-E979</f>
        <v>35100</v>
      </c>
      <c r="I979" s="32"/>
      <c r="J979" s="32"/>
      <c r="K979" s="30">
        <v>260914005</v>
      </c>
      <c r="L979" s="30"/>
      <c r="M979" s="30">
        <f>M976-D979</f>
        <v>16</v>
      </c>
      <c r="N979" s="19">
        <v>46224</v>
      </c>
      <c r="O979" s="21">
        <f t="shared" si="75"/>
        <v>46588</v>
      </c>
    </row>
    <row r="980" spans="1:15" ht="20.149999999999999" hidden="1" customHeight="1" x14ac:dyDescent="0.25">
      <c r="A980" s="22">
        <v>46281</v>
      </c>
      <c r="B980" s="22">
        <v>46282</v>
      </c>
      <c r="C980" s="23" t="s">
        <v>1774</v>
      </c>
      <c r="D980" s="23">
        <v>7</v>
      </c>
      <c r="E980" s="23">
        <f t="shared" si="76"/>
        <v>1365</v>
      </c>
      <c r="F980" s="38" t="s">
        <v>307</v>
      </c>
      <c r="G980" s="38" t="s">
        <v>2149</v>
      </c>
      <c r="H980" s="25">
        <f>H947-E980</f>
        <v>41535</v>
      </c>
      <c r="I980" s="25"/>
      <c r="J980" s="25"/>
      <c r="K980" s="23">
        <v>260915002</v>
      </c>
      <c r="L980" s="23"/>
      <c r="M980" s="23">
        <f>M977-D980</f>
        <v>0</v>
      </c>
      <c r="N980" s="19">
        <v>46225</v>
      </c>
      <c r="O980" s="21">
        <f t="shared" si="75"/>
        <v>46589</v>
      </c>
    </row>
    <row r="981" spans="1:15" ht="20.149999999999999" hidden="1" customHeight="1" x14ac:dyDescent="0.25">
      <c r="A981" s="22">
        <v>46281</v>
      </c>
      <c r="B981" s="22">
        <v>46282</v>
      </c>
      <c r="C981" s="23" t="s">
        <v>2152</v>
      </c>
      <c r="D981" s="23">
        <v>21</v>
      </c>
      <c r="E981" s="23">
        <f t="shared" si="76"/>
        <v>4095</v>
      </c>
      <c r="F981" s="38" t="s">
        <v>307</v>
      </c>
      <c r="G981" s="38" t="s">
        <v>2148</v>
      </c>
      <c r="H981" s="25">
        <f>H980-E981</f>
        <v>37440</v>
      </c>
      <c r="I981" s="25"/>
      <c r="J981" s="25"/>
      <c r="K981" s="23">
        <v>260915002</v>
      </c>
      <c r="L981" s="23"/>
      <c r="M981" s="23">
        <f>M833-D981</f>
        <v>0</v>
      </c>
      <c r="N981" s="19">
        <v>46226</v>
      </c>
      <c r="O981" s="21">
        <f t="shared" si="75"/>
        <v>46590</v>
      </c>
    </row>
    <row r="982" spans="1:15" ht="20.149999999999999" hidden="1" customHeight="1" x14ac:dyDescent="0.25">
      <c r="A982" s="22">
        <v>46281</v>
      </c>
      <c r="B982" s="22">
        <v>46282</v>
      </c>
      <c r="C982" s="23" t="s">
        <v>1776</v>
      </c>
      <c r="D982" s="23">
        <v>12</v>
      </c>
      <c r="E982" s="23">
        <f t="shared" si="76"/>
        <v>2340</v>
      </c>
      <c r="F982" s="38" t="s">
        <v>307</v>
      </c>
      <c r="G982" s="38" t="s">
        <v>2149</v>
      </c>
      <c r="H982" s="25">
        <f>H981-E982</f>
        <v>35100</v>
      </c>
      <c r="I982" s="25"/>
      <c r="J982" s="25"/>
      <c r="K982" s="23">
        <v>260915002</v>
      </c>
      <c r="L982" s="23"/>
      <c r="M982" s="23">
        <f>M834-D982</f>
        <v>6</v>
      </c>
      <c r="N982" s="19">
        <v>46227</v>
      </c>
      <c r="O982" s="21">
        <f t="shared" si="75"/>
        <v>46591</v>
      </c>
    </row>
    <row r="983" spans="1:15" ht="20.149999999999999" hidden="1" customHeight="1" x14ac:dyDescent="0.2">
      <c r="A983" s="33">
        <v>46282</v>
      </c>
      <c r="B983" s="33">
        <v>46283</v>
      </c>
      <c r="C983" s="34" t="s">
        <v>1776</v>
      </c>
      <c r="D983" s="34">
        <v>6</v>
      </c>
      <c r="E983" s="34">
        <f t="shared" si="76"/>
        <v>1170</v>
      </c>
      <c r="F983" s="34" t="s">
        <v>1860</v>
      </c>
      <c r="G983" s="39" t="s">
        <v>1912</v>
      </c>
      <c r="H983" s="35">
        <f>H966-E983</f>
        <v>6630</v>
      </c>
      <c r="I983" s="35"/>
      <c r="J983" s="35"/>
      <c r="K983" s="34">
        <v>260916002</v>
      </c>
      <c r="L983" s="34"/>
      <c r="M983" s="34">
        <f>M982-D983</f>
        <v>0</v>
      </c>
      <c r="N983" s="19">
        <v>46227</v>
      </c>
      <c r="O983" s="21">
        <f t="shared" si="75"/>
        <v>46591</v>
      </c>
    </row>
    <row r="984" spans="1:15" ht="20.149999999999999" hidden="1" customHeight="1" x14ac:dyDescent="0.2">
      <c r="A984" s="33">
        <v>46282</v>
      </c>
      <c r="B984" s="33">
        <v>46283</v>
      </c>
      <c r="C984" s="34" t="s">
        <v>2156</v>
      </c>
      <c r="D984" s="34">
        <v>2</v>
      </c>
      <c r="E984" s="34">
        <f t="shared" si="76"/>
        <v>390</v>
      </c>
      <c r="F984" s="34" t="s">
        <v>1860</v>
      </c>
      <c r="G984" s="39" t="s">
        <v>2154</v>
      </c>
      <c r="H984" s="35">
        <f>H983-E984</f>
        <v>6240</v>
      </c>
      <c r="I984" s="35"/>
      <c r="J984" s="35"/>
      <c r="K984" s="34">
        <v>260916002</v>
      </c>
      <c r="L984" s="34"/>
      <c r="M984" s="34">
        <f>M835-D984</f>
        <v>19</v>
      </c>
      <c r="N984" s="19">
        <v>46228</v>
      </c>
      <c r="O984" s="21">
        <f t="shared" si="75"/>
        <v>46592</v>
      </c>
    </row>
    <row r="985" spans="1:15" ht="20.149999999999999" hidden="1" customHeight="1" x14ac:dyDescent="0.3">
      <c r="A985" s="40">
        <v>46282</v>
      </c>
      <c r="B985" s="40">
        <v>46283</v>
      </c>
      <c r="C985" s="41" t="s">
        <v>2157</v>
      </c>
      <c r="D985" s="41">
        <v>8</v>
      </c>
      <c r="E985" s="41">
        <f t="shared" si="76"/>
        <v>1560</v>
      </c>
      <c r="F985" s="60" t="s">
        <v>274</v>
      </c>
      <c r="G985" s="60" t="s">
        <v>1907</v>
      </c>
      <c r="H985" s="42">
        <f>H969-E985</f>
        <v>17940</v>
      </c>
      <c r="I985" s="42"/>
      <c r="J985" s="42"/>
      <c r="K985" s="41">
        <v>260916003</v>
      </c>
      <c r="L985" s="41"/>
      <c r="M985" s="41">
        <f>M984-D985</f>
        <v>11</v>
      </c>
      <c r="N985" s="19">
        <v>46228</v>
      </c>
      <c r="O985" s="21">
        <f t="shared" si="75"/>
        <v>46592</v>
      </c>
    </row>
    <row r="986" spans="1:15" ht="20.149999999999999" hidden="1" customHeight="1" x14ac:dyDescent="0.2">
      <c r="A986" s="29">
        <v>46282</v>
      </c>
      <c r="B986" s="29">
        <v>46283</v>
      </c>
      <c r="C986" s="30" t="s">
        <v>2158</v>
      </c>
      <c r="D986" s="30">
        <v>8</v>
      </c>
      <c r="E986" s="30">
        <f t="shared" si="76"/>
        <v>1560</v>
      </c>
      <c r="F986" s="37" t="s">
        <v>30</v>
      </c>
      <c r="G986" s="37" t="s">
        <v>2163</v>
      </c>
      <c r="H986" s="32">
        <f>H970-E986</f>
        <v>77220</v>
      </c>
      <c r="I986" s="32"/>
      <c r="J986" s="32"/>
      <c r="K986" s="30">
        <v>260916004</v>
      </c>
      <c r="L986" s="30"/>
      <c r="M986" s="30">
        <f>M979-D986</f>
        <v>8</v>
      </c>
      <c r="N986" s="19">
        <v>46224</v>
      </c>
      <c r="O986" s="21">
        <f t="shared" si="75"/>
        <v>46588</v>
      </c>
    </row>
    <row r="987" spans="1:15" ht="20.149999999999999" hidden="1" customHeight="1" x14ac:dyDescent="0.2">
      <c r="A987" s="26">
        <v>46282</v>
      </c>
      <c r="B987" s="26">
        <v>46283</v>
      </c>
      <c r="C987" s="27" t="s">
        <v>1737</v>
      </c>
      <c r="D987" s="27">
        <v>8</v>
      </c>
      <c r="E987" s="27">
        <f t="shared" si="76"/>
        <v>1560</v>
      </c>
      <c r="F987" s="27" t="s">
        <v>31</v>
      </c>
      <c r="G987" s="36" t="s">
        <v>2164</v>
      </c>
      <c r="H987" s="28">
        <f>H971-E987</f>
        <v>15600</v>
      </c>
      <c r="I987" s="28"/>
      <c r="J987" s="28"/>
      <c r="K987" s="27">
        <v>260916005</v>
      </c>
      <c r="L987" s="27"/>
      <c r="M987" s="27">
        <f>M978-D987</f>
        <v>0</v>
      </c>
      <c r="N987" s="19">
        <v>46222</v>
      </c>
      <c r="O987" s="21">
        <f t="shared" si="75"/>
        <v>46586</v>
      </c>
    </row>
    <row r="988" spans="1:15" ht="20.149999999999999" hidden="1" customHeight="1" x14ac:dyDescent="0.2">
      <c r="A988" s="22">
        <v>46282</v>
      </c>
      <c r="B988" s="22">
        <v>46283</v>
      </c>
      <c r="C988" s="23" t="s">
        <v>1730</v>
      </c>
      <c r="D988" s="23">
        <v>8</v>
      </c>
      <c r="E988" s="23">
        <f t="shared" si="76"/>
        <v>1560</v>
      </c>
      <c r="F988" s="148" t="s">
        <v>444</v>
      </c>
      <c r="G988" s="38" t="s">
        <v>980</v>
      </c>
      <c r="H988" s="25">
        <f>H973-E988</f>
        <v>125120</v>
      </c>
      <c r="I988" s="25"/>
      <c r="J988" s="25"/>
      <c r="K988" s="23">
        <v>260916006</v>
      </c>
      <c r="L988" s="23"/>
      <c r="M988" s="23">
        <f>M986-D988</f>
        <v>0</v>
      </c>
      <c r="N988" s="19">
        <v>46224</v>
      </c>
      <c r="O988" s="21">
        <f t="shared" si="75"/>
        <v>46588</v>
      </c>
    </row>
    <row r="989" spans="1:15" ht="20.149999999999999" hidden="1" customHeight="1" x14ac:dyDescent="0.25">
      <c r="A989" s="33">
        <v>46283</v>
      </c>
      <c r="B989" s="33">
        <v>46283</v>
      </c>
      <c r="C989" s="34" t="s">
        <v>1777</v>
      </c>
      <c r="D989" s="34">
        <v>8</v>
      </c>
      <c r="E989" s="34">
        <f t="shared" si="76"/>
        <v>1560</v>
      </c>
      <c r="F989" s="39" t="s">
        <v>27</v>
      </c>
      <c r="G989" s="39" t="s">
        <v>1814</v>
      </c>
      <c r="H989" s="35">
        <f>H977-E989</f>
        <v>3120</v>
      </c>
      <c r="I989" s="35"/>
      <c r="J989" s="35"/>
      <c r="K989" s="34">
        <v>260917006</v>
      </c>
      <c r="L989" s="34"/>
      <c r="M989" s="34">
        <f>M985-D989</f>
        <v>3</v>
      </c>
      <c r="N989" s="19">
        <v>46228</v>
      </c>
      <c r="O989" s="21">
        <f t="shared" si="75"/>
        <v>46592</v>
      </c>
    </row>
    <row r="990" spans="1:15" ht="20.149999999999999" hidden="1" customHeight="1" x14ac:dyDescent="0.2">
      <c r="A990" s="40">
        <v>46283</v>
      </c>
      <c r="B990" s="40">
        <v>46283</v>
      </c>
      <c r="C990" s="41" t="s">
        <v>2167</v>
      </c>
      <c r="D990" s="41">
        <v>3</v>
      </c>
      <c r="E990" s="41">
        <f t="shared" si="76"/>
        <v>585</v>
      </c>
      <c r="F990" s="60" t="s">
        <v>26</v>
      </c>
      <c r="G990" s="60" t="s">
        <v>2116</v>
      </c>
      <c r="H990" s="42">
        <f>H979-E990</f>
        <v>34515</v>
      </c>
      <c r="I990" s="42"/>
      <c r="J990" s="42"/>
      <c r="K990" s="41">
        <v>260917007</v>
      </c>
      <c r="L990" s="41"/>
      <c r="M990" s="41">
        <f>M989-D990</f>
        <v>0</v>
      </c>
      <c r="N990" s="19">
        <v>46228</v>
      </c>
      <c r="O990" s="21">
        <f t="shared" si="75"/>
        <v>46592</v>
      </c>
    </row>
    <row r="991" spans="1:15" ht="20.149999999999999" hidden="1" customHeight="1" x14ac:dyDescent="0.2">
      <c r="A991" s="40">
        <v>46283</v>
      </c>
      <c r="B991" s="40">
        <v>46283</v>
      </c>
      <c r="C991" s="41" t="s">
        <v>1794</v>
      </c>
      <c r="D991" s="41">
        <v>13</v>
      </c>
      <c r="E991" s="41">
        <f t="shared" si="76"/>
        <v>2535</v>
      </c>
      <c r="F991" s="60" t="s">
        <v>26</v>
      </c>
      <c r="G991" s="60" t="s">
        <v>2166</v>
      </c>
      <c r="H991" s="42">
        <f>H990-E991</f>
        <v>31980</v>
      </c>
      <c r="I991" s="42"/>
      <c r="J991" s="42"/>
      <c r="K991" s="41">
        <v>260917007</v>
      </c>
      <c r="L991" s="41"/>
      <c r="M991" s="41">
        <f>M840-D991</f>
        <v>24</v>
      </c>
      <c r="N991" s="19">
        <v>46229</v>
      </c>
      <c r="O991" s="21">
        <f t="shared" si="75"/>
        <v>46593</v>
      </c>
    </row>
    <row r="992" spans="1:15" ht="20.149999999999999" hidden="1" customHeight="1" x14ac:dyDescent="0.2">
      <c r="A992" s="29">
        <v>46286</v>
      </c>
      <c r="B992" s="29">
        <v>46286</v>
      </c>
      <c r="C992" s="30" t="s">
        <v>1800</v>
      </c>
      <c r="D992" s="30">
        <v>8</v>
      </c>
      <c r="E992" s="30">
        <f t="shared" si="76"/>
        <v>1560</v>
      </c>
      <c r="F992" s="37" t="s">
        <v>26</v>
      </c>
      <c r="G992" s="37" t="s">
        <v>2183</v>
      </c>
      <c r="H992" s="32">
        <f>H991-E992</f>
        <v>30420</v>
      </c>
      <c r="I992" s="32"/>
      <c r="J992" s="32"/>
      <c r="K992" s="30">
        <v>260918002</v>
      </c>
      <c r="L992" s="30"/>
      <c r="M992" s="30">
        <f>M841-D992</f>
        <v>30</v>
      </c>
      <c r="N992" s="19">
        <v>46231</v>
      </c>
      <c r="O992" s="21">
        <f t="shared" si="75"/>
        <v>46595</v>
      </c>
    </row>
    <row r="993" spans="1:15" ht="20.149999999999999" hidden="1" customHeight="1" x14ac:dyDescent="0.2">
      <c r="A993" s="26">
        <v>46286</v>
      </c>
      <c r="B993" s="26">
        <v>46287</v>
      </c>
      <c r="C993" s="27" t="s">
        <v>2178</v>
      </c>
      <c r="D993" s="27">
        <v>4</v>
      </c>
      <c r="E993" s="27">
        <f t="shared" si="76"/>
        <v>780</v>
      </c>
      <c r="F993" s="27" t="s">
        <v>1860</v>
      </c>
      <c r="G993" s="36" t="s">
        <v>2184</v>
      </c>
      <c r="H993" s="28">
        <f>H984-E993</f>
        <v>5460</v>
      </c>
      <c r="I993" s="61" t="s">
        <v>22</v>
      </c>
      <c r="J993" s="28"/>
      <c r="K993" s="27">
        <v>260918003</v>
      </c>
      <c r="L993" s="27">
        <v>41</v>
      </c>
      <c r="M993" s="27">
        <f t="shared" ref="M993:M998" si="77">L993-D993</f>
        <v>37</v>
      </c>
      <c r="N993" s="19">
        <v>46271</v>
      </c>
      <c r="O993" s="21">
        <f t="shared" si="75"/>
        <v>46635</v>
      </c>
    </row>
    <row r="994" spans="1:15" ht="20.149999999999999" hidden="1" customHeight="1" x14ac:dyDescent="0.2">
      <c r="A994" s="26">
        <v>46286</v>
      </c>
      <c r="B994" s="26">
        <v>46287</v>
      </c>
      <c r="C994" s="27" t="s">
        <v>2171</v>
      </c>
      <c r="D994" s="27">
        <v>4</v>
      </c>
      <c r="E994" s="27">
        <f t="shared" si="76"/>
        <v>780</v>
      </c>
      <c r="F994" s="27" t="s">
        <v>1860</v>
      </c>
      <c r="G994" s="36" t="s">
        <v>2177</v>
      </c>
      <c r="H994" s="28">
        <f>H993-E994</f>
        <v>4680</v>
      </c>
      <c r="I994" s="61" t="s">
        <v>22</v>
      </c>
      <c r="J994" s="28" t="s">
        <v>479</v>
      </c>
      <c r="K994" s="27">
        <v>260918003</v>
      </c>
      <c r="L994" s="27">
        <f>41-16</f>
        <v>25</v>
      </c>
      <c r="M994" s="27">
        <f t="shared" si="77"/>
        <v>21</v>
      </c>
      <c r="N994" s="19">
        <v>46273</v>
      </c>
      <c r="O994" s="21">
        <f t="shared" si="75"/>
        <v>46637</v>
      </c>
    </row>
    <row r="995" spans="1:15" ht="20.149999999999999" hidden="1" customHeight="1" x14ac:dyDescent="0.2">
      <c r="A995" s="26">
        <v>46286</v>
      </c>
      <c r="B995" s="26">
        <v>46287</v>
      </c>
      <c r="C995" s="27" t="s">
        <v>2179</v>
      </c>
      <c r="D995" s="27">
        <v>4</v>
      </c>
      <c r="E995" s="27">
        <f t="shared" si="76"/>
        <v>780</v>
      </c>
      <c r="F995" s="27" t="s">
        <v>1860</v>
      </c>
      <c r="G995" s="36" t="s">
        <v>1912</v>
      </c>
      <c r="H995" s="28">
        <f>H994-E995</f>
        <v>3900</v>
      </c>
      <c r="I995" s="61" t="s">
        <v>22</v>
      </c>
      <c r="J995" s="28" t="s">
        <v>2174</v>
      </c>
      <c r="K995" s="27">
        <v>260918003</v>
      </c>
      <c r="L995" s="27">
        <f>41-20</f>
        <v>21</v>
      </c>
      <c r="M995" s="27">
        <f t="shared" si="77"/>
        <v>17</v>
      </c>
      <c r="N995" s="19">
        <v>46274</v>
      </c>
      <c r="O995" s="21">
        <f t="shared" si="75"/>
        <v>46638</v>
      </c>
    </row>
    <row r="996" spans="1:15" ht="20.149999999999999" hidden="1" customHeight="1" x14ac:dyDescent="0.3">
      <c r="A996" s="22">
        <v>46286</v>
      </c>
      <c r="B996" s="22">
        <v>46287</v>
      </c>
      <c r="C996" s="23" t="s">
        <v>2180</v>
      </c>
      <c r="D996" s="23">
        <v>4</v>
      </c>
      <c r="E996" s="23">
        <f t="shared" si="76"/>
        <v>780</v>
      </c>
      <c r="F996" s="38" t="s">
        <v>274</v>
      </c>
      <c r="G996" s="38" t="s">
        <v>2185</v>
      </c>
      <c r="H996" s="25">
        <f>H985-E996</f>
        <v>17160</v>
      </c>
      <c r="I996" s="43" t="s">
        <v>22</v>
      </c>
      <c r="J996" s="25" t="s">
        <v>479</v>
      </c>
      <c r="K996" s="23">
        <v>260918004</v>
      </c>
      <c r="L996" s="23">
        <f>42-16</f>
        <v>26</v>
      </c>
      <c r="M996" s="23">
        <f t="shared" si="77"/>
        <v>22</v>
      </c>
      <c r="N996" s="19">
        <v>46275</v>
      </c>
      <c r="O996" s="21">
        <f t="shared" ref="O996:O1046" si="78">DATE(YEAR(N996)+1,MONTH(N996),DAY(N996))-1</f>
        <v>46639</v>
      </c>
    </row>
    <row r="997" spans="1:15" ht="20.149999999999999" hidden="1" customHeight="1" x14ac:dyDescent="0.3">
      <c r="A997" s="22">
        <v>46286</v>
      </c>
      <c r="B997" s="22">
        <v>46287</v>
      </c>
      <c r="C997" s="23" t="s">
        <v>2172</v>
      </c>
      <c r="D997" s="23">
        <v>4</v>
      </c>
      <c r="E997" s="23">
        <f t="shared" si="76"/>
        <v>780</v>
      </c>
      <c r="F997" s="38" t="s">
        <v>274</v>
      </c>
      <c r="G997" s="38" t="s">
        <v>1907</v>
      </c>
      <c r="H997" s="25">
        <f>H996-E997</f>
        <v>16380</v>
      </c>
      <c r="I997" s="43" t="s">
        <v>22</v>
      </c>
      <c r="J997" s="25" t="s">
        <v>481</v>
      </c>
      <c r="K997" s="23">
        <v>260918004</v>
      </c>
      <c r="L997" s="23">
        <f>41-20</f>
        <v>21</v>
      </c>
      <c r="M997" s="23">
        <f t="shared" si="77"/>
        <v>17</v>
      </c>
      <c r="N997" s="19">
        <v>46276</v>
      </c>
      <c r="O997" s="21">
        <f t="shared" si="78"/>
        <v>46640</v>
      </c>
    </row>
    <row r="998" spans="1:15" ht="20.149999999999999" hidden="1" customHeight="1" x14ac:dyDescent="0.3">
      <c r="A998" s="22">
        <v>46286</v>
      </c>
      <c r="B998" s="22">
        <v>46287</v>
      </c>
      <c r="C998" s="23" t="s">
        <v>2173</v>
      </c>
      <c r="D998" s="23">
        <v>4</v>
      </c>
      <c r="E998" s="23">
        <f t="shared" si="76"/>
        <v>780</v>
      </c>
      <c r="F998" s="38" t="s">
        <v>274</v>
      </c>
      <c r="G998" s="38" t="s">
        <v>1907</v>
      </c>
      <c r="H998" s="25">
        <f>H997-E998</f>
        <v>15600</v>
      </c>
      <c r="I998" s="43" t="s">
        <v>22</v>
      </c>
      <c r="J998" s="25" t="s">
        <v>2175</v>
      </c>
      <c r="K998" s="23">
        <v>260918004</v>
      </c>
      <c r="L998" s="23">
        <f>41-12</f>
        <v>29</v>
      </c>
      <c r="M998" s="23">
        <f t="shared" si="77"/>
        <v>25</v>
      </c>
      <c r="N998" s="19">
        <v>46277</v>
      </c>
      <c r="O998" s="21">
        <f t="shared" si="78"/>
        <v>46641</v>
      </c>
    </row>
    <row r="999" spans="1:15" ht="20.149999999999999" hidden="1" customHeight="1" x14ac:dyDescent="0.2">
      <c r="A999" s="33">
        <v>46286</v>
      </c>
      <c r="B999" s="33">
        <v>46287</v>
      </c>
      <c r="C999" s="34" t="s">
        <v>1794</v>
      </c>
      <c r="D999" s="34">
        <v>12</v>
      </c>
      <c r="E999" s="34">
        <f t="shared" si="76"/>
        <v>2340</v>
      </c>
      <c r="F999" s="145" t="s">
        <v>444</v>
      </c>
      <c r="G999" s="39" t="s">
        <v>2186</v>
      </c>
      <c r="H999" s="35">
        <f>H988-E999</f>
        <v>122780</v>
      </c>
      <c r="I999" s="35"/>
      <c r="J999" s="35"/>
      <c r="K999" s="34">
        <v>260918005</v>
      </c>
      <c r="L999" s="34"/>
      <c r="M999" s="34">
        <f>M991-D999</f>
        <v>12</v>
      </c>
      <c r="N999" s="19">
        <v>46229</v>
      </c>
      <c r="O999" s="21">
        <f t="shared" si="78"/>
        <v>46593</v>
      </c>
    </row>
    <row r="1000" spans="1:15" ht="20.149999999999999" hidden="1" customHeight="1" x14ac:dyDescent="0.25">
      <c r="A1000" s="40">
        <v>46287</v>
      </c>
      <c r="B1000" s="40">
        <v>46287</v>
      </c>
      <c r="C1000" s="41" t="s">
        <v>1794</v>
      </c>
      <c r="D1000" s="41">
        <v>4</v>
      </c>
      <c r="E1000" s="41">
        <f t="shared" si="76"/>
        <v>780</v>
      </c>
      <c r="F1000" s="60" t="s">
        <v>27</v>
      </c>
      <c r="G1000" s="60" t="s">
        <v>2196</v>
      </c>
      <c r="H1000" s="42">
        <f>H989-E1000</f>
        <v>2340</v>
      </c>
      <c r="I1000" s="42"/>
      <c r="J1000" s="42"/>
      <c r="K1000" s="41">
        <v>260921004</v>
      </c>
      <c r="L1000" s="41"/>
      <c r="M1000" s="41">
        <f>M999-D1000</f>
        <v>8</v>
      </c>
      <c r="N1000" s="19">
        <v>46229</v>
      </c>
      <c r="O1000" s="21">
        <f t="shared" si="78"/>
        <v>46593</v>
      </c>
    </row>
    <row r="1001" spans="1:15" ht="20.149999999999999" hidden="1" customHeight="1" x14ac:dyDescent="0.25">
      <c r="A1001" s="40">
        <v>46287</v>
      </c>
      <c r="B1001" s="40">
        <v>46287</v>
      </c>
      <c r="C1001" s="41" t="s">
        <v>2198</v>
      </c>
      <c r="D1001" s="41">
        <v>12</v>
      </c>
      <c r="E1001" s="41">
        <f t="shared" si="76"/>
        <v>2340</v>
      </c>
      <c r="F1001" s="60" t="s">
        <v>27</v>
      </c>
      <c r="G1001" s="60" t="s">
        <v>2190</v>
      </c>
      <c r="H1001" s="42">
        <f>H1000-E1001</f>
        <v>0</v>
      </c>
      <c r="I1001" s="42"/>
      <c r="J1001" s="42"/>
      <c r="K1001" s="41">
        <v>260921004</v>
      </c>
      <c r="L1001" s="41"/>
      <c r="M1001" s="41">
        <f>M992-D1001</f>
        <v>18</v>
      </c>
      <c r="N1001" s="19">
        <v>46231</v>
      </c>
      <c r="O1001" s="21">
        <f t="shared" si="78"/>
        <v>46595</v>
      </c>
    </row>
    <row r="1002" spans="1:15" ht="20.149999999999999" hidden="1" customHeight="1" x14ac:dyDescent="0.25">
      <c r="A1002" s="40">
        <v>46287</v>
      </c>
      <c r="B1002" s="40">
        <v>46287</v>
      </c>
      <c r="C1002" s="41" t="s">
        <v>2193</v>
      </c>
      <c r="D1002" s="41">
        <v>8</v>
      </c>
      <c r="E1002" s="41">
        <f t="shared" si="76"/>
        <v>1560</v>
      </c>
      <c r="F1002" s="60" t="s">
        <v>27</v>
      </c>
      <c r="G1002" s="146" t="s">
        <v>2199</v>
      </c>
      <c r="H1002" s="42">
        <f>24960-E1002</f>
        <v>23400</v>
      </c>
      <c r="I1002" s="42"/>
      <c r="J1002" s="42"/>
      <c r="K1002" s="41" t="s">
        <v>2197</v>
      </c>
      <c r="L1002" s="41"/>
      <c r="M1002" s="41">
        <f>M842-D1002</f>
        <v>29</v>
      </c>
      <c r="N1002" s="19">
        <v>46232</v>
      </c>
      <c r="O1002" s="21">
        <f t="shared" si="78"/>
        <v>46596</v>
      </c>
    </row>
    <row r="1003" spans="1:15" ht="20.149999999999999" hidden="1" customHeight="1" x14ac:dyDescent="0.2">
      <c r="A1003" s="26">
        <v>46287</v>
      </c>
      <c r="B1003" s="26">
        <v>46287</v>
      </c>
      <c r="C1003" s="27" t="s">
        <v>1800</v>
      </c>
      <c r="D1003" s="27">
        <v>2</v>
      </c>
      <c r="E1003" s="27">
        <f t="shared" si="76"/>
        <v>390</v>
      </c>
      <c r="F1003" s="36" t="s">
        <v>26</v>
      </c>
      <c r="G1003" s="36" t="s">
        <v>2201</v>
      </c>
      <c r="H1003" s="28">
        <f>H992-E1003</f>
        <v>30030</v>
      </c>
      <c r="I1003" s="28"/>
      <c r="J1003" s="28"/>
      <c r="K1003" s="27">
        <v>260921005</v>
      </c>
      <c r="L1003" s="27"/>
      <c r="M1003" s="27">
        <f>M1001-D1003</f>
        <v>16</v>
      </c>
      <c r="N1003" s="19">
        <v>46231</v>
      </c>
      <c r="O1003" s="21">
        <f t="shared" si="78"/>
        <v>46595</v>
      </c>
    </row>
    <row r="1004" spans="1:15" ht="20.149999999999999" hidden="1" customHeight="1" x14ac:dyDescent="0.2">
      <c r="A1004" s="26">
        <v>46287</v>
      </c>
      <c r="B1004" s="26">
        <v>46287</v>
      </c>
      <c r="C1004" s="27" t="s">
        <v>1801</v>
      </c>
      <c r="D1004" s="27">
        <v>6</v>
      </c>
      <c r="E1004" s="27">
        <f t="shared" si="76"/>
        <v>1170</v>
      </c>
      <c r="F1004" s="36" t="s">
        <v>26</v>
      </c>
      <c r="G1004" s="36" t="s">
        <v>2191</v>
      </c>
      <c r="H1004" s="28">
        <f>H1003-E1004</f>
        <v>28860</v>
      </c>
      <c r="I1004" s="28"/>
      <c r="J1004" s="28"/>
      <c r="K1004" s="27">
        <v>260921005</v>
      </c>
      <c r="L1004" s="27"/>
      <c r="M1004" s="27">
        <f>M1002-D1004</f>
        <v>23</v>
      </c>
      <c r="N1004" s="19">
        <v>46232</v>
      </c>
      <c r="O1004" s="21">
        <f t="shared" si="78"/>
        <v>46596</v>
      </c>
    </row>
    <row r="1005" spans="1:15" ht="20.149999999999999" hidden="1" customHeight="1" x14ac:dyDescent="0.2">
      <c r="A1005" s="22">
        <v>46288</v>
      </c>
      <c r="B1005" s="22">
        <v>46289</v>
      </c>
      <c r="C1005" s="23" t="s">
        <v>1801</v>
      </c>
      <c r="D1005" s="23">
        <v>7</v>
      </c>
      <c r="E1005" s="23">
        <f t="shared" si="76"/>
        <v>1365</v>
      </c>
      <c r="F1005" s="23" t="s">
        <v>1860</v>
      </c>
      <c r="G1005" s="38" t="s">
        <v>2211</v>
      </c>
      <c r="H1005" s="25">
        <f>H995-E1005</f>
        <v>2535</v>
      </c>
      <c r="I1005" s="25"/>
      <c r="J1005" s="25"/>
      <c r="K1005" s="23">
        <v>260922002</v>
      </c>
      <c r="L1005" s="23"/>
      <c r="M1005" s="23">
        <f>M1004-D1005</f>
        <v>16</v>
      </c>
      <c r="N1005" s="19">
        <v>46232</v>
      </c>
      <c r="O1005" s="21">
        <f t="shared" si="78"/>
        <v>46596</v>
      </c>
    </row>
    <row r="1006" spans="1:15" ht="20.149999999999999" hidden="1" customHeight="1" x14ac:dyDescent="0.2">
      <c r="A1006" s="22">
        <v>46288</v>
      </c>
      <c r="B1006" s="22">
        <v>46289</v>
      </c>
      <c r="C1006" s="23" t="s">
        <v>1795</v>
      </c>
      <c r="D1006" s="23">
        <v>1</v>
      </c>
      <c r="E1006" s="23">
        <f t="shared" si="76"/>
        <v>195</v>
      </c>
      <c r="F1006" s="23" t="s">
        <v>1860</v>
      </c>
      <c r="G1006" s="38" t="s">
        <v>1912</v>
      </c>
      <c r="H1006" s="25">
        <f>H1005-E1006</f>
        <v>2340</v>
      </c>
      <c r="I1006" s="25"/>
      <c r="J1006" s="25"/>
      <c r="K1006" s="23">
        <v>260922002</v>
      </c>
      <c r="L1006" s="23"/>
      <c r="M1006" s="23">
        <f>M843-D1006</f>
        <v>36</v>
      </c>
      <c r="N1006" s="19">
        <v>46233</v>
      </c>
      <c r="O1006" s="21">
        <f t="shared" si="78"/>
        <v>46597</v>
      </c>
    </row>
    <row r="1007" spans="1:15" ht="20.149999999999999" hidden="1" customHeight="1" x14ac:dyDescent="0.25">
      <c r="A1007" s="29">
        <v>46288</v>
      </c>
      <c r="B1007" s="29">
        <v>46289</v>
      </c>
      <c r="C1007" s="30" t="s">
        <v>1795</v>
      </c>
      <c r="D1007" s="30">
        <v>24</v>
      </c>
      <c r="E1007" s="30">
        <f t="shared" si="76"/>
        <v>4680</v>
      </c>
      <c r="F1007" s="37" t="s">
        <v>307</v>
      </c>
      <c r="G1007" s="37" t="s">
        <v>2077</v>
      </c>
      <c r="H1007" s="32">
        <f>H982-E1007</f>
        <v>30420</v>
      </c>
      <c r="I1007" s="32"/>
      <c r="J1007" s="32"/>
      <c r="K1007" s="30">
        <v>260922003</v>
      </c>
      <c r="L1007" s="30"/>
      <c r="M1007" s="30">
        <f>M1006-D1007</f>
        <v>12</v>
      </c>
      <c r="N1007" s="19">
        <v>46233</v>
      </c>
      <c r="O1007" s="21">
        <f t="shared" si="78"/>
        <v>46597</v>
      </c>
    </row>
    <row r="1008" spans="1:15" ht="20.149999999999999" hidden="1" customHeight="1" x14ac:dyDescent="0.25">
      <c r="A1008" s="29">
        <v>46288</v>
      </c>
      <c r="B1008" s="29">
        <v>46289</v>
      </c>
      <c r="C1008" s="30" t="s">
        <v>2204</v>
      </c>
      <c r="D1008" s="30">
        <v>16</v>
      </c>
      <c r="E1008" s="30">
        <f t="shared" si="76"/>
        <v>3120</v>
      </c>
      <c r="F1008" s="37" t="s">
        <v>307</v>
      </c>
      <c r="G1008" s="37" t="s">
        <v>2077</v>
      </c>
      <c r="H1008" s="32">
        <f>H1007-E1008</f>
        <v>27300</v>
      </c>
      <c r="I1008" s="32"/>
      <c r="J1008" s="32"/>
      <c r="K1008" s="30">
        <v>260922003</v>
      </c>
      <c r="L1008" s="30"/>
      <c r="M1008" s="30">
        <f>M844-D1008</f>
        <v>21</v>
      </c>
      <c r="N1008" s="19">
        <v>46234</v>
      </c>
      <c r="O1008" s="21">
        <f t="shared" si="78"/>
        <v>46598</v>
      </c>
    </row>
    <row r="1009" spans="1:15" ht="20.149999999999999" hidden="1" customHeight="1" x14ac:dyDescent="0.3">
      <c r="A1009" s="33">
        <v>46288</v>
      </c>
      <c r="B1009" s="33">
        <v>46289</v>
      </c>
      <c r="C1009" s="34" t="s">
        <v>2205</v>
      </c>
      <c r="D1009" s="34">
        <v>12</v>
      </c>
      <c r="E1009" s="34">
        <f t="shared" si="76"/>
        <v>2340</v>
      </c>
      <c r="F1009" s="39" t="s">
        <v>274</v>
      </c>
      <c r="G1009" s="39" t="s">
        <v>2212</v>
      </c>
      <c r="H1009" s="35">
        <f>H998-E1009</f>
        <v>13260</v>
      </c>
      <c r="I1009" s="35"/>
      <c r="J1009" s="35"/>
      <c r="K1009" s="34">
        <v>260922004</v>
      </c>
      <c r="L1009" s="34"/>
      <c r="M1009" s="34">
        <f>M1007-D1009</f>
        <v>0</v>
      </c>
      <c r="N1009" s="19">
        <v>46233</v>
      </c>
      <c r="O1009" s="21">
        <f t="shared" si="78"/>
        <v>46597</v>
      </c>
    </row>
    <row r="1010" spans="1:15" ht="20.149999999999999" hidden="1" customHeight="1" x14ac:dyDescent="0.2">
      <c r="A1010" s="40">
        <v>46288</v>
      </c>
      <c r="B1010" s="40">
        <v>46289</v>
      </c>
      <c r="C1010" s="41" t="s">
        <v>2206</v>
      </c>
      <c r="D1010" s="41">
        <v>16</v>
      </c>
      <c r="E1010" s="41">
        <f t="shared" si="76"/>
        <v>3120</v>
      </c>
      <c r="F1010" s="60" t="s">
        <v>30</v>
      </c>
      <c r="G1010" s="60" t="s">
        <v>2213</v>
      </c>
      <c r="H1010" s="42">
        <f>H986-E1010</f>
        <v>74100</v>
      </c>
      <c r="I1010" s="42"/>
      <c r="J1010" s="42"/>
      <c r="K1010" s="41">
        <v>260922005</v>
      </c>
      <c r="L1010" s="41"/>
      <c r="M1010" s="41">
        <f>M1003-D1010</f>
        <v>0</v>
      </c>
      <c r="N1010" s="19">
        <v>46231</v>
      </c>
      <c r="O1010" s="21">
        <f t="shared" si="78"/>
        <v>46595</v>
      </c>
    </row>
    <row r="1011" spans="1:15" ht="20.149999999999999" hidden="1" customHeight="1" x14ac:dyDescent="0.2">
      <c r="A1011" s="29">
        <v>46288</v>
      </c>
      <c r="B1011" s="29">
        <v>46289</v>
      </c>
      <c r="C1011" s="30" t="s">
        <v>2207</v>
      </c>
      <c r="D1011" s="30">
        <v>16</v>
      </c>
      <c r="E1011" s="30">
        <f t="shared" ref="E1011:E1046" si="79">D1011*195</f>
        <v>3120</v>
      </c>
      <c r="F1011" s="30" t="s">
        <v>31</v>
      </c>
      <c r="G1011" s="37" t="s">
        <v>2098</v>
      </c>
      <c r="H1011" s="32">
        <f>H987-E1011</f>
        <v>12480</v>
      </c>
      <c r="I1011" s="32"/>
      <c r="J1011" s="32"/>
      <c r="K1011" s="30">
        <v>260922006</v>
      </c>
      <c r="L1011" s="30"/>
      <c r="M1011" s="30">
        <f>M1005-D1011</f>
        <v>0</v>
      </c>
      <c r="N1011" s="19">
        <v>46232</v>
      </c>
      <c r="O1011" s="21">
        <f t="shared" si="78"/>
        <v>46596</v>
      </c>
    </row>
    <row r="1012" spans="1:15" ht="20.149999999999999" hidden="1" customHeight="1" x14ac:dyDescent="0.2">
      <c r="A1012" s="26">
        <v>46288</v>
      </c>
      <c r="B1012" s="26">
        <v>46289</v>
      </c>
      <c r="C1012" s="27" t="s">
        <v>2208</v>
      </c>
      <c r="D1012" s="27">
        <v>8</v>
      </c>
      <c r="E1012" s="27">
        <f t="shared" si="79"/>
        <v>1560</v>
      </c>
      <c r="F1012" s="149" t="s">
        <v>444</v>
      </c>
      <c r="G1012" s="36" t="s">
        <v>2214</v>
      </c>
      <c r="H1012" s="28">
        <f>H999-E1012</f>
        <v>121220</v>
      </c>
      <c r="I1012" s="28"/>
      <c r="J1012" s="28"/>
      <c r="K1012" s="27">
        <v>260922007</v>
      </c>
      <c r="L1012" s="27"/>
      <c r="M1012" s="27">
        <f>M1000-D1012</f>
        <v>0</v>
      </c>
      <c r="N1012" s="19">
        <v>46229</v>
      </c>
      <c r="O1012" s="21">
        <f t="shared" si="78"/>
        <v>46593</v>
      </c>
    </row>
    <row r="1013" spans="1:15" ht="20.149999999999999" hidden="1" customHeight="1" x14ac:dyDescent="0.2">
      <c r="A1013" s="22">
        <v>46289</v>
      </c>
      <c r="B1013" s="22">
        <v>46289</v>
      </c>
      <c r="C1013" s="23" t="s">
        <v>2220</v>
      </c>
      <c r="D1013" s="23">
        <v>4</v>
      </c>
      <c r="E1013" s="23">
        <f t="shared" si="79"/>
        <v>780</v>
      </c>
      <c r="F1013" s="23" t="s">
        <v>1569</v>
      </c>
      <c r="G1013" s="23" t="s">
        <v>2227</v>
      </c>
      <c r="H1013" s="25">
        <f>H975-E1013</f>
        <v>46180</v>
      </c>
      <c r="I1013" s="25"/>
      <c r="J1013" s="25"/>
      <c r="K1013" s="23">
        <v>260923007</v>
      </c>
      <c r="L1013" s="23"/>
      <c r="M1013" s="23">
        <f>M1008-D1013</f>
        <v>17</v>
      </c>
      <c r="N1013" s="19">
        <v>46234</v>
      </c>
      <c r="O1013" s="21">
        <f t="shared" si="78"/>
        <v>46598</v>
      </c>
    </row>
    <row r="1014" spans="1:15" ht="20.149999999999999" hidden="1" customHeight="1" x14ac:dyDescent="0.2">
      <c r="A1014" s="33">
        <v>46289</v>
      </c>
      <c r="B1014" s="142">
        <v>46290</v>
      </c>
      <c r="C1014" s="34" t="s">
        <v>1796</v>
      </c>
      <c r="D1014" s="34">
        <v>5</v>
      </c>
      <c r="E1014" s="34">
        <f t="shared" si="79"/>
        <v>975</v>
      </c>
      <c r="F1014" s="39" t="s">
        <v>26</v>
      </c>
      <c r="G1014" s="39" t="s">
        <v>2228</v>
      </c>
      <c r="H1014" s="35">
        <f>H1004-E1014</f>
        <v>27885</v>
      </c>
      <c r="I1014" s="35"/>
      <c r="J1014" s="35"/>
      <c r="K1014" s="34">
        <v>260923008</v>
      </c>
      <c r="L1014" s="34"/>
      <c r="M1014" s="34">
        <f>M1013-D1014</f>
        <v>12</v>
      </c>
      <c r="N1014" s="19">
        <v>46234</v>
      </c>
      <c r="O1014" s="21">
        <f t="shared" si="78"/>
        <v>46598</v>
      </c>
    </row>
    <row r="1015" spans="1:15" ht="20.149999999999999" hidden="1" customHeight="1" x14ac:dyDescent="0.2">
      <c r="A1015" s="33">
        <v>46289</v>
      </c>
      <c r="B1015" s="142">
        <v>46290</v>
      </c>
      <c r="C1015" s="34" t="s">
        <v>1865</v>
      </c>
      <c r="D1015" s="34">
        <v>11</v>
      </c>
      <c r="E1015" s="34">
        <f t="shared" si="79"/>
        <v>2145</v>
      </c>
      <c r="F1015" s="39" t="s">
        <v>26</v>
      </c>
      <c r="G1015" s="39" t="s">
        <v>2218</v>
      </c>
      <c r="H1015" s="35">
        <f>H1014-E1015</f>
        <v>25740</v>
      </c>
      <c r="I1015" s="35"/>
      <c r="J1015" s="35"/>
      <c r="K1015" s="34">
        <v>260923008</v>
      </c>
      <c r="L1015" s="34"/>
      <c r="M1015" s="34">
        <f>M862-D1015</f>
        <v>27</v>
      </c>
      <c r="N1015" s="19">
        <v>46235</v>
      </c>
      <c r="O1015" s="21">
        <f t="shared" si="78"/>
        <v>46599</v>
      </c>
    </row>
    <row r="1016" spans="1:15" ht="20.149999999999999" hidden="1" customHeight="1" x14ac:dyDescent="0.2">
      <c r="A1016" s="40">
        <v>46289</v>
      </c>
      <c r="B1016" s="132">
        <v>46293</v>
      </c>
      <c r="C1016" s="41" t="s">
        <v>1866</v>
      </c>
      <c r="D1016" s="41">
        <v>8</v>
      </c>
      <c r="E1016" s="41">
        <f t="shared" si="79"/>
        <v>1560</v>
      </c>
      <c r="F1016" s="60" t="s">
        <v>26</v>
      </c>
      <c r="G1016" s="60" t="s">
        <v>2229</v>
      </c>
      <c r="H1016" s="42">
        <f>H1015-E1016</f>
        <v>24180</v>
      </c>
      <c r="I1016" s="42"/>
      <c r="J1016" s="42"/>
      <c r="K1016" s="41">
        <v>260923009</v>
      </c>
      <c r="L1016" s="41"/>
      <c r="M1016" s="41">
        <f>M863-D1016</f>
        <v>29</v>
      </c>
      <c r="N1016" s="19">
        <v>46236</v>
      </c>
      <c r="O1016" s="21">
        <f t="shared" si="78"/>
        <v>46600</v>
      </c>
    </row>
    <row r="1017" spans="1:15" ht="20.149999999999999" hidden="1" customHeight="1" x14ac:dyDescent="0.2">
      <c r="A1017" s="29">
        <v>46289</v>
      </c>
      <c r="B1017" s="29">
        <v>46294</v>
      </c>
      <c r="C1017" s="30" t="s">
        <v>2221</v>
      </c>
      <c r="D1017" s="30">
        <v>3</v>
      </c>
      <c r="E1017" s="30">
        <f t="shared" si="79"/>
        <v>585</v>
      </c>
      <c r="F1017" s="30" t="s">
        <v>1860</v>
      </c>
      <c r="G1017" s="37" t="s">
        <v>2230</v>
      </c>
      <c r="H1017" s="32">
        <f>H1006-E1017</f>
        <v>1755</v>
      </c>
      <c r="I1017" s="32"/>
      <c r="J1017" s="32"/>
      <c r="K1017" s="30">
        <v>260923010</v>
      </c>
      <c r="L1017" s="30"/>
      <c r="M1017" s="30">
        <f>M1015-D1017</f>
        <v>24</v>
      </c>
      <c r="N1017" s="19">
        <v>46235</v>
      </c>
      <c r="O1017" s="21">
        <f t="shared" si="78"/>
        <v>46599</v>
      </c>
    </row>
    <row r="1018" spans="1:15" ht="20.149999999999999" hidden="1" customHeight="1" x14ac:dyDescent="0.2">
      <c r="A1018" s="29">
        <v>46289</v>
      </c>
      <c r="B1018" s="29">
        <v>46294</v>
      </c>
      <c r="C1018" s="30" t="s">
        <v>1866</v>
      </c>
      <c r="D1018" s="30">
        <v>5</v>
      </c>
      <c r="E1018" s="30">
        <f t="shared" si="79"/>
        <v>975</v>
      </c>
      <c r="F1018" s="30" t="s">
        <v>1860</v>
      </c>
      <c r="G1018" s="37" t="s">
        <v>2219</v>
      </c>
      <c r="H1018" s="32">
        <f>H1017-E1018</f>
        <v>780</v>
      </c>
      <c r="I1018" s="32"/>
      <c r="J1018" s="32"/>
      <c r="K1018" s="30">
        <v>260923010</v>
      </c>
      <c r="L1018" s="30"/>
      <c r="M1018" s="30">
        <f>M1016-D1018</f>
        <v>24</v>
      </c>
      <c r="N1018" s="19">
        <v>46236</v>
      </c>
      <c r="O1018" s="21">
        <f t="shared" si="78"/>
        <v>46600</v>
      </c>
    </row>
    <row r="1019" spans="1:15" ht="20.149999999999999" hidden="1" customHeight="1" x14ac:dyDescent="0.3">
      <c r="A1019" s="26">
        <v>46289</v>
      </c>
      <c r="B1019" s="26">
        <v>46294</v>
      </c>
      <c r="C1019" s="27" t="s">
        <v>2222</v>
      </c>
      <c r="D1019" s="27">
        <v>12</v>
      </c>
      <c r="E1019" s="27">
        <f t="shared" si="79"/>
        <v>2340</v>
      </c>
      <c r="F1019" s="36" t="s">
        <v>274</v>
      </c>
      <c r="G1019" s="36" t="s">
        <v>2231</v>
      </c>
      <c r="H1019" s="28">
        <f>H1009-E1019</f>
        <v>10920</v>
      </c>
      <c r="I1019" s="28"/>
      <c r="J1019" s="28"/>
      <c r="K1019" s="27">
        <v>260923011</v>
      </c>
      <c r="L1019" s="27"/>
      <c r="M1019" s="27">
        <f>M1017-D1019</f>
        <v>12</v>
      </c>
      <c r="N1019" s="19">
        <v>46235</v>
      </c>
      <c r="O1019" s="21">
        <f t="shared" si="78"/>
        <v>46599</v>
      </c>
    </row>
    <row r="1020" spans="1:15" ht="20.149999999999999" hidden="1" customHeight="1" x14ac:dyDescent="0.2">
      <c r="A1020" s="22">
        <v>46289</v>
      </c>
      <c r="B1020" s="22">
        <v>46294</v>
      </c>
      <c r="C1020" s="23" t="s">
        <v>2223</v>
      </c>
      <c r="D1020" s="23">
        <v>12</v>
      </c>
      <c r="E1020" s="23">
        <f t="shared" si="79"/>
        <v>2340</v>
      </c>
      <c r="F1020" s="38" t="s">
        <v>30</v>
      </c>
      <c r="G1020" s="38" t="s">
        <v>2232</v>
      </c>
      <c r="H1020" s="25">
        <f>H1010-E1020</f>
        <v>71760</v>
      </c>
      <c r="I1020" s="25"/>
      <c r="J1020" s="25"/>
      <c r="K1020" s="23">
        <v>260923012</v>
      </c>
      <c r="L1020" s="23"/>
      <c r="M1020" s="23">
        <f>M1014-D1020</f>
        <v>0</v>
      </c>
      <c r="N1020" s="19">
        <v>46234</v>
      </c>
      <c r="O1020" s="21">
        <f t="shared" si="78"/>
        <v>46598</v>
      </c>
    </row>
    <row r="1021" spans="1:15" ht="20.149999999999999" hidden="1" customHeight="1" x14ac:dyDescent="0.2">
      <c r="A1021" s="124">
        <v>46289</v>
      </c>
      <c r="B1021" s="124">
        <v>46294</v>
      </c>
      <c r="C1021" s="39" t="s">
        <v>1865</v>
      </c>
      <c r="D1021" s="39">
        <v>12</v>
      </c>
      <c r="E1021" s="39">
        <f t="shared" si="79"/>
        <v>2340</v>
      </c>
      <c r="F1021" s="39" t="s">
        <v>31</v>
      </c>
      <c r="G1021" s="39" t="s">
        <v>2233</v>
      </c>
      <c r="H1021" s="125">
        <f>H1011-E1021</f>
        <v>10140</v>
      </c>
      <c r="I1021" s="125"/>
      <c r="J1021" s="125"/>
      <c r="K1021" s="39">
        <v>260923013</v>
      </c>
      <c r="L1021" s="39"/>
      <c r="M1021" s="39">
        <f>M1019-D1021</f>
        <v>0</v>
      </c>
      <c r="N1021" s="19">
        <v>46235</v>
      </c>
      <c r="O1021" s="21">
        <f t="shared" si="78"/>
        <v>46599</v>
      </c>
    </row>
    <row r="1022" spans="1:15" ht="20.149999999999999" hidden="1" customHeight="1" x14ac:dyDescent="0.2">
      <c r="A1022" s="40">
        <v>46289</v>
      </c>
      <c r="B1022" s="40">
        <v>46294</v>
      </c>
      <c r="C1022" s="41" t="s">
        <v>1866</v>
      </c>
      <c r="D1022" s="41">
        <v>12</v>
      </c>
      <c r="E1022" s="41">
        <f t="shared" si="79"/>
        <v>2340</v>
      </c>
      <c r="F1022" s="146" t="s">
        <v>444</v>
      </c>
      <c r="G1022" s="60" t="s">
        <v>2234</v>
      </c>
      <c r="H1022" s="42">
        <f>H1012-E1022</f>
        <v>118880</v>
      </c>
      <c r="I1022" s="42"/>
      <c r="J1022" s="42"/>
      <c r="K1022" s="41">
        <v>260923014</v>
      </c>
      <c r="L1022" s="41"/>
      <c r="M1022" s="41">
        <f>M1018-D1022</f>
        <v>12</v>
      </c>
      <c r="N1022" s="19">
        <v>46236</v>
      </c>
      <c r="O1022" s="21">
        <f t="shared" si="78"/>
        <v>46600</v>
      </c>
    </row>
    <row r="1023" spans="1:15" ht="20.149999999999999" hidden="1" customHeight="1" x14ac:dyDescent="0.25">
      <c r="A1023" s="29">
        <v>46294</v>
      </c>
      <c r="B1023" s="29">
        <v>46294</v>
      </c>
      <c r="C1023" s="30" t="s">
        <v>2239</v>
      </c>
      <c r="D1023" s="30">
        <v>8</v>
      </c>
      <c r="E1023" s="30">
        <f t="shared" si="79"/>
        <v>1560</v>
      </c>
      <c r="F1023" s="37" t="s">
        <v>27</v>
      </c>
      <c r="G1023" s="37" t="s">
        <v>2243</v>
      </c>
      <c r="H1023" s="32">
        <f>H1002-E1023</f>
        <v>21840</v>
      </c>
      <c r="I1023" s="32"/>
      <c r="J1023" s="32"/>
      <c r="K1023" s="30">
        <v>260924005</v>
      </c>
      <c r="L1023" s="30"/>
      <c r="M1023" s="30">
        <f>M1022-D1023</f>
        <v>4</v>
      </c>
      <c r="N1023" s="19">
        <v>46236</v>
      </c>
      <c r="O1023" s="21">
        <f t="shared" si="78"/>
        <v>46600</v>
      </c>
    </row>
    <row r="1024" spans="1:15" ht="20.149999999999999" hidden="1" customHeight="1" x14ac:dyDescent="0.2">
      <c r="A1024" s="26">
        <v>46294</v>
      </c>
      <c r="B1024" s="26">
        <v>46294</v>
      </c>
      <c r="C1024" s="27" t="s">
        <v>2240</v>
      </c>
      <c r="D1024" s="27">
        <v>4</v>
      </c>
      <c r="E1024" s="27">
        <f t="shared" si="79"/>
        <v>780</v>
      </c>
      <c r="F1024" s="36" t="s">
        <v>26</v>
      </c>
      <c r="G1024" s="36" t="s">
        <v>2247</v>
      </c>
      <c r="H1024" s="28">
        <f>H1016-E1024</f>
        <v>23400</v>
      </c>
      <c r="I1024" s="28"/>
      <c r="J1024" s="28"/>
      <c r="K1024" s="27">
        <v>260924006</v>
      </c>
      <c r="L1024" s="27"/>
      <c r="M1024" s="27">
        <f>M1023-D1024</f>
        <v>0</v>
      </c>
      <c r="N1024" s="19">
        <v>46236</v>
      </c>
      <c r="O1024" s="21">
        <f t="shared" si="78"/>
        <v>46600</v>
      </c>
    </row>
    <row r="1025" spans="1:15" ht="20.149999999999999" hidden="1" customHeight="1" x14ac:dyDescent="0.2">
      <c r="A1025" s="26">
        <v>46294</v>
      </c>
      <c r="B1025" s="26">
        <v>46294</v>
      </c>
      <c r="C1025" s="27" t="s">
        <v>1867</v>
      </c>
      <c r="D1025" s="27">
        <v>8</v>
      </c>
      <c r="E1025" s="27">
        <f t="shared" si="79"/>
        <v>1560</v>
      </c>
      <c r="F1025" s="36" t="s">
        <v>26</v>
      </c>
      <c r="G1025" s="36" t="s">
        <v>2116</v>
      </c>
      <c r="H1025" s="28">
        <f>H1024-E1025</f>
        <v>21840</v>
      </c>
      <c r="I1025" s="28"/>
      <c r="J1025" s="28"/>
      <c r="K1025" s="27">
        <v>260924006</v>
      </c>
      <c r="L1025" s="27"/>
      <c r="M1025" s="27">
        <f>M864-D1025</f>
        <v>29</v>
      </c>
      <c r="N1025" s="19">
        <v>46238</v>
      </c>
      <c r="O1025" s="21">
        <f t="shared" si="78"/>
        <v>46602</v>
      </c>
    </row>
    <row r="1026" spans="1:15" ht="20.149999999999999" hidden="1" customHeight="1" x14ac:dyDescent="0.25">
      <c r="A1026" s="22">
        <v>46295</v>
      </c>
      <c r="B1026" s="22">
        <v>46296</v>
      </c>
      <c r="C1026" s="23" t="s">
        <v>2250</v>
      </c>
      <c r="D1026" s="23">
        <v>5</v>
      </c>
      <c r="E1026" s="23">
        <f t="shared" si="79"/>
        <v>975</v>
      </c>
      <c r="F1026" s="38" t="s">
        <v>307</v>
      </c>
      <c r="G1026" s="38" t="s">
        <v>2253</v>
      </c>
      <c r="H1026" s="25">
        <f>H1008-E1026</f>
        <v>26325</v>
      </c>
      <c r="I1026" s="25"/>
      <c r="J1026" s="25"/>
      <c r="K1026" s="23">
        <v>260929011</v>
      </c>
      <c r="L1026" s="23"/>
      <c r="M1026" s="23">
        <f>M1025-D1026</f>
        <v>24</v>
      </c>
      <c r="N1026" s="19">
        <v>46238</v>
      </c>
      <c r="O1026" s="21">
        <f t="shared" si="78"/>
        <v>46602</v>
      </c>
    </row>
    <row r="1027" spans="1:15" ht="20.149999999999999" hidden="1" customHeight="1" x14ac:dyDescent="0.25">
      <c r="A1027" s="22">
        <v>46295</v>
      </c>
      <c r="B1027" s="22">
        <v>46296</v>
      </c>
      <c r="C1027" s="23" t="s">
        <v>2251</v>
      </c>
      <c r="D1027" s="23">
        <v>18</v>
      </c>
      <c r="E1027" s="23">
        <f t="shared" si="79"/>
        <v>3510</v>
      </c>
      <c r="F1027" s="38" t="s">
        <v>307</v>
      </c>
      <c r="G1027" s="38" t="s">
        <v>2077</v>
      </c>
      <c r="H1027" s="25">
        <f>H1026-E1027</f>
        <v>22815</v>
      </c>
      <c r="I1027" s="25"/>
      <c r="J1027" s="25"/>
      <c r="K1027" s="23">
        <v>260929011</v>
      </c>
      <c r="L1027" s="23"/>
      <c r="M1027" s="23">
        <f>M865-D1027</f>
        <v>20</v>
      </c>
      <c r="N1027" s="19">
        <v>46239</v>
      </c>
      <c r="O1027" s="21">
        <f t="shared" si="78"/>
        <v>46603</v>
      </c>
    </row>
    <row r="1028" spans="1:15" ht="20.149999999999999" hidden="1" customHeight="1" x14ac:dyDescent="0.25">
      <c r="A1028" s="22">
        <v>46295</v>
      </c>
      <c r="B1028" s="22">
        <v>46296</v>
      </c>
      <c r="C1028" s="23" t="s">
        <v>2252</v>
      </c>
      <c r="D1028" s="23">
        <v>25</v>
      </c>
      <c r="E1028" s="23">
        <f t="shared" si="79"/>
        <v>4875</v>
      </c>
      <c r="F1028" s="38" t="s">
        <v>307</v>
      </c>
      <c r="G1028" s="38" t="s">
        <v>2077</v>
      </c>
      <c r="H1028" s="25">
        <f>H1027-E1028</f>
        <v>17940</v>
      </c>
      <c r="I1028" s="25"/>
      <c r="J1028" s="25"/>
      <c r="K1028" s="23">
        <v>260929011</v>
      </c>
      <c r="L1028" s="23"/>
      <c r="M1028" s="23">
        <f>M866-D1028</f>
        <v>12</v>
      </c>
      <c r="N1028" s="19">
        <v>46240</v>
      </c>
      <c r="O1028" s="21">
        <f t="shared" si="78"/>
        <v>46604</v>
      </c>
    </row>
    <row r="1029" spans="1:15" ht="20.149999999999999" hidden="1" customHeight="1" x14ac:dyDescent="0.2">
      <c r="A1029" s="33">
        <v>46296</v>
      </c>
      <c r="B1029" s="33">
        <v>46297</v>
      </c>
      <c r="C1029" s="34" t="s">
        <v>2254</v>
      </c>
      <c r="D1029" s="34">
        <v>4</v>
      </c>
      <c r="E1029" s="34">
        <f t="shared" si="79"/>
        <v>780</v>
      </c>
      <c r="F1029" s="34" t="s">
        <v>1860</v>
      </c>
      <c r="G1029" s="39" t="s">
        <v>2266</v>
      </c>
      <c r="H1029" s="35">
        <f>H1018-E1029</f>
        <v>0</v>
      </c>
      <c r="I1029" s="63" t="s">
        <v>22</v>
      </c>
      <c r="J1029" s="35"/>
      <c r="K1029" s="34">
        <v>260930004</v>
      </c>
      <c r="L1029" s="34">
        <v>42</v>
      </c>
      <c r="M1029" s="34">
        <f>L1029-D1029</f>
        <v>38</v>
      </c>
      <c r="N1029" s="19">
        <v>46278</v>
      </c>
      <c r="O1029" s="21">
        <f t="shared" si="78"/>
        <v>46642</v>
      </c>
    </row>
    <row r="1030" spans="1:15" ht="20.149999999999999" hidden="1" customHeight="1" x14ac:dyDescent="0.2">
      <c r="A1030" s="33">
        <v>46296</v>
      </c>
      <c r="B1030" s="33">
        <v>46297</v>
      </c>
      <c r="C1030" s="34" t="s">
        <v>2259</v>
      </c>
      <c r="D1030" s="34">
        <v>4</v>
      </c>
      <c r="E1030" s="34">
        <f t="shared" si="79"/>
        <v>780</v>
      </c>
      <c r="F1030" s="34" t="s">
        <v>1860</v>
      </c>
      <c r="G1030" s="145" t="s">
        <v>2267</v>
      </c>
      <c r="H1030" s="35">
        <f>29640-E1030</f>
        <v>28860</v>
      </c>
      <c r="I1030" s="63" t="s">
        <v>22</v>
      </c>
      <c r="J1030" s="35" t="s">
        <v>2255</v>
      </c>
      <c r="K1030" s="34" t="s">
        <v>2264</v>
      </c>
      <c r="L1030" s="34">
        <f>41-16</f>
        <v>25</v>
      </c>
      <c r="M1030" s="34">
        <f>L1030-D1030</f>
        <v>21</v>
      </c>
      <c r="N1030" s="19">
        <v>46280</v>
      </c>
      <c r="O1030" s="21">
        <f t="shared" si="78"/>
        <v>46644</v>
      </c>
    </row>
    <row r="1031" spans="1:15" ht="20.149999999999999" hidden="1" customHeight="1" x14ac:dyDescent="0.2">
      <c r="A1031" s="33">
        <v>46296</v>
      </c>
      <c r="B1031" s="33">
        <v>46297</v>
      </c>
      <c r="C1031" s="34" t="s">
        <v>2256</v>
      </c>
      <c r="D1031" s="34">
        <v>4</v>
      </c>
      <c r="E1031" s="34">
        <f t="shared" si="79"/>
        <v>780</v>
      </c>
      <c r="F1031" s="34" t="s">
        <v>1860</v>
      </c>
      <c r="G1031" s="145" t="s">
        <v>2257</v>
      </c>
      <c r="H1031" s="35">
        <f>H1030-E1031</f>
        <v>28080</v>
      </c>
      <c r="I1031" s="63" t="s">
        <v>22</v>
      </c>
      <c r="J1031" s="35" t="s">
        <v>2049</v>
      </c>
      <c r="K1031" s="34" t="s">
        <v>2265</v>
      </c>
      <c r="L1031" s="34">
        <f>41-20</f>
        <v>21</v>
      </c>
      <c r="M1031" s="34">
        <f>L1031-D1031</f>
        <v>17</v>
      </c>
      <c r="N1031" s="19">
        <v>46281</v>
      </c>
      <c r="O1031" s="21">
        <f t="shared" si="78"/>
        <v>46645</v>
      </c>
    </row>
    <row r="1032" spans="1:15" ht="20.149999999999999" hidden="1" customHeight="1" x14ac:dyDescent="0.3">
      <c r="A1032" s="40">
        <v>46296</v>
      </c>
      <c r="B1032" s="40">
        <v>46297</v>
      </c>
      <c r="C1032" s="41" t="s">
        <v>2260</v>
      </c>
      <c r="D1032" s="41">
        <v>4</v>
      </c>
      <c r="E1032" s="41">
        <f t="shared" si="79"/>
        <v>780</v>
      </c>
      <c r="F1032" s="60" t="s">
        <v>274</v>
      </c>
      <c r="G1032" s="60" t="s">
        <v>1907</v>
      </c>
      <c r="H1032" s="208">
        <f>9360-E1032</f>
        <v>8580</v>
      </c>
      <c r="I1032" s="209"/>
      <c r="J1032" s="42"/>
      <c r="K1032" s="41">
        <v>260930005</v>
      </c>
      <c r="L1032" s="41"/>
      <c r="M1032" s="41">
        <f>M1027-D1032</f>
        <v>16</v>
      </c>
      <c r="N1032" s="19">
        <v>46239</v>
      </c>
      <c r="O1032" s="21">
        <f t="shared" si="78"/>
        <v>46603</v>
      </c>
    </row>
    <row r="1033" spans="1:15" ht="20.149999999999999" hidden="1" customHeight="1" x14ac:dyDescent="0.3">
      <c r="A1033" s="40">
        <v>46296</v>
      </c>
      <c r="B1033" s="40">
        <v>46297</v>
      </c>
      <c r="C1033" s="41" t="s">
        <v>2261</v>
      </c>
      <c r="D1033" s="41">
        <v>4</v>
      </c>
      <c r="E1033" s="41">
        <f t="shared" si="79"/>
        <v>780</v>
      </c>
      <c r="F1033" s="60" t="s">
        <v>274</v>
      </c>
      <c r="G1033" s="60" t="s">
        <v>2269</v>
      </c>
      <c r="H1033" s="42">
        <f>H1032-E1033</f>
        <v>7800</v>
      </c>
      <c r="I1033" s="121" t="s">
        <v>22</v>
      </c>
      <c r="J1033" s="42"/>
      <c r="K1033" s="41" t="s">
        <v>2268</v>
      </c>
      <c r="L1033" s="41">
        <v>42</v>
      </c>
      <c r="M1033" s="41">
        <f>L1033-D1033</f>
        <v>38</v>
      </c>
      <c r="N1033" s="19">
        <v>46282</v>
      </c>
      <c r="O1033" s="21">
        <f t="shared" si="78"/>
        <v>46646</v>
      </c>
    </row>
    <row r="1034" spans="1:15" ht="20.149999999999999" hidden="1" customHeight="1" x14ac:dyDescent="0.2">
      <c r="A1034" s="29">
        <v>46296</v>
      </c>
      <c r="B1034" s="29">
        <v>46297</v>
      </c>
      <c r="C1034" s="30" t="s">
        <v>2262</v>
      </c>
      <c r="D1034" s="30">
        <v>8</v>
      </c>
      <c r="E1034" s="30">
        <f t="shared" si="79"/>
        <v>1560</v>
      </c>
      <c r="F1034" s="37" t="s">
        <v>30</v>
      </c>
      <c r="G1034" s="37" t="s">
        <v>2024</v>
      </c>
      <c r="H1034" s="32">
        <f>H1020-E1034</f>
        <v>70200</v>
      </c>
      <c r="I1034" s="32"/>
      <c r="J1034" s="32"/>
      <c r="K1034" s="30">
        <v>260930006</v>
      </c>
      <c r="L1034" s="30"/>
      <c r="M1034" s="30">
        <f>M1032-D1034</f>
        <v>8</v>
      </c>
      <c r="N1034" s="19">
        <v>46239</v>
      </c>
      <c r="O1034" s="21">
        <f t="shared" si="78"/>
        <v>46603</v>
      </c>
    </row>
    <row r="1035" spans="1:15" ht="20.149999999999999" hidden="1" customHeight="1" x14ac:dyDescent="0.2">
      <c r="A1035" s="26">
        <v>46296</v>
      </c>
      <c r="B1035" s="26">
        <v>46297</v>
      </c>
      <c r="C1035" s="27" t="s">
        <v>1867</v>
      </c>
      <c r="D1035" s="27">
        <v>12</v>
      </c>
      <c r="E1035" s="27">
        <f t="shared" si="79"/>
        <v>2340</v>
      </c>
      <c r="F1035" s="36" t="s">
        <v>31</v>
      </c>
      <c r="G1035" s="36" t="s">
        <v>2270</v>
      </c>
      <c r="H1035" s="28">
        <f>H1021-E1035</f>
        <v>7800</v>
      </c>
      <c r="I1035" s="28"/>
      <c r="J1035" s="28"/>
      <c r="K1035" s="27">
        <v>260930007</v>
      </c>
      <c r="L1035" s="27"/>
      <c r="M1035" s="27">
        <f>M1026-D1035</f>
        <v>12</v>
      </c>
      <c r="N1035" s="19">
        <v>46238</v>
      </c>
      <c r="O1035" s="21">
        <f t="shared" si="78"/>
        <v>46602</v>
      </c>
    </row>
    <row r="1036" spans="1:15" ht="20.149999999999999" hidden="1" customHeight="1" x14ac:dyDescent="0.2">
      <c r="A1036" s="22">
        <v>46296</v>
      </c>
      <c r="B1036" s="22">
        <v>46297</v>
      </c>
      <c r="C1036" s="23" t="s">
        <v>1867</v>
      </c>
      <c r="D1036" s="23">
        <v>12</v>
      </c>
      <c r="E1036" s="23">
        <f t="shared" si="79"/>
        <v>2340</v>
      </c>
      <c r="F1036" s="148" t="s">
        <v>444</v>
      </c>
      <c r="G1036" s="38" t="s">
        <v>656</v>
      </c>
      <c r="H1036" s="25">
        <f>H1022-E1036</f>
        <v>116540</v>
      </c>
      <c r="I1036" s="25"/>
      <c r="J1036" s="25"/>
      <c r="K1036" s="23">
        <v>260930008</v>
      </c>
      <c r="L1036" s="23"/>
      <c r="M1036" s="23">
        <f>M1035-D1036</f>
        <v>0</v>
      </c>
      <c r="N1036" s="19">
        <v>46238</v>
      </c>
      <c r="O1036" s="21">
        <f t="shared" si="78"/>
        <v>46602</v>
      </c>
    </row>
    <row r="1037" spans="1:15" ht="20.149999999999999" hidden="1" customHeight="1" x14ac:dyDescent="0.25">
      <c r="A1037" s="33">
        <v>46297</v>
      </c>
      <c r="B1037" s="33">
        <v>46297</v>
      </c>
      <c r="C1037" s="34" t="s">
        <v>1861</v>
      </c>
      <c r="D1037" s="34">
        <v>8</v>
      </c>
      <c r="E1037" s="34">
        <f t="shared" si="79"/>
        <v>1560</v>
      </c>
      <c r="F1037" s="39" t="s">
        <v>27</v>
      </c>
      <c r="G1037" s="39" t="s">
        <v>2278</v>
      </c>
      <c r="H1037" s="35">
        <f>H1023-E1037</f>
        <v>20280</v>
      </c>
      <c r="I1037" s="35"/>
      <c r="J1037" s="35"/>
      <c r="K1037" s="34">
        <v>261001002</v>
      </c>
      <c r="L1037" s="34"/>
      <c r="M1037" s="34">
        <f>M1028-D1037</f>
        <v>4</v>
      </c>
      <c r="N1037" s="19">
        <v>46240</v>
      </c>
      <c r="O1037" s="21">
        <f t="shared" si="78"/>
        <v>46604</v>
      </c>
    </row>
    <row r="1038" spans="1:15" ht="20.149999999999999" hidden="1" customHeight="1" x14ac:dyDescent="0.2">
      <c r="A1038" s="40">
        <v>46297</v>
      </c>
      <c r="B1038" s="40">
        <v>46297</v>
      </c>
      <c r="C1038" s="41" t="s">
        <v>1868</v>
      </c>
      <c r="D1038" s="41">
        <v>8</v>
      </c>
      <c r="E1038" s="41">
        <f t="shared" si="79"/>
        <v>1560</v>
      </c>
      <c r="F1038" s="60" t="s">
        <v>26</v>
      </c>
      <c r="G1038" s="60" t="s">
        <v>2116</v>
      </c>
      <c r="H1038" s="42">
        <f>H1025-E1038</f>
        <v>20280</v>
      </c>
      <c r="I1038" s="42"/>
      <c r="J1038" s="42"/>
      <c r="K1038" s="41">
        <v>261001003</v>
      </c>
      <c r="L1038" s="41"/>
      <c r="M1038" s="41">
        <f>M1034-D1038</f>
        <v>0</v>
      </c>
      <c r="N1038" s="19">
        <v>46239</v>
      </c>
      <c r="O1038" s="21">
        <f t="shared" si="78"/>
        <v>46603</v>
      </c>
    </row>
    <row r="1039" spans="1:15" ht="20.149999999999999" hidden="1" customHeight="1" x14ac:dyDescent="0.2">
      <c r="A1039" s="40">
        <v>46297</v>
      </c>
      <c r="B1039" s="40">
        <v>46297</v>
      </c>
      <c r="C1039" s="41" t="s">
        <v>1861</v>
      </c>
      <c r="D1039" s="41">
        <v>4</v>
      </c>
      <c r="E1039" s="41">
        <f t="shared" si="79"/>
        <v>780</v>
      </c>
      <c r="F1039" s="60" t="s">
        <v>26</v>
      </c>
      <c r="G1039" s="60" t="s">
        <v>2274</v>
      </c>
      <c r="H1039" s="42">
        <f>H1038-E1039</f>
        <v>19500</v>
      </c>
      <c r="I1039" s="42"/>
      <c r="J1039" s="42"/>
      <c r="K1039" s="41">
        <v>261001003</v>
      </c>
      <c r="L1039" s="41"/>
      <c r="M1039" s="41">
        <f>M1037-D1039</f>
        <v>0</v>
      </c>
      <c r="N1039" s="19">
        <v>46240</v>
      </c>
      <c r="O1039" s="21">
        <f t="shared" si="78"/>
        <v>46604</v>
      </c>
    </row>
    <row r="1040" spans="1:15" ht="20.149999999999999" customHeight="1" x14ac:dyDescent="0.2">
      <c r="A1040" s="26">
        <v>46300</v>
      </c>
      <c r="B1040" s="26">
        <v>46300</v>
      </c>
      <c r="C1040" s="27" t="s">
        <v>2281</v>
      </c>
      <c r="D1040" s="27">
        <v>8</v>
      </c>
      <c r="E1040" s="27">
        <f t="shared" si="79"/>
        <v>1560</v>
      </c>
      <c r="F1040" s="36" t="s">
        <v>26</v>
      </c>
      <c r="G1040" s="36" t="s">
        <v>2289</v>
      </c>
      <c r="H1040" s="28">
        <f>H1039-E1040</f>
        <v>17940</v>
      </c>
      <c r="I1040" s="28"/>
      <c r="J1040" s="28"/>
      <c r="K1040" s="27">
        <v>261002002</v>
      </c>
      <c r="L1040" s="27"/>
      <c r="M1040" s="27">
        <f>M867-D1040</f>
        <v>29</v>
      </c>
      <c r="N1040" s="19">
        <f>IF($C1040="","",DATE(2000+LEFT($C1040,2), HEX2DEC(MID($C1040,3,1)), MID($C1040,4,2)))</f>
        <v>46241</v>
      </c>
      <c r="O1040" s="21">
        <f t="shared" si="78"/>
        <v>46605</v>
      </c>
    </row>
    <row r="1041" spans="1:338" ht="20.149999999999999" customHeight="1" x14ac:dyDescent="0.2">
      <c r="A1041" s="29">
        <v>46300</v>
      </c>
      <c r="B1041" s="29">
        <v>46301</v>
      </c>
      <c r="C1041" s="30" t="s">
        <v>2282</v>
      </c>
      <c r="D1041" s="30">
        <v>4</v>
      </c>
      <c r="E1041" s="30">
        <f t="shared" si="79"/>
        <v>780</v>
      </c>
      <c r="F1041" s="30" t="s">
        <v>1860</v>
      </c>
      <c r="G1041" s="37" t="s">
        <v>2290</v>
      </c>
      <c r="H1041" s="32">
        <f>H1031-E1041</f>
        <v>27300</v>
      </c>
      <c r="I1041" s="70" t="s">
        <v>22</v>
      </c>
      <c r="J1041" s="32"/>
      <c r="K1041" s="30">
        <v>261002003</v>
      </c>
      <c r="L1041" s="30">
        <v>41</v>
      </c>
      <c r="M1041" s="30">
        <f>L1041-D1041</f>
        <v>37</v>
      </c>
      <c r="N1041" s="19">
        <f t="shared" ref="N1041:N1046" si="80">IF($C1041="","",DATE(2000+LEFT($C1041,2), HEX2DEC(MID($C1041,3,1)), MID($C1041,4,2)))</f>
        <v>46284</v>
      </c>
      <c r="O1041" s="21">
        <f t="shared" si="78"/>
        <v>46648</v>
      </c>
    </row>
    <row r="1042" spans="1:338" ht="20.149999999999999" customHeight="1" x14ac:dyDescent="0.2">
      <c r="A1042" s="29">
        <v>46300</v>
      </c>
      <c r="B1042" s="29">
        <v>46301</v>
      </c>
      <c r="C1042" s="30" t="s">
        <v>2283</v>
      </c>
      <c r="D1042" s="30">
        <v>4</v>
      </c>
      <c r="E1042" s="30">
        <f t="shared" si="79"/>
        <v>780</v>
      </c>
      <c r="F1042" s="30" t="s">
        <v>1860</v>
      </c>
      <c r="G1042" s="37" t="s">
        <v>2279</v>
      </c>
      <c r="H1042" s="32">
        <f>H1041-E1042</f>
        <v>26520</v>
      </c>
      <c r="I1042" s="70" t="s">
        <v>22</v>
      </c>
      <c r="J1042" s="32"/>
      <c r="K1042" s="30">
        <v>261002003</v>
      </c>
      <c r="L1042" s="30">
        <v>41</v>
      </c>
      <c r="M1042" s="30">
        <f>L1042-D1042</f>
        <v>37</v>
      </c>
      <c r="N1042" s="19">
        <f t="shared" si="80"/>
        <v>46286</v>
      </c>
      <c r="O1042" s="21">
        <f t="shared" si="78"/>
        <v>46650</v>
      </c>
    </row>
    <row r="1043" spans="1:338" ht="20.149999999999999" customHeight="1" x14ac:dyDescent="0.2">
      <c r="A1043" s="29">
        <v>46300</v>
      </c>
      <c r="B1043" s="29">
        <v>46301</v>
      </c>
      <c r="C1043" s="30" t="s">
        <v>2284</v>
      </c>
      <c r="D1043" s="30">
        <v>4</v>
      </c>
      <c r="E1043" s="30">
        <f t="shared" si="79"/>
        <v>780</v>
      </c>
      <c r="F1043" s="30" t="s">
        <v>1860</v>
      </c>
      <c r="G1043" s="37" t="s">
        <v>2280</v>
      </c>
      <c r="H1043" s="32">
        <f>H1042-E1043</f>
        <v>25740</v>
      </c>
      <c r="I1043" s="70" t="s">
        <v>22</v>
      </c>
      <c r="J1043" s="32"/>
      <c r="K1043" s="30">
        <v>261002003</v>
      </c>
      <c r="L1043" s="30">
        <v>42</v>
      </c>
      <c r="M1043" s="30">
        <f>L1043-D1043</f>
        <v>38</v>
      </c>
      <c r="N1043" s="19">
        <f t="shared" si="80"/>
        <v>46288</v>
      </c>
      <c r="O1043" s="21">
        <f t="shared" si="78"/>
        <v>46652</v>
      </c>
    </row>
    <row r="1044" spans="1:338" s="151" customFormat="1" ht="20.149999999999999" customHeight="1" x14ac:dyDescent="0.3">
      <c r="A1044" s="22">
        <v>46300</v>
      </c>
      <c r="B1044" s="22">
        <v>46301</v>
      </c>
      <c r="C1044" s="23" t="s">
        <v>2285</v>
      </c>
      <c r="D1044" s="23">
        <v>4</v>
      </c>
      <c r="E1044" s="23">
        <f t="shared" si="79"/>
        <v>780</v>
      </c>
      <c r="F1044" s="38" t="s">
        <v>274</v>
      </c>
      <c r="G1044" s="38" t="s">
        <v>2291</v>
      </c>
      <c r="H1044" s="25">
        <f>H1033-E1044</f>
        <v>7020</v>
      </c>
      <c r="I1044" s="43" t="s">
        <v>22</v>
      </c>
      <c r="J1044" s="25"/>
      <c r="K1044" s="23">
        <v>261002004</v>
      </c>
      <c r="L1044" s="23">
        <v>41</v>
      </c>
      <c r="M1044" s="23">
        <f>L1044-D1044</f>
        <v>37</v>
      </c>
      <c r="N1044" s="19">
        <f t="shared" si="80"/>
        <v>46289</v>
      </c>
      <c r="O1044" s="21">
        <f t="shared" si="78"/>
        <v>46653</v>
      </c>
      <c r="R1044" s="50"/>
      <c r="S1044" s="50"/>
      <c r="T1044" s="50"/>
      <c r="U1044" s="50"/>
      <c r="V1044" s="50"/>
      <c r="W1044" s="50"/>
      <c r="X1044" s="50"/>
      <c r="Y1044" s="50"/>
      <c r="Z1044" s="50"/>
      <c r="AA1044" s="50"/>
      <c r="AB1044" s="50"/>
      <c r="AC1044" s="50"/>
      <c r="AD1044" s="50"/>
      <c r="AE1044" s="50"/>
      <c r="AF1044" s="50"/>
      <c r="AG1044" s="50"/>
      <c r="AH1044" s="50"/>
      <c r="AI1044" s="50"/>
      <c r="AJ1044" s="50"/>
      <c r="AK1044" s="50"/>
      <c r="AL1044" s="50"/>
      <c r="AM1044" s="50"/>
      <c r="AN1044" s="50"/>
      <c r="AO1044" s="50"/>
      <c r="AP1044" s="50"/>
      <c r="AQ1044" s="50"/>
      <c r="AR1044" s="50"/>
      <c r="AS1044" s="50"/>
      <c r="AT1044" s="50"/>
      <c r="AU1044" s="50"/>
      <c r="AV1044" s="50"/>
      <c r="AW1044" s="50"/>
      <c r="AX1044" s="50"/>
      <c r="AY1044" s="50"/>
      <c r="AZ1044" s="50"/>
      <c r="BA1044" s="50"/>
      <c r="BB1044" s="50"/>
      <c r="BC1044" s="50"/>
      <c r="BD1044" s="50"/>
      <c r="BE1044" s="50"/>
      <c r="BF1044" s="50"/>
      <c r="BG1044" s="50"/>
      <c r="BH1044" s="50"/>
      <c r="BI1044" s="50"/>
      <c r="BJ1044" s="50"/>
      <c r="BK1044" s="50"/>
      <c r="BL1044" s="50"/>
      <c r="BM1044" s="50"/>
      <c r="BN1044" s="50"/>
      <c r="BO1044" s="50"/>
      <c r="BP1044" s="50"/>
      <c r="BQ1044" s="50"/>
      <c r="BR1044" s="50"/>
      <c r="BS1044" s="50"/>
      <c r="BT1044" s="50"/>
      <c r="BU1044" s="50"/>
      <c r="BV1044" s="50"/>
      <c r="BW1044" s="50"/>
      <c r="BX1044" s="50"/>
      <c r="BY1044" s="50"/>
      <c r="BZ1044" s="50"/>
      <c r="CA1044" s="50"/>
      <c r="CB1044" s="50"/>
      <c r="CC1044" s="50"/>
      <c r="CD1044" s="50"/>
      <c r="CE1044" s="50"/>
      <c r="CF1044" s="50"/>
      <c r="CG1044" s="50"/>
      <c r="CH1044" s="50"/>
      <c r="CI1044" s="50"/>
      <c r="CJ1044" s="50"/>
      <c r="CK1044" s="50"/>
      <c r="CL1044" s="50"/>
      <c r="CM1044" s="50"/>
      <c r="CN1044" s="50"/>
      <c r="CO1044" s="50"/>
      <c r="CP1044" s="50"/>
      <c r="CQ1044" s="50"/>
      <c r="CR1044" s="50"/>
      <c r="CS1044" s="50"/>
      <c r="CT1044" s="50"/>
      <c r="CU1044" s="50"/>
      <c r="CV1044" s="50"/>
      <c r="CW1044" s="50"/>
      <c r="CX1044" s="50"/>
      <c r="CY1044" s="50"/>
      <c r="CZ1044" s="50"/>
      <c r="DA1044" s="50"/>
      <c r="DB1044" s="50"/>
      <c r="DC1044" s="50"/>
      <c r="DD1044" s="50"/>
      <c r="DE1044" s="50"/>
      <c r="DF1044" s="50"/>
      <c r="DG1044" s="50"/>
      <c r="DH1044" s="50"/>
      <c r="DI1044" s="50"/>
      <c r="DJ1044" s="50"/>
      <c r="DK1044" s="50"/>
      <c r="DL1044" s="50"/>
      <c r="DM1044" s="50"/>
      <c r="DN1044" s="50"/>
      <c r="DO1044" s="50"/>
      <c r="DP1044" s="50"/>
      <c r="DQ1044" s="50"/>
      <c r="DR1044" s="50"/>
      <c r="DS1044" s="50"/>
      <c r="DT1044" s="50"/>
      <c r="DU1044" s="50"/>
      <c r="DV1044" s="50"/>
      <c r="DW1044" s="50"/>
      <c r="DX1044" s="50"/>
      <c r="DY1044" s="50"/>
      <c r="DZ1044" s="50"/>
      <c r="EA1044" s="50"/>
      <c r="EB1044" s="50"/>
      <c r="EC1044" s="50"/>
      <c r="ED1044" s="50"/>
      <c r="EE1044" s="50"/>
      <c r="EF1044" s="50"/>
      <c r="EG1044" s="50"/>
      <c r="EH1044" s="50"/>
      <c r="EI1044" s="50"/>
      <c r="EJ1044" s="50"/>
      <c r="EK1044" s="50"/>
      <c r="EL1044" s="50"/>
      <c r="EM1044" s="50"/>
      <c r="EN1044" s="50"/>
      <c r="EO1044" s="50"/>
      <c r="EP1044" s="50"/>
      <c r="EQ1044" s="50"/>
      <c r="ER1044" s="50"/>
      <c r="ES1044" s="50"/>
      <c r="ET1044" s="50"/>
      <c r="EU1044" s="50"/>
      <c r="EV1044" s="50"/>
      <c r="EW1044" s="50"/>
      <c r="EX1044" s="50"/>
      <c r="EY1044" s="50"/>
      <c r="EZ1044" s="50"/>
      <c r="FA1044" s="50"/>
      <c r="FB1044" s="50"/>
      <c r="FC1044" s="50"/>
      <c r="FD1044" s="50"/>
      <c r="FE1044" s="50"/>
      <c r="FF1044" s="50"/>
      <c r="FG1044" s="50"/>
      <c r="FH1044" s="50"/>
      <c r="FI1044" s="50"/>
      <c r="FJ1044" s="50"/>
      <c r="FK1044" s="50"/>
      <c r="FL1044" s="50"/>
      <c r="FM1044" s="50"/>
      <c r="FN1044" s="50"/>
      <c r="FO1044" s="50"/>
      <c r="FP1044" s="50"/>
      <c r="FQ1044" s="50"/>
      <c r="FR1044" s="50"/>
      <c r="FS1044" s="50"/>
      <c r="FT1044" s="50"/>
      <c r="FU1044" s="50"/>
      <c r="FV1044" s="50"/>
      <c r="FW1044" s="50"/>
      <c r="FX1044" s="50"/>
      <c r="FY1044" s="50"/>
      <c r="FZ1044" s="50"/>
      <c r="GA1044" s="50"/>
      <c r="GB1044" s="50"/>
      <c r="GC1044" s="50"/>
      <c r="GD1044" s="50"/>
      <c r="GE1044" s="50"/>
      <c r="GF1044" s="50"/>
      <c r="GG1044" s="50"/>
      <c r="GH1044" s="50"/>
      <c r="GI1044" s="50"/>
      <c r="GJ1044" s="50"/>
      <c r="GK1044" s="50"/>
      <c r="GL1044" s="50"/>
      <c r="GM1044" s="50"/>
      <c r="GN1044" s="50"/>
      <c r="GO1044" s="50"/>
      <c r="GP1044" s="50"/>
      <c r="GQ1044" s="50"/>
      <c r="GR1044" s="50"/>
      <c r="GS1044" s="50"/>
      <c r="GT1044" s="50"/>
      <c r="GU1044" s="50"/>
      <c r="GV1044" s="50"/>
      <c r="GW1044" s="50"/>
      <c r="GX1044" s="50"/>
      <c r="GY1044" s="50"/>
      <c r="GZ1044" s="50"/>
      <c r="HA1044" s="50"/>
      <c r="HB1044" s="50"/>
      <c r="HC1044" s="50"/>
      <c r="HD1044" s="50"/>
      <c r="HE1044" s="50"/>
      <c r="HF1044" s="50"/>
      <c r="HG1044" s="50"/>
      <c r="HH1044" s="50"/>
      <c r="HI1044" s="50"/>
      <c r="HJ1044" s="50"/>
      <c r="HK1044" s="50"/>
      <c r="HL1044" s="50"/>
      <c r="HM1044" s="50"/>
      <c r="HN1044" s="50"/>
      <c r="HO1044" s="50"/>
      <c r="HP1044" s="50"/>
      <c r="HQ1044" s="50"/>
      <c r="HR1044" s="50"/>
      <c r="HS1044" s="50"/>
      <c r="HT1044" s="50"/>
      <c r="HU1044" s="50"/>
      <c r="HV1044" s="50"/>
      <c r="HW1044" s="50"/>
      <c r="HX1044" s="50"/>
      <c r="HY1044" s="50"/>
      <c r="HZ1044" s="50"/>
      <c r="IA1044" s="50"/>
      <c r="IB1044" s="50"/>
      <c r="IC1044" s="50"/>
      <c r="ID1044" s="50"/>
      <c r="IE1044" s="50"/>
      <c r="IF1044" s="50"/>
      <c r="IG1044" s="50"/>
      <c r="IH1044" s="50"/>
      <c r="II1044" s="50"/>
      <c r="IJ1044" s="50"/>
      <c r="IK1044" s="50"/>
      <c r="IL1044" s="50"/>
      <c r="IM1044" s="50"/>
      <c r="IN1044" s="50"/>
      <c r="IO1044" s="50"/>
      <c r="IP1044" s="50"/>
      <c r="IQ1044" s="50"/>
      <c r="IR1044" s="50"/>
      <c r="IS1044" s="50"/>
      <c r="IT1044" s="50"/>
      <c r="IU1044" s="50"/>
      <c r="IV1044" s="50"/>
      <c r="IW1044" s="50"/>
      <c r="IX1044" s="50"/>
      <c r="IY1044" s="50"/>
      <c r="IZ1044" s="50"/>
      <c r="JA1044" s="50"/>
      <c r="JB1044" s="50"/>
      <c r="JC1044" s="50"/>
      <c r="JD1044" s="50"/>
      <c r="JE1044" s="50"/>
      <c r="JF1044" s="50"/>
      <c r="JG1044" s="50"/>
      <c r="JH1044" s="50"/>
      <c r="JI1044" s="50"/>
      <c r="JJ1044" s="50"/>
      <c r="JK1044" s="50"/>
      <c r="JL1044" s="50"/>
      <c r="JM1044" s="50"/>
      <c r="JN1044" s="50"/>
      <c r="JO1044" s="50"/>
      <c r="JP1044" s="50"/>
      <c r="JQ1044" s="50"/>
      <c r="JR1044" s="50"/>
      <c r="JS1044" s="50"/>
      <c r="JT1044" s="50"/>
      <c r="JU1044" s="50"/>
      <c r="JV1044" s="50"/>
      <c r="JW1044" s="50"/>
      <c r="JX1044" s="50"/>
      <c r="JY1044" s="50"/>
      <c r="JZ1044" s="50"/>
      <c r="KA1044" s="50"/>
      <c r="KB1044" s="50"/>
      <c r="KC1044" s="50"/>
      <c r="KD1044" s="50"/>
      <c r="KE1044" s="50"/>
      <c r="KF1044" s="50"/>
      <c r="KG1044" s="50"/>
      <c r="KH1044" s="50"/>
      <c r="KI1044" s="50"/>
      <c r="KJ1044" s="50"/>
      <c r="KK1044" s="50"/>
      <c r="KL1044" s="50"/>
      <c r="KM1044" s="50"/>
      <c r="KN1044" s="50"/>
      <c r="KO1044" s="50"/>
      <c r="KP1044" s="50"/>
      <c r="KQ1044" s="50"/>
      <c r="KR1044" s="50"/>
      <c r="KS1044" s="50"/>
      <c r="KT1044" s="50"/>
      <c r="KU1044" s="50"/>
      <c r="KV1044" s="50"/>
      <c r="KW1044" s="50"/>
      <c r="KX1044" s="50"/>
      <c r="KY1044" s="50"/>
      <c r="KZ1044" s="50"/>
      <c r="LA1044" s="50"/>
      <c r="LB1044" s="50"/>
      <c r="LC1044" s="50"/>
      <c r="LD1044" s="50"/>
      <c r="LE1044" s="50"/>
      <c r="LF1044" s="50"/>
      <c r="LG1044" s="50"/>
      <c r="LH1044" s="50"/>
      <c r="LI1044" s="50"/>
      <c r="LJ1044" s="50"/>
      <c r="LK1044" s="50"/>
      <c r="LL1044" s="50"/>
      <c r="LM1044" s="50"/>
      <c r="LN1044" s="50"/>
      <c r="LO1044" s="50"/>
      <c r="LP1044" s="50"/>
      <c r="LQ1044" s="50"/>
      <c r="LR1044" s="50"/>
      <c r="LS1044" s="50"/>
      <c r="LT1044" s="50"/>
      <c r="LU1044" s="50"/>
      <c r="LV1044" s="50"/>
      <c r="LW1044" s="50"/>
      <c r="LX1044" s="50"/>
      <c r="LY1044" s="50"/>
      <c r="LZ1044" s="50"/>
    </row>
    <row r="1045" spans="1:338" s="151" customFormat="1" ht="20.149999999999999" customHeight="1" x14ac:dyDescent="0.3">
      <c r="A1045" s="22">
        <v>46300</v>
      </c>
      <c r="B1045" s="22">
        <v>46301</v>
      </c>
      <c r="C1045" s="23" t="s">
        <v>2286</v>
      </c>
      <c r="D1045" s="23">
        <v>4</v>
      </c>
      <c r="E1045" s="23">
        <f t="shared" si="79"/>
        <v>780</v>
      </c>
      <c r="F1045" s="38" t="s">
        <v>274</v>
      </c>
      <c r="G1045" s="38" t="s">
        <v>2293</v>
      </c>
      <c r="H1045" s="25">
        <f>H1044-E1045</f>
        <v>6240</v>
      </c>
      <c r="I1045" s="43" t="s">
        <v>22</v>
      </c>
      <c r="J1045" s="25"/>
      <c r="K1045" s="23" t="s">
        <v>2292</v>
      </c>
      <c r="L1045" s="23">
        <v>41</v>
      </c>
      <c r="M1045" s="23">
        <f>L1045-D1045</f>
        <v>37</v>
      </c>
      <c r="N1045" s="19">
        <f t="shared" si="80"/>
        <v>46290</v>
      </c>
      <c r="O1045" s="21">
        <f t="shared" si="78"/>
        <v>46654</v>
      </c>
      <c r="R1045" s="50"/>
      <c r="S1045" s="50"/>
      <c r="T1045" s="50"/>
      <c r="U1045" s="50"/>
      <c r="V1045" s="50"/>
      <c r="W1045" s="50"/>
      <c r="X1045" s="50"/>
      <c r="Y1045" s="50"/>
      <c r="Z1045" s="50"/>
      <c r="AA1045" s="50"/>
      <c r="AB1045" s="50"/>
      <c r="AC1045" s="50"/>
      <c r="AD1045" s="50"/>
      <c r="AE1045" s="50"/>
      <c r="AF1045" s="50"/>
      <c r="AG1045" s="50"/>
      <c r="AH1045" s="50"/>
      <c r="AI1045" s="50"/>
      <c r="AJ1045" s="50"/>
      <c r="AK1045" s="50"/>
      <c r="AL1045" s="50"/>
      <c r="AM1045" s="50"/>
      <c r="AN1045" s="50"/>
      <c r="AO1045" s="50"/>
      <c r="AP1045" s="50"/>
      <c r="AQ1045" s="50"/>
      <c r="AR1045" s="50"/>
      <c r="AS1045" s="50"/>
      <c r="AT1045" s="50"/>
      <c r="AU1045" s="50"/>
      <c r="AV1045" s="50"/>
      <c r="AW1045" s="50"/>
      <c r="AX1045" s="50"/>
      <c r="AY1045" s="50"/>
      <c r="AZ1045" s="50"/>
      <c r="BA1045" s="50"/>
      <c r="BB1045" s="50"/>
      <c r="BC1045" s="50"/>
      <c r="BD1045" s="50"/>
      <c r="BE1045" s="50"/>
      <c r="BF1045" s="50"/>
      <c r="BG1045" s="50"/>
      <c r="BH1045" s="50"/>
      <c r="BI1045" s="50"/>
      <c r="BJ1045" s="50"/>
      <c r="BK1045" s="50"/>
      <c r="BL1045" s="50"/>
      <c r="BM1045" s="50"/>
      <c r="BN1045" s="50"/>
      <c r="BO1045" s="50"/>
      <c r="BP1045" s="50"/>
      <c r="BQ1045" s="50"/>
      <c r="BR1045" s="50"/>
      <c r="BS1045" s="50"/>
      <c r="BT1045" s="50"/>
      <c r="BU1045" s="50"/>
      <c r="BV1045" s="50"/>
      <c r="BW1045" s="50"/>
      <c r="BX1045" s="50"/>
      <c r="BY1045" s="50"/>
      <c r="BZ1045" s="50"/>
      <c r="CA1045" s="50"/>
      <c r="CB1045" s="50"/>
      <c r="CC1045" s="50"/>
      <c r="CD1045" s="50"/>
      <c r="CE1045" s="50"/>
      <c r="CF1045" s="50"/>
      <c r="CG1045" s="50"/>
      <c r="CH1045" s="50"/>
      <c r="CI1045" s="50"/>
      <c r="CJ1045" s="50"/>
      <c r="CK1045" s="50"/>
      <c r="CL1045" s="50"/>
      <c r="CM1045" s="50"/>
      <c r="CN1045" s="50"/>
      <c r="CO1045" s="50"/>
      <c r="CP1045" s="50"/>
      <c r="CQ1045" s="50"/>
      <c r="CR1045" s="50"/>
      <c r="CS1045" s="50"/>
      <c r="CT1045" s="50"/>
      <c r="CU1045" s="50"/>
      <c r="CV1045" s="50"/>
      <c r="CW1045" s="50"/>
      <c r="CX1045" s="50"/>
      <c r="CY1045" s="50"/>
      <c r="CZ1045" s="50"/>
      <c r="DA1045" s="50"/>
      <c r="DB1045" s="50"/>
      <c r="DC1045" s="50"/>
      <c r="DD1045" s="50"/>
      <c r="DE1045" s="50"/>
      <c r="DF1045" s="50"/>
      <c r="DG1045" s="50"/>
      <c r="DH1045" s="50"/>
      <c r="DI1045" s="50"/>
      <c r="DJ1045" s="50"/>
      <c r="DK1045" s="50"/>
      <c r="DL1045" s="50"/>
      <c r="DM1045" s="50"/>
      <c r="DN1045" s="50"/>
      <c r="DO1045" s="50"/>
      <c r="DP1045" s="50"/>
      <c r="DQ1045" s="50"/>
      <c r="DR1045" s="50"/>
      <c r="DS1045" s="50"/>
      <c r="DT1045" s="50"/>
      <c r="DU1045" s="50"/>
      <c r="DV1045" s="50"/>
      <c r="DW1045" s="50"/>
      <c r="DX1045" s="50"/>
      <c r="DY1045" s="50"/>
      <c r="DZ1045" s="50"/>
      <c r="EA1045" s="50"/>
      <c r="EB1045" s="50"/>
      <c r="EC1045" s="50"/>
      <c r="ED1045" s="50"/>
      <c r="EE1045" s="50"/>
      <c r="EF1045" s="50"/>
      <c r="EG1045" s="50"/>
      <c r="EH1045" s="50"/>
      <c r="EI1045" s="50"/>
      <c r="EJ1045" s="50"/>
      <c r="EK1045" s="50"/>
      <c r="EL1045" s="50"/>
      <c r="EM1045" s="50"/>
      <c r="EN1045" s="50"/>
      <c r="EO1045" s="50"/>
      <c r="EP1045" s="50"/>
      <c r="EQ1045" s="50"/>
      <c r="ER1045" s="50"/>
      <c r="ES1045" s="50"/>
      <c r="ET1045" s="50"/>
      <c r="EU1045" s="50"/>
      <c r="EV1045" s="50"/>
      <c r="EW1045" s="50"/>
      <c r="EX1045" s="50"/>
      <c r="EY1045" s="50"/>
      <c r="EZ1045" s="50"/>
      <c r="FA1045" s="50"/>
      <c r="FB1045" s="50"/>
      <c r="FC1045" s="50"/>
      <c r="FD1045" s="50"/>
      <c r="FE1045" s="50"/>
      <c r="FF1045" s="50"/>
      <c r="FG1045" s="50"/>
      <c r="FH1045" s="50"/>
      <c r="FI1045" s="50"/>
      <c r="FJ1045" s="50"/>
      <c r="FK1045" s="50"/>
      <c r="FL1045" s="50"/>
      <c r="FM1045" s="50"/>
      <c r="FN1045" s="50"/>
      <c r="FO1045" s="50"/>
      <c r="FP1045" s="50"/>
      <c r="FQ1045" s="50"/>
      <c r="FR1045" s="50"/>
      <c r="FS1045" s="50"/>
      <c r="FT1045" s="50"/>
      <c r="FU1045" s="50"/>
      <c r="FV1045" s="50"/>
      <c r="FW1045" s="50"/>
      <c r="FX1045" s="50"/>
      <c r="FY1045" s="50"/>
      <c r="FZ1045" s="50"/>
      <c r="GA1045" s="50"/>
      <c r="GB1045" s="50"/>
      <c r="GC1045" s="50"/>
      <c r="GD1045" s="50"/>
      <c r="GE1045" s="50"/>
      <c r="GF1045" s="50"/>
      <c r="GG1045" s="50"/>
      <c r="GH1045" s="50"/>
      <c r="GI1045" s="50"/>
      <c r="GJ1045" s="50"/>
      <c r="GK1045" s="50"/>
      <c r="GL1045" s="50"/>
      <c r="GM1045" s="50"/>
      <c r="GN1045" s="50"/>
      <c r="GO1045" s="50"/>
      <c r="GP1045" s="50"/>
      <c r="GQ1045" s="50"/>
      <c r="GR1045" s="50"/>
      <c r="GS1045" s="50"/>
      <c r="GT1045" s="50"/>
      <c r="GU1045" s="50"/>
      <c r="GV1045" s="50"/>
      <c r="GW1045" s="50"/>
      <c r="GX1045" s="50"/>
      <c r="GY1045" s="50"/>
      <c r="GZ1045" s="50"/>
      <c r="HA1045" s="50"/>
      <c r="HB1045" s="50"/>
      <c r="HC1045" s="50"/>
      <c r="HD1045" s="50"/>
      <c r="HE1045" s="50"/>
      <c r="HF1045" s="50"/>
      <c r="HG1045" s="50"/>
      <c r="HH1045" s="50"/>
      <c r="HI1045" s="50"/>
      <c r="HJ1045" s="50"/>
      <c r="HK1045" s="50"/>
      <c r="HL1045" s="50"/>
      <c r="HM1045" s="50"/>
      <c r="HN1045" s="50"/>
      <c r="HO1045" s="50"/>
      <c r="HP1045" s="50"/>
      <c r="HQ1045" s="50"/>
      <c r="HR1045" s="50"/>
      <c r="HS1045" s="50"/>
      <c r="HT1045" s="50"/>
      <c r="HU1045" s="50"/>
      <c r="HV1045" s="50"/>
      <c r="HW1045" s="50"/>
      <c r="HX1045" s="50"/>
      <c r="HY1045" s="50"/>
      <c r="HZ1045" s="50"/>
      <c r="IA1045" s="50"/>
      <c r="IB1045" s="50"/>
      <c r="IC1045" s="50"/>
      <c r="ID1045" s="50"/>
      <c r="IE1045" s="50"/>
      <c r="IF1045" s="50"/>
      <c r="IG1045" s="50"/>
      <c r="IH1045" s="50"/>
      <c r="II1045" s="50"/>
      <c r="IJ1045" s="50"/>
      <c r="IK1045" s="50"/>
      <c r="IL1045" s="50"/>
      <c r="IM1045" s="50"/>
      <c r="IN1045" s="50"/>
      <c r="IO1045" s="50"/>
      <c r="IP1045" s="50"/>
      <c r="IQ1045" s="50"/>
      <c r="IR1045" s="50"/>
      <c r="IS1045" s="50"/>
      <c r="IT1045" s="50"/>
      <c r="IU1045" s="50"/>
      <c r="IV1045" s="50"/>
      <c r="IW1045" s="50"/>
      <c r="IX1045" s="50"/>
      <c r="IY1045" s="50"/>
      <c r="IZ1045" s="50"/>
      <c r="JA1045" s="50"/>
      <c r="JB1045" s="50"/>
      <c r="JC1045" s="50"/>
      <c r="JD1045" s="50"/>
      <c r="JE1045" s="50"/>
      <c r="JF1045" s="50"/>
      <c r="JG1045" s="50"/>
      <c r="JH1045" s="50"/>
      <c r="JI1045" s="50"/>
      <c r="JJ1045" s="50"/>
      <c r="JK1045" s="50"/>
      <c r="JL1045" s="50"/>
      <c r="JM1045" s="50"/>
      <c r="JN1045" s="50"/>
      <c r="JO1045" s="50"/>
      <c r="JP1045" s="50"/>
      <c r="JQ1045" s="50"/>
      <c r="JR1045" s="50"/>
      <c r="JS1045" s="50"/>
      <c r="JT1045" s="50"/>
      <c r="JU1045" s="50"/>
      <c r="JV1045" s="50"/>
      <c r="JW1045" s="50"/>
      <c r="JX1045" s="50"/>
      <c r="JY1045" s="50"/>
      <c r="JZ1045" s="50"/>
      <c r="KA1045" s="50"/>
      <c r="KB1045" s="50"/>
      <c r="KC1045" s="50"/>
      <c r="KD1045" s="50"/>
      <c r="KE1045" s="50"/>
      <c r="KF1045" s="50"/>
      <c r="KG1045" s="50"/>
      <c r="KH1045" s="50"/>
      <c r="KI1045" s="50"/>
      <c r="KJ1045" s="50"/>
      <c r="KK1045" s="50"/>
      <c r="KL1045" s="50"/>
      <c r="KM1045" s="50"/>
      <c r="KN1045" s="50"/>
      <c r="KO1045" s="50"/>
      <c r="KP1045" s="50"/>
      <c r="KQ1045" s="50"/>
      <c r="KR1045" s="50"/>
      <c r="KS1045" s="50"/>
      <c r="KT1045" s="50"/>
      <c r="KU1045" s="50"/>
      <c r="KV1045" s="50"/>
      <c r="KW1045" s="50"/>
      <c r="KX1045" s="50"/>
      <c r="KY1045" s="50"/>
      <c r="KZ1045" s="50"/>
      <c r="LA1045" s="50"/>
      <c r="LB1045" s="50"/>
      <c r="LC1045" s="50"/>
      <c r="LD1045" s="50"/>
      <c r="LE1045" s="50"/>
      <c r="LF1045" s="50"/>
      <c r="LG1045" s="50"/>
      <c r="LH1045" s="50"/>
      <c r="LI1045" s="50"/>
      <c r="LJ1045" s="50"/>
      <c r="LK1045" s="50"/>
      <c r="LL1045" s="50"/>
      <c r="LM1045" s="50"/>
      <c r="LN1045" s="50"/>
      <c r="LO1045" s="50"/>
      <c r="LP1045" s="50"/>
      <c r="LQ1045" s="50"/>
      <c r="LR1045" s="50"/>
      <c r="LS1045" s="50"/>
      <c r="LT1045" s="50"/>
      <c r="LU1045" s="50"/>
      <c r="LV1045" s="50"/>
      <c r="LW1045" s="50"/>
      <c r="LX1045" s="50"/>
      <c r="LY1045" s="50"/>
      <c r="LZ1045" s="50"/>
    </row>
    <row r="1046" spans="1:338" ht="20.149999999999999" customHeight="1" x14ac:dyDescent="0.2">
      <c r="A1046" s="33">
        <v>46300</v>
      </c>
      <c r="B1046" s="33">
        <v>46301</v>
      </c>
      <c r="C1046" s="34" t="s">
        <v>2281</v>
      </c>
      <c r="D1046" s="34">
        <v>8</v>
      </c>
      <c r="E1046" s="34">
        <f t="shared" si="79"/>
        <v>1560</v>
      </c>
      <c r="F1046" s="145" t="s">
        <v>444</v>
      </c>
      <c r="G1046" s="39" t="s">
        <v>2294</v>
      </c>
      <c r="H1046" s="35">
        <f>H1036-E1046</f>
        <v>114980</v>
      </c>
      <c r="I1046" s="35"/>
      <c r="J1046" s="35"/>
      <c r="K1046" s="34">
        <v>261002005</v>
      </c>
      <c r="L1046" s="34"/>
      <c r="M1046" s="34">
        <f>M1040-D1046</f>
        <v>21</v>
      </c>
      <c r="N1046" s="19">
        <f t="shared" si="80"/>
        <v>46241</v>
      </c>
      <c r="O1046" s="21">
        <f t="shared" si="78"/>
        <v>46605</v>
      </c>
    </row>
  </sheetData>
  <autoFilter ref="A2:Q1046">
    <filterColumn colId="0">
      <filters>
        <dateGroupItem year="2026" month="10" day="5" dateTimeGrouping="day"/>
      </filters>
    </filterColumn>
  </autoFilter>
  <mergeCells count="1">
    <mergeCell ref="J1:K1"/>
  </mergeCells>
  <phoneticPr fontId="3" type="noConversion"/>
  <pageMargins left="0.25" right="0.25" top="0.75" bottom="0.75" header="0.3" footer="0.3"/>
  <pageSetup paperSize="9" scale="88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pageSetUpPr fitToPage="1"/>
  </sheetPr>
  <dimension ref="A1:LZ470"/>
  <sheetViews>
    <sheetView tabSelected="1" zoomScaleNormal="100" workbookViewId="0">
      <pane ySplit="2" topLeftCell="A3" activePane="bottomLeft" state="frozen"/>
      <selection pane="bottomLeft" activeCell="C470" sqref="C470"/>
    </sheetView>
  </sheetViews>
  <sheetFormatPr defaultColWidth="9" defaultRowHeight="20.149999999999999" customHeight="1" x14ac:dyDescent="0.2"/>
  <cols>
    <col min="1" max="2" width="7.125" style="44" customWidth="1"/>
    <col min="3" max="3" width="14.125" style="45" customWidth="1"/>
    <col min="4" max="4" width="6.5" style="45" customWidth="1"/>
    <col min="5" max="5" width="9.25" style="45" customWidth="1"/>
    <col min="6" max="6" width="9.625" style="45" customWidth="1"/>
    <col min="7" max="7" width="17" style="45" customWidth="1"/>
    <col min="8" max="9" width="8.625" style="46" customWidth="1"/>
    <col min="10" max="10" width="26.875" style="46" customWidth="1"/>
    <col min="11" max="11" width="14.125" style="45" customWidth="1"/>
    <col min="12" max="13" width="6.5" style="45" customWidth="1"/>
    <col min="14" max="14" width="8" style="19" customWidth="1"/>
    <col min="15" max="15" width="11.125" style="21" customWidth="1"/>
    <col min="16" max="17" width="9" style="7"/>
    <col min="18" max="338" width="9" style="50"/>
    <col min="339" max="16384" width="9" style="7"/>
  </cols>
  <sheetData>
    <row r="1" spans="1:338" ht="24.05" customHeight="1" x14ac:dyDescent="0.25">
      <c r="A1" s="47"/>
      <c r="B1" s="48" t="s">
        <v>50</v>
      </c>
      <c r="C1" s="49"/>
      <c r="D1" s="49"/>
      <c r="E1" s="49"/>
      <c r="F1" s="49"/>
      <c r="G1" s="49"/>
      <c r="H1" s="49"/>
      <c r="I1" s="49"/>
      <c r="J1" s="213"/>
      <c r="K1" s="213"/>
      <c r="L1" s="49"/>
      <c r="M1" s="49"/>
      <c r="N1" s="3"/>
      <c r="O1" s="4"/>
      <c r="P1" s="204" t="s">
        <v>2104</v>
      </c>
      <c r="R1" s="196"/>
      <c r="T1" s="196" t="s">
        <v>2103</v>
      </c>
    </row>
    <row r="2" spans="1:338" s="18" customFormat="1" ht="20.149999999999999" customHeight="1" x14ac:dyDescent="0.25">
      <c r="A2" s="51" t="s">
        <v>3</v>
      </c>
      <c r="B2" s="52" t="s">
        <v>4</v>
      </c>
      <c r="C2" s="53" t="s">
        <v>5</v>
      </c>
      <c r="D2" s="54" t="s">
        <v>6</v>
      </c>
      <c r="E2" s="55" t="s">
        <v>7</v>
      </c>
      <c r="F2" s="54" t="s">
        <v>21</v>
      </c>
      <c r="G2" s="53" t="s">
        <v>10</v>
      </c>
      <c r="H2" s="56" t="s">
        <v>11</v>
      </c>
      <c r="I2" s="56" t="s">
        <v>22</v>
      </c>
      <c r="J2" s="54" t="s">
        <v>13</v>
      </c>
      <c r="K2" s="54" t="s">
        <v>14</v>
      </c>
      <c r="L2" s="53" t="s">
        <v>15</v>
      </c>
      <c r="M2" s="53" t="s">
        <v>16</v>
      </c>
      <c r="N2" s="3" t="s">
        <v>23</v>
      </c>
      <c r="O2" s="57" t="s">
        <v>18</v>
      </c>
      <c r="P2" s="58" t="s">
        <v>24</v>
      </c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59"/>
      <c r="EI2" s="59"/>
      <c r="EJ2" s="59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59"/>
      <c r="EX2" s="59"/>
      <c r="EY2" s="59"/>
      <c r="EZ2" s="59"/>
      <c r="FA2" s="59"/>
      <c r="FB2" s="59"/>
      <c r="FC2" s="59"/>
      <c r="FD2" s="59"/>
      <c r="FE2" s="59"/>
      <c r="FF2" s="59"/>
      <c r="FG2" s="59"/>
      <c r="FH2" s="59"/>
      <c r="FI2" s="59"/>
      <c r="FJ2" s="59"/>
      <c r="FK2" s="59"/>
      <c r="FL2" s="59"/>
      <c r="FM2" s="59"/>
      <c r="FN2" s="59"/>
      <c r="FO2" s="59"/>
      <c r="FP2" s="59"/>
      <c r="FQ2" s="59"/>
      <c r="FR2" s="59"/>
      <c r="FS2" s="59"/>
      <c r="FT2" s="59"/>
      <c r="FU2" s="59"/>
      <c r="FV2" s="59"/>
      <c r="FW2" s="59"/>
      <c r="FX2" s="59"/>
      <c r="FY2" s="59"/>
      <c r="FZ2" s="59"/>
      <c r="GA2" s="59"/>
      <c r="GB2" s="59"/>
      <c r="GC2" s="59"/>
      <c r="GD2" s="59"/>
      <c r="GE2" s="59"/>
      <c r="GF2" s="59"/>
      <c r="GG2" s="59"/>
      <c r="GH2" s="59"/>
      <c r="GI2" s="59"/>
      <c r="GJ2" s="59"/>
      <c r="GK2" s="59"/>
      <c r="GL2" s="59"/>
      <c r="GM2" s="59"/>
      <c r="GN2" s="59"/>
      <c r="GO2" s="59"/>
      <c r="GP2" s="59"/>
      <c r="GQ2" s="59"/>
      <c r="GR2" s="59"/>
      <c r="GS2" s="59"/>
      <c r="GT2" s="59"/>
      <c r="GU2" s="59"/>
      <c r="GV2" s="59"/>
      <c r="GW2" s="59"/>
      <c r="GX2" s="59"/>
      <c r="GY2" s="59"/>
      <c r="GZ2" s="59"/>
      <c r="HA2" s="59"/>
      <c r="HB2" s="59"/>
      <c r="HC2" s="59"/>
      <c r="HD2" s="59"/>
      <c r="HE2" s="59"/>
      <c r="HF2" s="59"/>
      <c r="HG2" s="59"/>
      <c r="HH2" s="59"/>
      <c r="HI2" s="59"/>
      <c r="HJ2" s="59"/>
      <c r="HK2" s="59"/>
      <c r="HL2" s="59"/>
      <c r="HM2" s="59"/>
      <c r="HN2" s="59"/>
      <c r="HO2" s="59"/>
      <c r="HP2" s="59"/>
      <c r="HQ2" s="59"/>
      <c r="HR2" s="59"/>
      <c r="HS2" s="59"/>
      <c r="HT2" s="59"/>
      <c r="HU2" s="59"/>
      <c r="HV2" s="59"/>
      <c r="HW2" s="59"/>
      <c r="HX2" s="59"/>
      <c r="HY2" s="59"/>
      <c r="HZ2" s="59"/>
      <c r="IA2" s="59"/>
      <c r="IB2" s="59"/>
      <c r="IC2" s="59"/>
      <c r="ID2" s="59"/>
      <c r="IE2" s="59"/>
      <c r="IF2" s="59"/>
      <c r="IG2" s="59"/>
      <c r="IH2" s="59"/>
      <c r="II2" s="59"/>
      <c r="IJ2" s="59"/>
      <c r="IK2" s="59"/>
      <c r="IL2" s="59"/>
      <c r="IM2" s="59"/>
      <c r="IN2" s="59"/>
      <c r="IO2" s="59"/>
      <c r="IP2" s="59"/>
      <c r="IQ2" s="59"/>
      <c r="IR2" s="59"/>
      <c r="IS2" s="59"/>
      <c r="IT2" s="59"/>
      <c r="IU2" s="59"/>
      <c r="IV2" s="59"/>
      <c r="IW2" s="59"/>
      <c r="IX2" s="59"/>
      <c r="IY2" s="59"/>
      <c r="IZ2" s="59"/>
      <c r="JA2" s="59"/>
      <c r="JB2" s="59"/>
      <c r="JC2" s="59"/>
      <c r="JD2" s="59"/>
      <c r="JE2" s="59"/>
      <c r="JF2" s="59"/>
      <c r="JG2" s="59"/>
      <c r="JH2" s="59"/>
      <c r="JI2" s="59"/>
      <c r="JJ2" s="59"/>
      <c r="JK2" s="59"/>
      <c r="JL2" s="59"/>
      <c r="JM2" s="59"/>
      <c r="JN2" s="59"/>
      <c r="JO2" s="59"/>
      <c r="JP2" s="59"/>
      <c r="JQ2" s="59"/>
      <c r="JR2" s="59"/>
      <c r="JS2" s="59"/>
      <c r="JT2" s="59"/>
      <c r="JU2" s="59"/>
      <c r="JV2" s="59"/>
      <c r="JW2" s="59"/>
      <c r="JX2" s="59"/>
      <c r="JY2" s="59"/>
      <c r="JZ2" s="59"/>
      <c r="KA2" s="59"/>
      <c r="KB2" s="59"/>
      <c r="KC2" s="59"/>
      <c r="KD2" s="59"/>
      <c r="KE2" s="59"/>
      <c r="KF2" s="59"/>
      <c r="KG2" s="59"/>
      <c r="KH2" s="59"/>
      <c r="KI2" s="59"/>
      <c r="KJ2" s="59"/>
      <c r="KK2" s="59"/>
      <c r="KL2" s="59"/>
      <c r="KM2" s="59"/>
      <c r="KN2" s="59"/>
      <c r="KO2" s="59"/>
      <c r="KP2" s="59"/>
      <c r="KQ2" s="59"/>
      <c r="KR2" s="59"/>
      <c r="KS2" s="59"/>
      <c r="KT2" s="59"/>
      <c r="KU2" s="59"/>
      <c r="KV2" s="59"/>
      <c r="KW2" s="59"/>
      <c r="KX2" s="59"/>
      <c r="KY2" s="59"/>
      <c r="KZ2" s="59"/>
      <c r="LA2" s="59"/>
      <c r="LB2" s="59"/>
      <c r="LC2" s="59"/>
      <c r="LD2" s="59"/>
      <c r="LE2" s="59"/>
      <c r="LF2" s="59"/>
      <c r="LG2" s="59"/>
      <c r="LH2" s="59"/>
      <c r="LI2" s="59"/>
      <c r="LJ2" s="59"/>
      <c r="LK2" s="59"/>
      <c r="LL2" s="59"/>
      <c r="LM2" s="59"/>
      <c r="LN2" s="59"/>
      <c r="LO2" s="59"/>
      <c r="LP2" s="59"/>
      <c r="LQ2" s="59"/>
      <c r="LR2" s="59"/>
      <c r="LS2" s="59"/>
      <c r="LT2" s="59"/>
      <c r="LU2" s="59"/>
      <c r="LV2" s="59"/>
      <c r="LW2" s="59"/>
      <c r="LX2" s="59"/>
      <c r="LY2" s="59"/>
      <c r="LZ2" s="59"/>
    </row>
    <row r="3" spans="1:338" ht="20.149999999999999" hidden="1" customHeight="1" x14ac:dyDescent="0.2">
      <c r="A3" s="29">
        <v>46024</v>
      </c>
      <c r="B3" s="29">
        <v>46024</v>
      </c>
      <c r="C3" s="30" t="s">
        <v>58</v>
      </c>
      <c r="D3" s="37">
        <v>12</v>
      </c>
      <c r="E3" s="30">
        <f t="shared" ref="E3:E10" si="0">D3*195</f>
        <v>2340</v>
      </c>
      <c r="F3" s="37" t="s">
        <v>26</v>
      </c>
      <c r="G3" s="37" t="s">
        <v>63</v>
      </c>
      <c r="H3" s="32">
        <f>12480-E3</f>
        <v>10140</v>
      </c>
      <c r="I3" s="32"/>
      <c r="J3" s="32"/>
      <c r="K3" s="30">
        <v>251231004</v>
      </c>
      <c r="L3" s="30"/>
      <c r="M3" s="30">
        <f>33-D3</f>
        <v>21</v>
      </c>
      <c r="N3" s="19">
        <v>45989</v>
      </c>
      <c r="O3" s="21">
        <f t="shared" ref="O3:O8" si="1">DATE(YEAR(N3)+1,MONTH(N3),DAY(N3))-1</f>
        <v>46353</v>
      </c>
    </row>
    <row r="4" spans="1:338" ht="20.149999999999999" hidden="1" customHeight="1" x14ac:dyDescent="0.25">
      <c r="A4" s="26">
        <v>46027</v>
      </c>
      <c r="B4" s="26">
        <v>46028</v>
      </c>
      <c r="C4" s="27" t="s">
        <v>41</v>
      </c>
      <c r="D4" s="27">
        <v>8</v>
      </c>
      <c r="E4" s="27">
        <f t="shared" si="0"/>
        <v>1560</v>
      </c>
      <c r="F4" s="153" t="s">
        <v>615</v>
      </c>
      <c r="G4" s="36" t="s">
        <v>52</v>
      </c>
      <c r="H4" s="28">
        <f>3120-E4</f>
        <v>1560</v>
      </c>
      <c r="I4" s="28"/>
      <c r="J4" s="28"/>
      <c r="K4" s="27">
        <v>260102003</v>
      </c>
      <c r="L4" s="27"/>
      <c r="M4" s="27">
        <f>M3-D4</f>
        <v>13</v>
      </c>
      <c r="N4" s="19">
        <v>45989</v>
      </c>
      <c r="O4" s="21">
        <f t="shared" si="1"/>
        <v>46353</v>
      </c>
    </row>
    <row r="5" spans="1:338" ht="20.149999999999999" hidden="1" customHeight="1" x14ac:dyDescent="0.25">
      <c r="A5" s="26">
        <v>46027</v>
      </c>
      <c r="B5" s="26">
        <v>46028</v>
      </c>
      <c r="C5" s="27" t="s">
        <v>71</v>
      </c>
      <c r="D5" s="27">
        <v>4</v>
      </c>
      <c r="E5" s="27">
        <f t="shared" si="0"/>
        <v>780</v>
      </c>
      <c r="F5" s="153" t="s">
        <v>615</v>
      </c>
      <c r="G5" s="36" t="s">
        <v>52</v>
      </c>
      <c r="H5" s="28">
        <f>H4-E5</f>
        <v>780</v>
      </c>
      <c r="I5" s="61" t="s">
        <v>25</v>
      </c>
      <c r="J5" s="28"/>
      <c r="K5" s="27">
        <v>260102003</v>
      </c>
      <c r="L5" s="27">
        <v>41</v>
      </c>
      <c r="M5" s="27">
        <f>L5-D5</f>
        <v>37</v>
      </c>
      <c r="N5" s="19">
        <v>46012</v>
      </c>
      <c r="O5" s="21">
        <f t="shared" si="1"/>
        <v>46376</v>
      </c>
    </row>
    <row r="6" spans="1:338" ht="20.149999999999999" hidden="1" customHeight="1" x14ac:dyDescent="0.25">
      <c r="A6" s="26">
        <v>46027</v>
      </c>
      <c r="B6" s="26">
        <v>46028</v>
      </c>
      <c r="C6" s="27" t="s">
        <v>72</v>
      </c>
      <c r="D6" s="27">
        <v>4</v>
      </c>
      <c r="E6" s="27">
        <f t="shared" si="0"/>
        <v>780</v>
      </c>
      <c r="F6" s="153" t="s">
        <v>615</v>
      </c>
      <c r="G6" s="36" t="s">
        <v>52</v>
      </c>
      <c r="H6" s="28">
        <f>H5-E6</f>
        <v>0</v>
      </c>
      <c r="I6" s="61" t="s">
        <v>25</v>
      </c>
      <c r="J6" s="28"/>
      <c r="K6" s="27">
        <v>260102003</v>
      </c>
      <c r="L6" s="27">
        <v>41</v>
      </c>
      <c r="M6" s="27">
        <f>L6-D6</f>
        <v>37</v>
      </c>
      <c r="N6" s="19">
        <v>46017</v>
      </c>
      <c r="O6" s="21">
        <f t="shared" si="1"/>
        <v>46381</v>
      </c>
    </row>
    <row r="7" spans="1:338" ht="20.149999999999999" hidden="1" customHeight="1" x14ac:dyDescent="0.25">
      <c r="A7" s="22">
        <v>46027</v>
      </c>
      <c r="B7" s="22">
        <v>46028</v>
      </c>
      <c r="C7" s="23" t="s">
        <v>41</v>
      </c>
      <c r="D7" s="23">
        <v>13</v>
      </c>
      <c r="E7" s="23">
        <f t="shared" si="0"/>
        <v>2535</v>
      </c>
      <c r="F7" s="154" t="s">
        <v>614</v>
      </c>
      <c r="G7" s="38" t="s">
        <v>45</v>
      </c>
      <c r="H7" s="25">
        <f>8580-E7</f>
        <v>6045</v>
      </c>
      <c r="I7" s="25"/>
      <c r="J7" s="25"/>
      <c r="K7" s="23">
        <v>260102004</v>
      </c>
      <c r="L7" s="23"/>
      <c r="M7" s="23">
        <f>M4-D7</f>
        <v>0</v>
      </c>
      <c r="N7" s="19">
        <v>45989</v>
      </c>
      <c r="O7" s="21">
        <f t="shared" si="1"/>
        <v>46353</v>
      </c>
    </row>
    <row r="8" spans="1:338" ht="20.149999999999999" hidden="1" customHeight="1" x14ac:dyDescent="0.25">
      <c r="A8" s="22">
        <v>46027</v>
      </c>
      <c r="B8" s="22">
        <v>46028</v>
      </c>
      <c r="C8" s="23" t="s">
        <v>46</v>
      </c>
      <c r="D8" s="23">
        <v>3</v>
      </c>
      <c r="E8" s="23">
        <f t="shared" si="0"/>
        <v>585</v>
      </c>
      <c r="F8" s="154" t="s">
        <v>616</v>
      </c>
      <c r="G8" s="38" t="s">
        <v>82</v>
      </c>
      <c r="H8" s="25">
        <f>H7-E8</f>
        <v>5460</v>
      </c>
      <c r="I8" s="25"/>
      <c r="J8" s="25"/>
      <c r="K8" s="23">
        <v>260102004</v>
      </c>
      <c r="L8" s="23"/>
      <c r="M8" s="23">
        <f>37-D8</f>
        <v>34</v>
      </c>
      <c r="N8" s="19">
        <v>45990</v>
      </c>
      <c r="O8" s="21">
        <f t="shared" si="1"/>
        <v>46354</v>
      </c>
    </row>
    <row r="9" spans="1:338" ht="20.149999999999999" hidden="1" customHeight="1" x14ac:dyDescent="0.25">
      <c r="A9" s="40">
        <v>46030</v>
      </c>
      <c r="B9" s="40">
        <v>46031</v>
      </c>
      <c r="C9" s="41" t="s">
        <v>46</v>
      </c>
      <c r="D9" s="41">
        <v>12</v>
      </c>
      <c r="E9" s="41">
        <f t="shared" si="0"/>
        <v>2340</v>
      </c>
      <c r="F9" s="152" t="s">
        <v>617</v>
      </c>
      <c r="G9" s="62" t="s">
        <v>97</v>
      </c>
      <c r="H9" s="42">
        <f>100000-E9</f>
        <v>97660</v>
      </c>
      <c r="I9" s="42"/>
      <c r="J9" s="42"/>
      <c r="K9" s="41">
        <v>260107005</v>
      </c>
      <c r="L9" s="41"/>
      <c r="M9" s="41">
        <f>M8-D9</f>
        <v>22</v>
      </c>
      <c r="N9" s="19">
        <v>45990</v>
      </c>
      <c r="O9" s="21">
        <f t="shared" ref="O9:O23" si="2">DATE(YEAR(N9)+1,MONTH(N9),DAY(N9))-1</f>
        <v>46354</v>
      </c>
    </row>
    <row r="10" spans="1:338" ht="20.149999999999999" hidden="1" customHeight="1" x14ac:dyDescent="0.25">
      <c r="A10" s="33">
        <v>46030</v>
      </c>
      <c r="B10" s="33">
        <v>46031</v>
      </c>
      <c r="C10" s="34" t="s">
        <v>46</v>
      </c>
      <c r="D10" s="34">
        <v>8</v>
      </c>
      <c r="E10" s="34">
        <f t="shared" si="0"/>
        <v>1560</v>
      </c>
      <c r="F10" s="155" t="s">
        <v>616</v>
      </c>
      <c r="G10" s="39" t="s">
        <v>101</v>
      </c>
      <c r="H10" s="35">
        <f>H8-E10</f>
        <v>3900</v>
      </c>
      <c r="I10" s="35"/>
      <c r="J10" s="35"/>
      <c r="K10" s="34">
        <v>260107006</v>
      </c>
      <c r="L10" s="34"/>
      <c r="M10" s="34">
        <f>M9-D10</f>
        <v>14</v>
      </c>
      <c r="N10" s="19">
        <v>45990</v>
      </c>
      <c r="O10" s="21">
        <f t="shared" si="2"/>
        <v>46354</v>
      </c>
    </row>
    <row r="11" spans="1:338" ht="20.149999999999999" hidden="1" customHeight="1" x14ac:dyDescent="0.25">
      <c r="A11" s="26">
        <v>46031</v>
      </c>
      <c r="B11" s="26">
        <v>46034</v>
      </c>
      <c r="C11" s="27" t="s">
        <v>46</v>
      </c>
      <c r="D11" s="27">
        <v>12</v>
      </c>
      <c r="E11" s="27">
        <f>D11*195</f>
        <v>2340</v>
      </c>
      <c r="F11" s="153" t="s">
        <v>618</v>
      </c>
      <c r="G11" s="27" t="s">
        <v>105</v>
      </c>
      <c r="H11" s="28">
        <f>35880-E11</f>
        <v>33540</v>
      </c>
      <c r="I11" s="28"/>
      <c r="J11" s="28"/>
      <c r="K11" s="27">
        <v>260108005</v>
      </c>
      <c r="L11" s="27"/>
      <c r="M11" s="27">
        <f>M10-D11</f>
        <v>2</v>
      </c>
      <c r="N11" s="19">
        <v>45990</v>
      </c>
      <c r="O11" s="21">
        <f t="shared" si="2"/>
        <v>46354</v>
      </c>
    </row>
    <row r="12" spans="1:338" ht="20.149999999999999" hidden="1" customHeight="1" x14ac:dyDescent="0.25">
      <c r="A12" s="22">
        <v>46056</v>
      </c>
      <c r="B12" s="22">
        <v>46057</v>
      </c>
      <c r="C12" s="23" t="s">
        <v>376</v>
      </c>
      <c r="D12" s="23">
        <v>8</v>
      </c>
      <c r="E12" s="23">
        <f>D12*195</f>
        <v>1560</v>
      </c>
      <c r="F12" s="154" t="s">
        <v>615</v>
      </c>
      <c r="G12" s="38" t="s">
        <v>258</v>
      </c>
      <c r="H12" s="25">
        <f>H9-E12</f>
        <v>96100</v>
      </c>
      <c r="I12" s="25"/>
      <c r="J12" s="122" t="s">
        <v>257</v>
      </c>
      <c r="K12" s="23">
        <v>260202007</v>
      </c>
      <c r="L12" s="23">
        <v>41</v>
      </c>
      <c r="M12" s="23">
        <f>L12-D12</f>
        <v>33</v>
      </c>
      <c r="N12" s="19">
        <v>46052</v>
      </c>
      <c r="O12" s="21">
        <f t="shared" si="2"/>
        <v>46416</v>
      </c>
    </row>
    <row r="13" spans="1:338" ht="20.149999999999999" hidden="1" customHeight="1" x14ac:dyDescent="0.25">
      <c r="A13" s="40">
        <v>46058</v>
      </c>
      <c r="B13" s="40">
        <v>46059</v>
      </c>
      <c r="C13" s="41" t="s">
        <v>276</v>
      </c>
      <c r="D13" s="41">
        <v>8</v>
      </c>
      <c r="E13" s="41">
        <f>D13*195</f>
        <v>1560</v>
      </c>
      <c r="F13" s="152" t="s">
        <v>616</v>
      </c>
      <c r="G13" s="60" t="s">
        <v>45</v>
      </c>
      <c r="H13" s="42">
        <f>H10-E13</f>
        <v>2340</v>
      </c>
      <c r="I13" s="42"/>
      <c r="J13" s="123" t="s">
        <v>277</v>
      </c>
      <c r="K13" s="41">
        <v>260204005</v>
      </c>
      <c r="L13" s="41"/>
      <c r="M13" s="41">
        <f>M12-D13</f>
        <v>25</v>
      </c>
      <c r="N13" s="19">
        <v>46052</v>
      </c>
      <c r="O13" s="21">
        <f t="shared" si="2"/>
        <v>46416</v>
      </c>
    </row>
    <row r="14" spans="1:338" ht="20.149999999999999" hidden="1" customHeight="1" x14ac:dyDescent="0.25">
      <c r="A14" s="29">
        <v>46063</v>
      </c>
      <c r="B14" s="29">
        <v>46063</v>
      </c>
      <c r="C14" s="30" t="s">
        <v>305</v>
      </c>
      <c r="D14" s="30">
        <v>8</v>
      </c>
      <c r="E14" s="30">
        <f>D14*195</f>
        <v>1560</v>
      </c>
      <c r="F14" s="156" t="s">
        <v>617</v>
      </c>
      <c r="G14" s="37" t="s">
        <v>328</v>
      </c>
      <c r="H14" s="32">
        <f>H12-E14</f>
        <v>94540</v>
      </c>
      <c r="I14" s="32"/>
      <c r="J14" s="127" t="s">
        <v>257</v>
      </c>
      <c r="K14" s="30">
        <v>20260210002</v>
      </c>
      <c r="L14" s="30">
        <v>42</v>
      </c>
      <c r="M14" s="30">
        <f>L14-D14</f>
        <v>34</v>
      </c>
      <c r="N14" s="19">
        <v>46058</v>
      </c>
      <c r="O14" s="21">
        <f t="shared" si="2"/>
        <v>46422</v>
      </c>
    </row>
    <row r="15" spans="1:338" ht="20.149999999999999" hidden="1" customHeight="1" x14ac:dyDescent="0.25">
      <c r="A15" s="26">
        <v>46078</v>
      </c>
      <c r="B15" s="26">
        <v>46079</v>
      </c>
      <c r="C15" s="27" t="s">
        <v>391</v>
      </c>
      <c r="D15" s="27">
        <v>8</v>
      </c>
      <c r="E15" s="27">
        <f>D15*195</f>
        <v>1560</v>
      </c>
      <c r="F15" s="153" t="s">
        <v>615</v>
      </c>
      <c r="G15" s="36" t="s">
        <v>394</v>
      </c>
      <c r="H15" s="28">
        <f>H14-E15</f>
        <v>92980</v>
      </c>
      <c r="I15" s="61" t="s">
        <v>12</v>
      </c>
      <c r="J15" s="28"/>
      <c r="K15" s="27">
        <v>260224008</v>
      </c>
      <c r="L15" s="27">
        <v>41</v>
      </c>
      <c r="M15" s="27">
        <f>L15-D15</f>
        <v>33</v>
      </c>
      <c r="N15" s="19">
        <v>46062</v>
      </c>
      <c r="O15" s="21">
        <f t="shared" si="2"/>
        <v>46426</v>
      </c>
    </row>
    <row r="16" spans="1:338" ht="20.149999999999999" hidden="1" customHeight="1" x14ac:dyDescent="0.25">
      <c r="A16" s="108">
        <v>46083</v>
      </c>
      <c r="B16" s="108">
        <v>46084</v>
      </c>
      <c r="C16" s="109" t="s">
        <v>409</v>
      </c>
      <c r="D16" s="109">
        <v>8</v>
      </c>
      <c r="E16" s="109">
        <f t="shared" ref="E16:E23" si="3">D16*195</f>
        <v>1560</v>
      </c>
      <c r="F16" s="157" t="s">
        <v>615</v>
      </c>
      <c r="G16" s="110" t="s">
        <v>413</v>
      </c>
      <c r="H16" s="111">
        <f>H15-E16</f>
        <v>91420</v>
      </c>
      <c r="I16" s="144" t="s">
        <v>12</v>
      </c>
      <c r="J16" s="111"/>
      <c r="K16" s="109">
        <v>260226011</v>
      </c>
      <c r="L16" s="109">
        <v>41</v>
      </c>
      <c r="M16" s="109">
        <f>L16-D16</f>
        <v>33</v>
      </c>
      <c r="N16" s="19">
        <v>46064</v>
      </c>
      <c r="O16" s="21">
        <f t="shared" si="2"/>
        <v>46428</v>
      </c>
    </row>
    <row r="17" spans="1:15" ht="20.149999999999999" hidden="1" customHeight="1" x14ac:dyDescent="0.25">
      <c r="A17" s="108">
        <v>46083</v>
      </c>
      <c r="B17" s="108">
        <v>46084</v>
      </c>
      <c r="C17" s="109" t="s">
        <v>410</v>
      </c>
      <c r="D17" s="109">
        <v>4</v>
      </c>
      <c r="E17" s="109">
        <f t="shared" si="3"/>
        <v>780</v>
      </c>
      <c r="F17" s="157" t="s">
        <v>615</v>
      </c>
      <c r="G17" s="110" t="s">
        <v>258</v>
      </c>
      <c r="H17" s="111">
        <f>H16-E17</f>
        <v>90640</v>
      </c>
      <c r="I17" s="144" t="s">
        <v>12</v>
      </c>
      <c r="J17" s="111"/>
      <c r="K17" s="109">
        <v>260226011</v>
      </c>
      <c r="L17" s="109">
        <v>42</v>
      </c>
      <c r="M17" s="109">
        <f>L17-D17</f>
        <v>38</v>
      </c>
      <c r="N17" s="19">
        <v>46066</v>
      </c>
      <c r="O17" s="21">
        <f t="shared" si="2"/>
        <v>46430</v>
      </c>
    </row>
    <row r="18" spans="1:15" ht="20.149999999999999" hidden="1" customHeight="1" x14ac:dyDescent="0.25">
      <c r="A18" s="33">
        <v>46083</v>
      </c>
      <c r="B18" s="33">
        <v>46084</v>
      </c>
      <c r="C18" s="34" t="s">
        <v>411</v>
      </c>
      <c r="D18" s="34">
        <v>8</v>
      </c>
      <c r="E18" s="34">
        <f t="shared" si="3"/>
        <v>1560</v>
      </c>
      <c r="F18" s="155" t="s">
        <v>614</v>
      </c>
      <c r="G18" s="39" t="s">
        <v>45</v>
      </c>
      <c r="H18" s="35">
        <f>H13-E18</f>
        <v>780</v>
      </c>
      <c r="I18" s="35"/>
      <c r="J18" s="35"/>
      <c r="K18" s="34">
        <v>260226012</v>
      </c>
      <c r="L18" s="34"/>
      <c r="M18" s="34">
        <f>M15-D18</f>
        <v>25</v>
      </c>
      <c r="N18" s="19">
        <v>46062</v>
      </c>
      <c r="O18" s="21">
        <f t="shared" si="2"/>
        <v>46426</v>
      </c>
    </row>
    <row r="19" spans="1:15" ht="20.149999999999999" hidden="1" customHeight="1" x14ac:dyDescent="0.25">
      <c r="A19" s="33">
        <v>46083</v>
      </c>
      <c r="B19" s="33">
        <v>46084</v>
      </c>
      <c r="C19" s="34" t="s">
        <v>409</v>
      </c>
      <c r="D19" s="34">
        <v>4</v>
      </c>
      <c r="E19" s="34">
        <f t="shared" si="3"/>
        <v>780</v>
      </c>
      <c r="F19" s="155" t="s">
        <v>614</v>
      </c>
      <c r="G19" s="39" t="s">
        <v>45</v>
      </c>
      <c r="H19" s="35">
        <f>H18-E19</f>
        <v>0</v>
      </c>
      <c r="I19" s="35"/>
      <c r="J19" s="35"/>
      <c r="K19" s="34">
        <v>260226012</v>
      </c>
      <c r="L19" s="34"/>
      <c r="M19" s="34">
        <f>M16-D19</f>
        <v>29</v>
      </c>
      <c r="N19" s="19">
        <v>46064</v>
      </c>
      <c r="O19" s="21">
        <f t="shared" si="2"/>
        <v>46428</v>
      </c>
    </row>
    <row r="20" spans="1:15" ht="20.149999999999999" hidden="1" customHeight="1" x14ac:dyDescent="0.25">
      <c r="A20" s="29">
        <v>46085</v>
      </c>
      <c r="B20" s="29">
        <v>46086</v>
      </c>
      <c r="C20" s="30" t="s">
        <v>410</v>
      </c>
      <c r="D20" s="30">
        <v>4</v>
      </c>
      <c r="E20" s="30">
        <f t="shared" si="3"/>
        <v>780</v>
      </c>
      <c r="F20" s="156" t="s">
        <v>615</v>
      </c>
      <c r="G20" s="37" t="s">
        <v>97</v>
      </c>
      <c r="H20" s="32">
        <f>H17-E20</f>
        <v>89860</v>
      </c>
      <c r="I20" s="32"/>
      <c r="J20" s="32"/>
      <c r="K20" s="30">
        <v>260303003</v>
      </c>
      <c r="L20" s="30"/>
      <c r="M20" s="30">
        <f>M17-D20</f>
        <v>34</v>
      </c>
      <c r="N20" s="19">
        <v>46066</v>
      </c>
      <c r="O20" s="21">
        <f t="shared" si="2"/>
        <v>46430</v>
      </c>
    </row>
    <row r="21" spans="1:15" ht="20.149999999999999" hidden="1" customHeight="1" x14ac:dyDescent="0.25">
      <c r="A21" s="29">
        <v>46085</v>
      </c>
      <c r="B21" s="29">
        <v>46086</v>
      </c>
      <c r="C21" s="30" t="s">
        <v>424</v>
      </c>
      <c r="D21" s="30">
        <v>8</v>
      </c>
      <c r="E21" s="30">
        <f t="shared" si="3"/>
        <v>1560</v>
      </c>
      <c r="F21" s="156" t="s">
        <v>617</v>
      </c>
      <c r="G21" s="37" t="s">
        <v>97</v>
      </c>
      <c r="H21" s="32">
        <f>H20-E21</f>
        <v>88300</v>
      </c>
      <c r="I21" s="70" t="s">
        <v>12</v>
      </c>
      <c r="J21" s="32"/>
      <c r="K21" s="30">
        <v>260303003</v>
      </c>
      <c r="L21" s="30">
        <v>41</v>
      </c>
      <c r="M21" s="30">
        <f>L21-D21</f>
        <v>33</v>
      </c>
      <c r="N21" s="19">
        <v>46070</v>
      </c>
      <c r="O21" s="21">
        <f t="shared" si="2"/>
        <v>46434</v>
      </c>
    </row>
    <row r="22" spans="1:15" ht="20.149999999999999" hidden="1" customHeight="1" x14ac:dyDescent="0.25">
      <c r="A22" s="40">
        <v>46086</v>
      </c>
      <c r="B22" s="40">
        <v>46087</v>
      </c>
      <c r="C22" s="41" t="s">
        <v>409</v>
      </c>
      <c r="D22" s="41">
        <v>4</v>
      </c>
      <c r="E22" s="41">
        <f t="shared" si="3"/>
        <v>780</v>
      </c>
      <c r="F22" s="152" t="s">
        <v>614</v>
      </c>
      <c r="G22" s="146" t="s">
        <v>427</v>
      </c>
      <c r="H22" s="42">
        <f>40560-E22</f>
        <v>39780</v>
      </c>
      <c r="I22" s="42"/>
      <c r="J22" s="42"/>
      <c r="K22" s="41">
        <v>260304007</v>
      </c>
      <c r="L22" s="41"/>
      <c r="M22" s="41">
        <f>M19-D22</f>
        <v>25</v>
      </c>
      <c r="N22" s="19">
        <v>46064</v>
      </c>
      <c r="O22" s="21">
        <f t="shared" si="2"/>
        <v>46428</v>
      </c>
    </row>
    <row r="23" spans="1:15" ht="20.149999999999999" hidden="1" customHeight="1" x14ac:dyDescent="0.25">
      <c r="A23" s="40">
        <v>46086</v>
      </c>
      <c r="B23" s="40">
        <v>46087</v>
      </c>
      <c r="C23" s="41" t="s">
        <v>410</v>
      </c>
      <c r="D23" s="41">
        <v>8</v>
      </c>
      <c r="E23" s="41">
        <f t="shared" si="3"/>
        <v>1560</v>
      </c>
      <c r="F23" s="152" t="s">
        <v>616</v>
      </c>
      <c r="G23" s="146" t="s">
        <v>428</v>
      </c>
      <c r="H23" s="42">
        <f>H22-E23</f>
        <v>38220</v>
      </c>
      <c r="I23" s="42"/>
      <c r="J23" s="42"/>
      <c r="K23" s="41">
        <v>260304007</v>
      </c>
      <c r="L23" s="41"/>
      <c r="M23" s="41">
        <f>M20-D23</f>
        <v>26</v>
      </c>
      <c r="N23" s="19">
        <v>46066</v>
      </c>
      <c r="O23" s="21">
        <f t="shared" si="2"/>
        <v>46430</v>
      </c>
    </row>
    <row r="24" spans="1:15" ht="20.149999999999999" hidden="1" customHeight="1" x14ac:dyDescent="0.25">
      <c r="A24" s="26">
        <v>46087</v>
      </c>
      <c r="B24" s="26">
        <v>46090</v>
      </c>
      <c r="C24" s="27" t="s">
        <v>438</v>
      </c>
      <c r="D24" s="27">
        <v>8</v>
      </c>
      <c r="E24" s="27">
        <f>D24*195</f>
        <v>1560</v>
      </c>
      <c r="F24" s="153" t="s">
        <v>617</v>
      </c>
      <c r="G24" s="36" t="s">
        <v>442</v>
      </c>
      <c r="H24" s="28">
        <f>H21-E24</f>
        <v>86740</v>
      </c>
      <c r="I24" s="61" t="s">
        <v>12</v>
      </c>
      <c r="J24" s="28"/>
      <c r="K24" s="27">
        <v>260305008</v>
      </c>
      <c r="L24" s="27">
        <v>41</v>
      </c>
      <c r="M24" s="27">
        <f>L24-D24</f>
        <v>33</v>
      </c>
      <c r="N24" s="19">
        <v>46072</v>
      </c>
      <c r="O24" s="21">
        <f>DATE(YEAR(N24)+1,MONTH(N24),DAY(N24))-1</f>
        <v>46436</v>
      </c>
    </row>
    <row r="25" spans="1:15" ht="20.149999999999999" hidden="1" customHeight="1" x14ac:dyDescent="0.25">
      <c r="A25" s="26">
        <v>46087</v>
      </c>
      <c r="B25" s="26">
        <v>46090</v>
      </c>
      <c r="C25" s="27" t="s">
        <v>435</v>
      </c>
      <c r="D25" s="27">
        <v>8</v>
      </c>
      <c r="E25" s="27">
        <f>D25*195</f>
        <v>1560</v>
      </c>
      <c r="F25" s="153" t="s">
        <v>615</v>
      </c>
      <c r="G25" s="36" t="s">
        <v>97</v>
      </c>
      <c r="H25" s="28">
        <f>H24-E25</f>
        <v>85180</v>
      </c>
      <c r="I25" s="61" t="s">
        <v>12</v>
      </c>
      <c r="J25" s="28" t="s">
        <v>414</v>
      </c>
      <c r="K25" s="27">
        <v>260305008</v>
      </c>
      <c r="L25" s="27">
        <v>41</v>
      </c>
      <c r="M25" s="27">
        <f>L25-D25</f>
        <v>33</v>
      </c>
      <c r="N25" s="19">
        <v>46076</v>
      </c>
      <c r="O25" s="21">
        <f>DATE(YEAR(N25)+1,MONTH(N25),DAY(N25))-1</f>
        <v>46440</v>
      </c>
    </row>
    <row r="26" spans="1:15" ht="20.149999999999999" hidden="1" customHeight="1" x14ac:dyDescent="0.25">
      <c r="A26" s="22">
        <v>46090</v>
      </c>
      <c r="B26" s="22">
        <v>46091</v>
      </c>
      <c r="C26" s="23" t="s">
        <v>458</v>
      </c>
      <c r="D26" s="23">
        <v>8</v>
      </c>
      <c r="E26" s="23">
        <f t="shared" ref="E26:E90" si="4">D26*195</f>
        <v>1560</v>
      </c>
      <c r="F26" s="154" t="s">
        <v>616</v>
      </c>
      <c r="G26" s="38" t="s">
        <v>427</v>
      </c>
      <c r="H26" s="25">
        <f>H23-E26</f>
        <v>36660</v>
      </c>
      <c r="I26" s="25"/>
      <c r="J26" s="25"/>
      <c r="K26" s="23">
        <v>260306010</v>
      </c>
      <c r="L26" s="23"/>
      <c r="M26" s="23">
        <f>M21-D26</f>
        <v>25</v>
      </c>
      <c r="N26" s="19">
        <v>46070</v>
      </c>
      <c r="O26" s="21">
        <f t="shared" ref="O26:O31" si="5">DATE(YEAR(N26)+1,MONTH(N26),DAY(N26))-1</f>
        <v>46434</v>
      </c>
    </row>
    <row r="27" spans="1:15" ht="20.149999999999999" hidden="1" customHeight="1" x14ac:dyDescent="0.25">
      <c r="A27" s="22">
        <v>46090</v>
      </c>
      <c r="B27" s="22">
        <v>46091</v>
      </c>
      <c r="C27" s="23" t="s">
        <v>438</v>
      </c>
      <c r="D27" s="23">
        <v>8</v>
      </c>
      <c r="E27" s="23">
        <f t="shared" si="4"/>
        <v>1560</v>
      </c>
      <c r="F27" s="154" t="s">
        <v>614</v>
      </c>
      <c r="G27" s="38" t="s">
        <v>459</v>
      </c>
      <c r="H27" s="25">
        <f>H26-E27</f>
        <v>35100</v>
      </c>
      <c r="I27" s="25"/>
      <c r="J27" s="25"/>
      <c r="K27" s="23">
        <v>260306010</v>
      </c>
      <c r="L27" s="23"/>
      <c r="M27" s="23">
        <f>M24-D27</f>
        <v>25</v>
      </c>
      <c r="N27" s="19">
        <v>46072</v>
      </c>
      <c r="O27" s="21">
        <f t="shared" si="5"/>
        <v>46436</v>
      </c>
    </row>
    <row r="28" spans="1:15" ht="20.149999999999999" hidden="1" customHeight="1" x14ac:dyDescent="0.25">
      <c r="A28" s="33">
        <v>46091</v>
      </c>
      <c r="B28" s="33">
        <v>46092</v>
      </c>
      <c r="C28" s="34" t="s">
        <v>467</v>
      </c>
      <c r="D28" s="34">
        <v>8</v>
      </c>
      <c r="E28" s="34">
        <f t="shared" si="4"/>
        <v>1560</v>
      </c>
      <c r="F28" s="155" t="s">
        <v>615</v>
      </c>
      <c r="G28" s="39" t="s">
        <v>478</v>
      </c>
      <c r="H28" s="35">
        <f>H25-E28</f>
        <v>83620</v>
      </c>
      <c r="I28" s="63" t="s">
        <v>12</v>
      </c>
      <c r="J28" s="35"/>
      <c r="K28" s="34">
        <v>260309007</v>
      </c>
      <c r="L28" s="34">
        <v>42</v>
      </c>
      <c r="M28" s="34">
        <f>L28-D28</f>
        <v>34</v>
      </c>
      <c r="N28" s="19">
        <v>46078</v>
      </c>
      <c r="O28" s="21">
        <f t="shared" si="5"/>
        <v>46442</v>
      </c>
    </row>
    <row r="29" spans="1:15" ht="20.149999999999999" hidden="1" customHeight="1" x14ac:dyDescent="0.25">
      <c r="A29" s="29">
        <v>46093</v>
      </c>
      <c r="B29" s="29">
        <v>46094</v>
      </c>
      <c r="C29" s="30" t="s">
        <v>493</v>
      </c>
      <c r="D29" s="30">
        <v>8</v>
      </c>
      <c r="E29" s="30">
        <f t="shared" si="4"/>
        <v>1560</v>
      </c>
      <c r="F29" s="156" t="s">
        <v>617</v>
      </c>
      <c r="G29" s="37" t="s">
        <v>500</v>
      </c>
      <c r="H29" s="32">
        <f>H28-E29</f>
        <v>82060</v>
      </c>
      <c r="I29" s="70" t="s">
        <v>12</v>
      </c>
      <c r="J29" s="32"/>
      <c r="K29" s="30">
        <v>260311006</v>
      </c>
      <c r="L29" s="30">
        <v>41</v>
      </c>
      <c r="M29" s="30">
        <f>L29-D29</f>
        <v>33</v>
      </c>
      <c r="N29" s="19">
        <v>46083</v>
      </c>
      <c r="O29" s="21">
        <f t="shared" si="5"/>
        <v>46447</v>
      </c>
    </row>
    <row r="30" spans="1:15" ht="20.149999999999999" hidden="1" customHeight="1" x14ac:dyDescent="0.25">
      <c r="A30" s="40">
        <v>46093</v>
      </c>
      <c r="B30" s="40">
        <v>46094</v>
      </c>
      <c r="C30" s="41" t="s">
        <v>494</v>
      </c>
      <c r="D30" s="41">
        <v>8</v>
      </c>
      <c r="E30" s="41">
        <f t="shared" si="4"/>
        <v>1560</v>
      </c>
      <c r="F30" s="152" t="s">
        <v>614</v>
      </c>
      <c r="G30" s="60" t="s">
        <v>501</v>
      </c>
      <c r="H30" s="42">
        <f>H27-E30</f>
        <v>33540</v>
      </c>
      <c r="I30" s="42"/>
      <c r="J30" s="42"/>
      <c r="K30" s="41">
        <v>260311007</v>
      </c>
      <c r="L30" s="41"/>
      <c r="M30" s="41">
        <f>M25-D30</f>
        <v>25</v>
      </c>
      <c r="N30" s="19">
        <v>46076</v>
      </c>
      <c r="O30" s="21">
        <f t="shared" si="5"/>
        <v>46440</v>
      </c>
    </row>
    <row r="31" spans="1:15" ht="20.149999999999999" hidden="1" customHeight="1" x14ac:dyDescent="0.25">
      <c r="A31" s="26">
        <v>46094</v>
      </c>
      <c r="B31" s="26">
        <v>46097</v>
      </c>
      <c r="C31" s="27" t="s">
        <v>507</v>
      </c>
      <c r="D31" s="27">
        <v>8</v>
      </c>
      <c r="E31" s="27">
        <f t="shared" si="4"/>
        <v>1560</v>
      </c>
      <c r="F31" s="153" t="s">
        <v>619</v>
      </c>
      <c r="G31" s="36" t="s">
        <v>512</v>
      </c>
      <c r="H31" s="28">
        <f>H29-E31</f>
        <v>80500</v>
      </c>
      <c r="I31" s="61" t="s">
        <v>12</v>
      </c>
      <c r="J31" s="28"/>
      <c r="K31" s="27">
        <v>260312008</v>
      </c>
      <c r="L31" s="27">
        <v>41</v>
      </c>
      <c r="M31" s="27">
        <f>L31-D31</f>
        <v>33</v>
      </c>
      <c r="N31" s="19">
        <v>46085</v>
      </c>
      <c r="O31" s="21">
        <f t="shared" si="5"/>
        <v>46449</v>
      </c>
    </row>
    <row r="32" spans="1:15" ht="20.149999999999999" hidden="1" customHeight="1" x14ac:dyDescent="0.25">
      <c r="A32" s="22">
        <v>46097</v>
      </c>
      <c r="B32" s="22">
        <v>46098</v>
      </c>
      <c r="C32" s="23" t="s">
        <v>467</v>
      </c>
      <c r="D32" s="23">
        <v>8</v>
      </c>
      <c r="E32" s="23">
        <f t="shared" si="4"/>
        <v>1560</v>
      </c>
      <c r="F32" s="154" t="s">
        <v>614</v>
      </c>
      <c r="G32" s="38" t="s">
        <v>427</v>
      </c>
      <c r="H32" s="25">
        <f>H30-E32</f>
        <v>31980</v>
      </c>
      <c r="I32" s="25"/>
      <c r="J32" s="25"/>
      <c r="K32" s="23">
        <v>260313006</v>
      </c>
      <c r="L32" s="23"/>
      <c r="M32" s="23">
        <f>M28-D32</f>
        <v>26</v>
      </c>
      <c r="N32" s="19">
        <v>46078</v>
      </c>
      <c r="O32" s="21">
        <f t="shared" ref="O32:O88" si="6">DATE(YEAR(N32)+1,MONTH(N32),DAY(N32))-1</f>
        <v>46442</v>
      </c>
    </row>
    <row r="33" spans="1:15" ht="20.149999999999999" hidden="1" customHeight="1" x14ac:dyDescent="0.25">
      <c r="A33" s="33">
        <v>46098</v>
      </c>
      <c r="B33" s="33">
        <v>46099</v>
      </c>
      <c r="C33" s="34" t="s">
        <v>526</v>
      </c>
      <c r="D33" s="34">
        <v>16</v>
      </c>
      <c r="E33" s="34">
        <f t="shared" si="4"/>
        <v>3120</v>
      </c>
      <c r="F33" s="155" t="s">
        <v>615</v>
      </c>
      <c r="G33" s="39" t="s">
        <v>532</v>
      </c>
      <c r="H33" s="35">
        <f>H31-E33</f>
        <v>77380</v>
      </c>
      <c r="I33" s="35"/>
      <c r="J33" s="35"/>
      <c r="K33" s="34">
        <v>260316009</v>
      </c>
      <c r="L33" s="34"/>
      <c r="M33" s="34">
        <f>M13-D33</f>
        <v>9</v>
      </c>
      <c r="N33" s="19">
        <v>46052</v>
      </c>
      <c r="O33" s="21">
        <f t="shared" si="6"/>
        <v>46416</v>
      </c>
    </row>
    <row r="34" spans="1:15" ht="20.149999999999999" hidden="1" customHeight="1" x14ac:dyDescent="0.25">
      <c r="A34" s="29">
        <v>46100</v>
      </c>
      <c r="B34" s="29">
        <v>46101</v>
      </c>
      <c r="C34" s="30" t="s">
        <v>544</v>
      </c>
      <c r="D34" s="30">
        <v>8</v>
      </c>
      <c r="E34" s="30">
        <f t="shared" si="4"/>
        <v>1560</v>
      </c>
      <c r="F34" s="156" t="s">
        <v>614</v>
      </c>
      <c r="G34" s="37" t="s">
        <v>427</v>
      </c>
      <c r="H34" s="32">
        <f>H32-E34</f>
        <v>30420</v>
      </c>
      <c r="I34" s="32"/>
      <c r="J34" s="32"/>
      <c r="K34" s="30">
        <v>260318008</v>
      </c>
      <c r="L34" s="30"/>
      <c r="M34" s="30">
        <f>M29-D34</f>
        <v>25</v>
      </c>
      <c r="N34" s="19">
        <v>46083</v>
      </c>
      <c r="O34" s="21">
        <f t="shared" si="6"/>
        <v>46447</v>
      </c>
    </row>
    <row r="35" spans="1:15" ht="20.149999999999999" hidden="1" customHeight="1" x14ac:dyDescent="0.25">
      <c r="A35" s="29">
        <v>46100</v>
      </c>
      <c r="B35" s="29">
        <v>46101</v>
      </c>
      <c r="C35" s="30" t="s">
        <v>507</v>
      </c>
      <c r="D35" s="30">
        <v>8</v>
      </c>
      <c r="E35" s="30">
        <f t="shared" si="4"/>
        <v>1560</v>
      </c>
      <c r="F35" s="156" t="s">
        <v>616</v>
      </c>
      <c r="G35" s="37" t="s">
        <v>538</v>
      </c>
      <c r="H35" s="32">
        <f>H34-E35</f>
        <v>28860</v>
      </c>
      <c r="I35" s="32"/>
      <c r="J35" s="32"/>
      <c r="K35" s="30">
        <v>260318008</v>
      </c>
      <c r="L35" s="30"/>
      <c r="M35" s="30">
        <f>M31-D35</f>
        <v>25</v>
      </c>
      <c r="N35" s="19">
        <v>46085</v>
      </c>
      <c r="O35" s="21">
        <f t="shared" si="6"/>
        <v>46449</v>
      </c>
    </row>
    <row r="36" spans="1:15" ht="20.149999999999999" hidden="1" customHeight="1" x14ac:dyDescent="0.25">
      <c r="A36" s="40">
        <v>46104</v>
      </c>
      <c r="B36" s="40">
        <v>46105</v>
      </c>
      <c r="C36" s="41" t="s">
        <v>559</v>
      </c>
      <c r="D36" s="41">
        <v>8</v>
      </c>
      <c r="E36" s="41">
        <f t="shared" si="4"/>
        <v>1560</v>
      </c>
      <c r="F36" s="152" t="s">
        <v>616</v>
      </c>
      <c r="G36" s="60" t="s">
        <v>427</v>
      </c>
      <c r="H36" s="42">
        <f>H35-E36</f>
        <v>27300</v>
      </c>
      <c r="I36" s="121" t="s">
        <v>12</v>
      </c>
      <c r="J36" s="42"/>
      <c r="K36" s="41">
        <v>260320005</v>
      </c>
      <c r="L36" s="41">
        <v>42</v>
      </c>
      <c r="M36" s="41">
        <f>L36-D36</f>
        <v>34</v>
      </c>
      <c r="N36" s="19">
        <v>46087</v>
      </c>
      <c r="O36" s="21">
        <f t="shared" si="6"/>
        <v>46451</v>
      </c>
    </row>
    <row r="37" spans="1:15" ht="20.149999999999999" hidden="1" customHeight="1" x14ac:dyDescent="0.25">
      <c r="A37" s="40">
        <v>46104</v>
      </c>
      <c r="B37" s="40">
        <v>46105</v>
      </c>
      <c r="C37" s="41" t="s">
        <v>569</v>
      </c>
      <c r="D37" s="41">
        <v>8</v>
      </c>
      <c r="E37" s="41">
        <f t="shared" si="4"/>
        <v>1560</v>
      </c>
      <c r="F37" s="152" t="s">
        <v>616</v>
      </c>
      <c r="G37" s="60" t="s">
        <v>564</v>
      </c>
      <c r="H37" s="42">
        <f>H36-E37</f>
        <v>25740</v>
      </c>
      <c r="I37" s="121" t="s">
        <v>12</v>
      </c>
      <c r="J37" s="42"/>
      <c r="K37" s="41">
        <v>260320005</v>
      </c>
      <c r="L37" s="41">
        <v>41</v>
      </c>
      <c r="M37" s="41">
        <f>L37-D37</f>
        <v>33</v>
      </c>
      <c r="N37" s="19">
        <v>46090</v>
      </c>
      <c r="O37" s="21">
        <f t="shared" si="6"/>
        <v>46454</v>
      </c>
    </row>
    <row r="38" spans="1:15" ht="20.149999999999999" hidden="1" customHeight="1" x14ac:dyDescent="0.25">
      <c r="A38" s="22">
        <v>46105</v>
      </c>
      <c r="B38" s="22">
        <v>46106</v>
      </c>
      <c r="C38" s="23" t="s">
        <v>575</v>
      </c>
      <c r="D38" s="23">
        <v>8</v>
      </c>
      <c r="E38" s="23">
        <f t="shared" si="4"/>
        <v>1560</v>
      </c>
      <c r="F38" s="154" t="s">
        <v>615</v>
      </c>
      <c r="G38" s="38" t="s">
        <v>97</v>
      </c>
      <c r="H38" s="25">
        <f>H33-E38</f>
        <v>75820</v>
      </c>
      <c r="I38" s="25"/>
      <c r="J38" s="25"/>
      <c r="K38" s="23">
        <v>260323009</v>
      </c>
      <c r="L38" s="23"/>
      <c r="M38" s="23">
        <f>M36-D38</f>
        <v>26</v>
      </c>
      <c r="N38" s="19">
        <v>46087</v>
      </c>
      <c r="O38" s="21">
        <f t="shared" si="6"/>
        <v>46451</v>
      </c>
    </row>
    <row r="39" spans="1:15" ht="20.149999999999999" hidden="1" customHeight="1" x14ac:dyDescent="0.25">
      <c r="A39" s="22">
        <v>46105</v>
      </c>
      <c r="B39" s="22">
        <v>46106</v>
      </c>
      <c r="C39" s="23" t="s">
        <v>576</v>
      </c>
      <c r="D39" s="23">
        <v>8</v>
      </c>
      <c r="E39" s="23">
        <f t="shared" si="4"/>
        <v>1560</v>
      </c>
      <c r="F39" s="154" t="s">
        <v>615</v>
      </c>
      <c r="G39" s="38" t="s">
        <v>572</v>
      </c>
      <c r="H39" s="25">
        <f>H38-E39</f>
        <v>74260</v>
      </c>
      <c r="I39" s="25"/>
      <c r="J39" s="25"/>
      <c r="K39" s="23">
        <v>260323009</v>
      </c>
      <c r="L39" s="23"/>
      <c r="M39" s="23">
        <f>M37-D39</f>
        <v>25</v>
      </c>
      <c r="N39" s="19">
        <v>46090</v>
      </c>
      <c r="O39" s="21">
        <f t="shared" si="6"/>
        <v>46454</v>
      </c>
    </row>
    <row r="40" spans="1:15" ht="20.149999999999999" hidden="1" customHeight="1" x14ac:dyDescent="0.25">
      <c r="A40" s="33">
        <v>46107</v>
      </c>
      <c r="B40" s="33">
        <v>46108</v>
      </c>
      <c r="C40" s="34" t="s">
        <v>591</v>
      </c>
      <c r="D40" s="34">
        <v>8</v>
      </c>
      <c r="E40" s="34">
        <f t="shared" si="4"/>
        <v>1560</v>
      </c>
      <c r="F40" s="155" t="s">
        <v>617</v>
      </c>
      <c r="G40" s="39" t="s">
        <v>595</v>
      </c>
      <c r="H40" s="35">
        <f>H39-E40</f>
        <v>72700</v>
      </c>
      <c r="I40" s="63" t="s">
        <v>12</v>
      </c>
      <c r="J40" s="35"/>
      <c r="K40" s="34">
        <v>260325009</v>
      </c>
      <c r="L40" s="34">
        <v>41</v>
      </c>
      <c r="M40" s="34">
        <f>L40-D40</f>
        <v>33</v>
      </c>
      <c r="N40" s="19">
        <v>46092</v>
      </c>
      <c r="O40" s="21">
        <f t="shared" si="6"/>
        <v>46456</v>
      </c>
    </row>
    <row r="41" spans="1:15" ht="20.149999999999999" hidden="1" customHeight="1" x14ac:dyDescent="0.25">
      <c r="A41" s="29">
        <v>46107</v>
      </c>
      <c r="B41" s="29">
        <v>46108</v>
      </c>
      <c r="C41" s="30" t="s">
        <v>591</v>
      </c>
      <c r="D41" s="30">
        <v>8</v>
      </c>
      <c r="E41" s="30">
        <f t="shared" si="4"/>
        <v>1560</v>
      </c>
      <c r="F41" s="156" t="s">
        <v>616</v>
      </c>
      <c r="G41" s="37" t="s">
        <v>596</v>
      </c>
      <c r="H41" s="32">
        <f>H37-E41</f>
        <v>24180</v>
      </c>
      <c r="I41" s="32"/>
      <c r="J41" s="32"/>
      <c r="K41" s="30">
        <v>260325010</v>
      </c>
      <c r="L41" s="30"/>
      <c r="M41" s="30">
        <f>M40-D41</f>
        <v>25</v>
      </c>
      <c r="N41" s="19">
        <v>46092</v>
      </c>
      <c r="O41" s="21">
        <f t="shared" si="6"/>
        <v>46456</v>
      </c>
    </row>
    <row r="42" spans="1:15" ht="20.149999999999999" hidden="1" customHeight="1" x14ac:dyDescent="0.25">
      <c r="A42" s="40">
        <v>46111</v>
      </c>
      <c r="B42" s="40">
        <v>46112</v>
      </c>
      <c r="C42" s="41" t="s">
        <v>628</v>
      </c>
      <c r="D42" s="41">
        <v>8</v>
      </c>
      <c r="E42" s="41">
        <f t="shared" si="4"/>
        <v>1560</v>
      </c>
      <c r="F42" s="152" t="s">
        <v>615</v>
      </c>
      <c r="G42" s="60" t="s">
        <v>635</v>
      </c>
      <c r="H42" s="42">
        <f>H40-E42</f>
        <v>71140</v>
      </c>
      <c r="I42" s="121" t="s">
        <v>12</v>
      </c>
      <c r="J42" s="42"/>
      <c r="K42" s="41">
        <v>260327007</v>
      </c>
      <c r="L42" s="41">
        <v>41</v>
      </c>
      <c r="M42" s="41">
        <f>L42-D42</f>
        <v>33</v>
      </c>
      <c r="N42" s="19">
        <v>46094</v>
      </c>
      <c r="O42" s="21">
        <f t="shared" si="6"/>
        <v>46458</v>
      </c>
    </row>
    <row r="43" spans="1:15" ht="20.149999999999999" hidden="1" customHeight="1" x14ac:dyDescent="0.25">
      <c r="A43" s="40">
        <v>46111</v>
      </c>
      <c r="B43" s="40">
        <v>46112</v>
      </c>
      <c r="C43" s="41" t="s">
        <v>629</v>
      </c>
      <c r="D43" s="41">
        <v>8</v>
      </c>
      <c r="E43" s="41">
        <f t="shared" si="4"/>
        <v>1560</v>
      </c>
      <c r="F43" s="152" t="s">
        <v>617</v>
      </c>
      <c r="G43" s="60" t="s">
        <v>621</v>
      </c>
      <c r="H43" s="42">
        <f>H42-E43</f>
        <v>69580</v>
      </c>
      <c r="I43" s="121" t="s">
        <v>12</v>
      </c>
      <c r="J43" s="42"/>
      <c r="K43" s="41">
        <v>260327007</v>
      </c>
      <c r="L43" s="41">
        <v>42</v>
      </c>
      <c r="M43" s="41">
        <f>L43-D43</f>
        <v>34</v>
      </c>
      <c r="N43" s="19">
        <v>46096</v>
      </c>
      <c r="O43" s="21">
        <f t="shared" si="6"/>
        <v>46460</v>
      </c>
    </row>
    <row r="44" spans="1:15" ht="20.149999999999999" hidden="1" customHeight="1" x14ac:dyDescent="0.25">
      <c r="A44" s="26">
        <v>46111</v>
      </c>
      <c r="B44" s="26">
        <v>46112</v>
      </c>
      <c r="C44" s="27" t="s">
        <v>630</v>
      </c>
      <c r="D44" s="27">
        <v>8</v>
      </c>
      <c r="E44" s="27">
        <f t="shared" si="4"/>
        <v>1560</v>
      </c>
      <c r="F44" s="153" t="s">
        <v>616</v>
      </c>
      <c r="G44" s="36" t="s">
        <v>427</v>
      </c>
      <c r="H44" s="28">
        <f>H41-E44</f>
        <v>22620</v>
      </c>
      <c r="I44" s="28"/>
      <c r="J44" s="28"/>
      <c r="K44" s="27">
        <v>260327008</v>
      </c>
      <c r="L44" s="27"/>
      <c r="M44" s="27">
        <f>M42-D44</f>
        <v>25</v>
      </c>
      <c r="N44" s="19">
        <v>46094</v>
      </c>
      <c r="O44" s="21">
        <f t="shared" si="6"/>
        <v>46458</v>
      </c>
    </row>
    <row r="45" spans="1:15" ht="20.149999999999999" hidden="1" customHeight="1" x14ac:dyDescent="0.25">
      <c r="A45" s="26">
        <v>46111</v>
      </c>
      <c r="B45" s="26">
        <v>46112</v>
      </c>
      <c r="C45" s="27" t="s">
        <v>631</v>
      </c>
      <c r="D45" s="27">
        <v>8</v>
      </c>
      <c r="E45" s="27">
        <f t="shared" si="4"/>
        <v>1560</v>
      </c>
      <c r="F45" s="153" t="s">
        <v>616</v>
      </c>
      <c r="G45" s="36" t="s">
        <v>427</v>
      </c>
      <c r="H45" s="28">
        <f>H44-E45</f>
        <v>21060</v>
      </c>
      <c r="I45" s="28"/>
      <c r="J45" s="28"/>
      <c r="K45" s="27">
        <v>260327008</v>
      </c>
      <c r="L45" s="27"/>
      <c r="M45" s="27">
        <f>M43-D45</f>
        <v>26</v>
      </c>
      <c r="N45" s="19">
        <v>46096</v>
      </c>
      <c r="O45" s="21">
        <f t="shared" si="6"/>
        <v>46460</v>
      </c>
    </row>
    <row r="46" spans="1:15" ht="20.149999999999999" hidden="1" customHeight="1" x14ac:dyDescent="0.25">
      <c r="A46" s="22">
        <v>46113</v>
      </c>
      <c r="B46" s="22">
        <v>46114</v>
      </c>
      <c r="C46" s="23" t="s">
        <v>662</v>
      </c>
      <c r="D46" s="23">
        <v>8</v>
      </c>
      <c r="E46" s="23">
        <f t="shared" si="4"/>
        <v>1560</v>
      </c>
      <c r="F46" s="154" t="s">
        <v>615</v>
      </c>
      <c r="G46" s="38" t="s">
        <v>97</v>
      </c>
      <c r="H46" s="25">
        <f>H43-E46</f>
        <v>68020</v>
      </c>
      <c r="I46" s="43" t="s">
        <v>12</v>
      </c>
      <c r="J46" s="25"/>
      <c r="K46" s="23">
        <v>260331006</v>
      </c>
      <c r="L46" s="23">
        <v>40</v>
      </c>
      <c r="M46" s="23">
        <f>L46-D46</f>
        <v>32</v>
      </c>
      <c r="N46" s="19">
        <v>46098</v>
      </c>
      <c r="O46" s="21">
        <f t="shared" si="6"/>
        <v>46462</v>
      </c>
    </row>
    <row r="47" spans="1:15" ht="20.149999999999999" hidden="1" customHeight="1" x14ac:dyDescent="0.25">
      <c r="A47" s="33">
        <v>46113</v>
      </c>
      <c r="B47" s="33">
        <v>46114</v>
      </c>
      <c r="C47" s="34" t="s">
        <v>663</v>
      </c>
      <c r="D47" s="34">
        <v>8</v>
      </c>
      <c r="E47" s="34">
        <f t="shared" si="4"/>
        <v>1560</v>
      </c>
      <c r="F47" s="155" t="s">
        <v>614</v>
      </c>
      <c r="G47" s="39" t="s">
        <v>427</v>
      </c>
      <c r="H47" s="35">
        <f>H45-E47</f>
        <v>19500</v>
      </c>
      <c r="I47" s="35"/>
      <c r="J47" s="35"/>
      <c r="K47" s="34">
        <v>260331007</v>
      </c>
      <c r="L47" s="34"/>
      <c r="M47" s="34">
        <f>M46-D47</f>
        <v>24</v>
      </c>
      <c r="N47" s="19">
        <v>46098</v>
      </c>
      <c r="O47" s="21">
        <f t="shared" si="6"/>
        <v>46462</v>
      </c>
    </row>
    <row r="48" spans="1:15" ht="20.149999999999999" hidden="1" customHeight="1" x14ac:dyDescent="0.25">
      <c r="A48" s="40">
        <v>46114</v>
      </c>
      <c r="B48" s="129">
        <v>46118</v>
      </c>
      <c r="C48" s="41" t="s">
        <v>682</v>
      </c>
      <c r="D48" s="41">
        <v>9</v>
      </c>
      <c r="E48" s="41">
        <f t="shared" si="4"/>
        <v>1755</v>
      </c>
      <c r="F48" s="152" t="s">
        <v>618</v>
      </c>
      <c r="G48" s="41" t="s">
        <v>698</v>
      </c>
      <c r="H48" s="42">
        <f>H11-E48</f>
        <v>31785</v>
      </c>
      <c r="I48" s="42"/>
      <c r="J48" s="42"/>
      <c r="K48" s="41">
        <v>260401020</v>
      </c>
      <c r="L48" s="41"/>
      <c r="M48" s="41">
        <f>M33-D48</f>
        <v>0</v>
      </c>
      <c r="N48" s="19">
        <v>46052</v>
      </c>
      <c r="O48" s="21">
        <f t="shared" si="6"/>
        <v>46416</v>
      </c>
    </row>
    <row r="49" spans="1:15" ht="20.149999999999999" hidden="1" customHeight="1" x14ac:dyDescent="0.25">
      <c r="A49" s="40">
        <v>46114</v>
      </c>
      <c r="B49" s="129">
        <v>46118</v>
      </c>
      <c r="C49" s="41" t="s">
        <v>666</v>
      </c>
      <c r="D49" s="41">
        <v>7</v>
      </c>
      <c r="E49" s="41">
        <f t="shared" si="4"/>
        <v>1365</v>
      </c>
      <c r="F49" s="152" t="s">
        <v>618</v>
      </c>
      <c r="G49" s="41" t="s">
        <v>689</v>
      </c>
      <c r="H49" s="42">
        <f>H48-E49</f>
        <v>30420</v>
      </c>
      <c r="I49" s="121" t="s">
        <v>12</v>
      </c>
      <c r="J49" s="123" t="s">
        <v>671</v>
      </c>
      <c r="K49" s="41">
        <v>260401020</v>
      </c>
      <c r="L49" s="41"/>
      <c r="M49" s="41">
        <f>M14-D49</f>
        <v>27</v>
      </c>
      <c r="N49" s="19">
        <v>46058</v>
      </c>
      <c r="O49" s="21">
        <f t="shared" si="6"/>
        <v>46422</v>
      </c>
    </row>
    <row r="50" spans="1:15" ht="20.149999999999999" hidden="1" customHeight="1" x14ac:dyDescent="0.25">
      <c r="A50" s="29">
        <v>46114</v>
      </c>
      <c r="B50" s="29">
        <v>46119</v>
      </c>
      <c r="C50" s="30" t="s">
        <v>683</v>
      </c>
      <c r="D50" s="30">
        <v>4</v>
      </c>
      <c r="E50" s="30">
        <f t="shared" si="4"/>
        <v>780</v>
      </c>
      <c r="F50" s="156" t="s">
        <v>615</v>
      </c>
      <c r="G50" s="37" t="s">
        <v>97</v>
      </c>
      <c r="H50" s="32">
        <f>H46-E50</f>
        <v>67240</v>
      </c>
      <c r="I50" s="70" t="s">
        <v>12</v>
      </c>
      <c r="J50" s="32"/>
      <c r="K50" s="30">
        <v>260401021</v>
      </c>
      <c r="L50" s="30">
        <v>41</v>
      </c>
      <c r="M50" s="30">
        <f>L50-D50</f>
        <v>37</v>
      </c>
      <c r="N50" s="19">
        <v>46100</v>
      </c>
      <c r="O50" s="21">
        <f t="shared" si="6"/>
        <v>46464</v>
      </c>
    </row>
    <row r="51" spans="1:15" ht="20.149999999999999" hidden="1" customHeight="1" x14ac:dyDescent="0.25">
      <c r="A51" s="29">
        <v>46114</v>
      </c>
      <c r="B51" s="29">
        <v>46119</v>
      </c>
      <c r="C51" s="30" t="s">
        <v>684</v>
      </c>
      <c r="D51" s="30">
        <v>4</v>
      </c>
      <c r="E51" s="30">
        <f t="shared" si="4"/>
        <v>780</v>
      </c>
      <c r="F51" s="156" t="s">
        <v>615</v>
      </c>
      <c r="G51" s="37" t="s">
        <v>690</v>
      </c>
      <c r="H51" s="32">
        <f>H50-E51</f>
        <v>66460</v>
      </c>
      <c r="I51" s="70" t="s">
        <v>12</v>
      </c>
      <c r="J51" s="32"/>
      <c r="K51" s="30">
        <v>260401021</v>
      </c>
      <c r="L51" s="30">
        <v>41</v>
      </c>
      <c r="M51" s="30">
        <f>L51-D51</f>
        <v>37</v>
      </c>
      <c r="N51" s="19">
        <v>46104</v>
      </c>
      <c r="O51" s="21">
        <f t="shared" si="6"/>
        <v>46468</v>
      </c>
    </row>
    <row r="52" spans="1:15" ht="20.149999999999999" hidden="1" customHeight="1" x14ac:dyDescent="0.25">
      <c r="A52" s="29">
        <v>46114</v>
      </c>
      <c r="B52" s="29">
        <v>46119</v>
      </c>
      <c r="C52" s="30" t="s">
        <v>699</v>
      </c>
      <c r="D52" s="30">
        <v>4</v>
      </c>
      <c r="E52" s="30">
        <f t="shared" si="4"/>
        <v>780</v>
      </c>
      <c r="F52" s="156" t="s">
        <v>615</v>
      </c>
      <c r="G52" s="37" t="s">
        <v>691</v>
      </c>
      <c r="H52" s="32">
        <f>H51-E52</f>
        <v>65680</v>
      </c>
      <c r="I52" s="70" t="s">
        <v>12</v>
      </c>
      <c r="J52" s="32"/>
      <c r="K52" s="30">
        <v>260401021</v>
      </c>
      <c r="L52" s="30">
        <v>42</v>
      </c>
      <c r="M52" s="30">
        <f>L52-D52</f>
        <v>38</v>
      </c>
      <c r="N52" s="19">
        <v>46106</v>
      </c>
      <c r="O52" s="21">
        <f t="shared" si="6"/>
        <v>46470</v>
      </c>
    </row>
    <row r="53" spans="1:15" ht="20.149999999999999" hidden="1" customHeight="1" x14ac:dyDescent="0.25">
      <c r="A53" s="26">
        <v>46114</v>
      </c>
      <c r="B53" s="26">
        <v>46119</v>
      </c>
      <c r="C53" s="27" t="s">
        <v>683</v>
      </c>
      <c r="D53" s="27">
        <v>4</v>
      </c>
      <c r="E53" s="27">
        <f t="shared" si="4"/>
        <v>780</v>
      </c>
      <c r="F53" s="153" t="s">
        <v>614</v>
      </c>
      <c r="G53" s="36" t="s">
        <v>700</v>
      </c>
      <c r="H53" s="28">
        <f>H47-E53</f>
        <v>18720</v>
      </c>
      <c r="I53" s="28"/>
      <c r="J53" s="28"/>
      <c r="K53" s="27">
        <v>260401022</v>
      </c>
      <c r="L53" s="27"/>
      <c r="M53" s="27">
        <f>M50-D53</f>
        <v>33</v>
      </c>
      <c r="N53" s="19">
        <v>46100</v>
      </c>
      <c r="O53" s="21">
        <f t="shared" si="6"/>
        <v>46464</v>
      </c>
    </row>
    <row r="54" spans="1:15" ht="20.149999999999999" hidden="1" customHeight="1" x14ac:dyDescent="0.25">
      <c r="A54" s="26">
        <v>46114</v>
      </c>
      <c r="B54" s="26">
        <v>46119</v>
      </c>
      <c r="C54" s="27" t="s">
        <v>685</v>
      </c>
      <c r="D54" s="27">
        <v>4</v>
      </c>
      <c r="E54" s="27">
        <f t="shared" si="4"/>
        <v>780</v>
      </c>
      <c r="F54" s="153" t="s">
        <v>614</v>
      </c>
      <c r="G54" s="36" t="s">
        <v>692</v>
      </c>
      <c r="H54" s="28">
        <f>H53-E54</f>
        <v>17940</v>
      </c>
      <c r="I54" s="28"/>
      <c r="J54" s="28"/>
      <c r="K54" s="27">
        <v>260401022</v>
      </c>
      <c r="L54" s="27"/>
      <c r="M54" s="27">
        <f>M51-D54</f>
        <v>33</v>
      </c>
      <c r="N54" s="19">
        <v>46104</v>
      </c>
      <c r="O54" s="21">
        <f t="shared" si="6"/>
        <v>46468</v>
      </c>
    </row>
    <row r="55" spans="1:15" ht="20.149999999999999" hidden="1" customHeight="1" x14ac:dyDescent="0.25">
      <c r="A55" s="26">
        <v>46114</v>
      </c>
      <c r="B55" s="26">
        <v>46119</v>
      </c>
      <c r="C55" s="27" t="s">
        <v>672</v>
      </c>
      <c r="D55" s="27">
        <v>4</v>
      </c>
      <c r="E55" s="27">
        <f t="shared" si="4"/>
        <v>780</v>
      </c>
      <c r="F55" s="153" t="s">
        <v>614</v>
      </c>
      <c r="G55" s="36" t="s">
        <v>693</v>
      </c>
      <c r="H55" s="28">
        <f>H54-E55</f>
        <v>17160</v>
      </c>
      <c r="I55" s="28"/>
      <c r="J55" s="28"/>
      <c r="K55" s="27">
        <v>260401022</v>
      </c>
      <c r="L55" s="27"/>
      <c r="M55" s="27">
        <f>M52-D55</f>
        <v>34</v>
      </c>
      <c r="N55" s="19">
        <v>46106</v>
      </c>
      <c r="O55" s="21">
        <f t="shared" si="6"/>
        <v>46470</v>
      </c>
    </row>
    <row r="56" spans="1:15" ht="20.149999999999999" hidden="1" customHeight="1" x14ac:dyDescent="0.2">
      <c r="A56" s="22">
        <v>46119</v>
      </c>
      <c r="B56" s="22">
        <v>46119</v>
      </c>
      <c r="C56" s="23" t="s">
        <v>709</v>
      </c>
      <c r="D56" s="23">
        <v>4</v>
      </c>
      <c r="E56" s="23">
        <f t="shared" si="4"/>
        <v>780</v>
      </c>
      <c r="F56" s="38" t="s">
        <v>26</v>
      </c>
      <c r="G56" s="38" t="s">
        <v>714</v>
      </c>
      <c r="H56" s="25">
        <f>H3-E56</f>
        <v>9360</v>
      </c>
      <c r="I56" s="25"/>
      <c r="J56" s="25"/>
      <c r="K56" s="23" t="s">
        <v>711</v>
      </c>
      <c r="L56" s="23"/>
      <c r="M56" s="23">
        <f>M49-D56</f>
        <v>23</v>
      </c>
      <c r="N56" s="19">
        <v>46058</v>
      </c>
      <c r="O56" s="21">
        <f t="shared" si="6"/>
        <v>46422</v>
      </c>
    </row>
    <row r="57" spans="1:15" ht="20.149999999999999" hidden="1" customHeight="1" x14ac:dyDescent="0.2">
      <c r="A57" s="22">
        <v>46119</v>
      </c>
      <c r="B57" s="22">
        <v>46119</v>
      </c>
      <c r="C57" s="23" t="s">
        <v>391</v>
      </c>
      <c r="D57" s="23">
        <v>4</v>
      </c>
      <c r="E57" s="23">
        <f t="shared" si="4"/>
        <v>780</v>
      </c>
      <c r="F57" s="38" t="s">
        <v>26</v>
      </c>
      <c r="G57" s="38" t="s">
        <v>705</v>
      </c>
      <c r="H57" s="25">
        <f>H56-E57</f>
        <v>8580</v>
      </c>
      <c r="I57" s="25"/>
      <c r="J57" s="25"/>
      <c r="K57" s="23" t="s">
        <v>711</v>
      </c>
      <c r="L57" s="23"/>
      <c r="M57" s="23">
        <f>M18-D57</f>
        <v>21</v>
      </c>
      <c r="N57" s="19">
        <v>46062</v>
      </c>
      <c r="O57" s="21">
        <f t="shared" si="6"/>
        <v>46426</v>
      </c>
    </row>
    <row r="58" spans="1:15" ht="20.149999999999999" hidden="1" customHeight="1" x14ac:dyDescent="0.25">
      <c r="A58" s="33">
        <v>46119</v>
      </c>
      <c r="B58" s="33">
        <v>46120</v>
      </c>
      <c r="C58" s="34" t="s">
        <v>710</v>
      </c>
      <c r="D58" s="34">
        <v>12</v>
      </c>
      <c r="E58" s="34">
        <f t="shared" si="4"/>
        <v>2340</v>
      </c>
      <c r="F58" s="155" t="s">
        <v>618</v>
      </c>
      <c r="G58" s="34" t="s">
        <v>715</v>
      </c>
      <c r="H58" s="35">
        <f>H49-E58</f>
        <v>28080</v>
      </c>
      <c r="I58" s="35"/>
      <c r="J58" s="35"/>
      <c r="K58" s="34">
        <v>260402005</v>
      </c>
      <c r="L58" s="34"/>
      <c r="M58" s="34">
        <f>M56-D58</f>
        <v>11</v>
      </c>
      <c r="N58" s="19">
        <v>46058</v>
      </c>
      <c r="O58" s="21">
        <f t="shared" si="6"/>
        <v>46422</v>
      </c>
    </row>
    <row r="59" spans="1:15" ht="20.149999999999999" hidden="1" customHeight="1" x14ac:dyDescent="0.25">
      <c r="A59" s="40">
        <v>46121</v>
      </c>
      <c r="B59" s="40">
        <v>46122</v>
      </c>
      <c r="C59" s="41" t="s">
        <v>729</v>
      </c>
      <c r="D59" s="41">
        <v>7</v>
      </c>
      <c r="E59" s="41">
        <f t="shared" si="4"/>
        <v>1365</v>
      </c>
      <c r="F59" s="152" t="s">
        <v>615</v>
      </c>
      <c r="G59" s="60" t="s">
        <v>737</v>
      </c>
      <c r="H59" s="42">
        <f>H52-E59</f>
        <v>64315</v>
      </c>
      <c r="I59" s="42"/>
      <c r="J59" s="42"/>
      <c r="K59" s="41">
        <v>260408009</v>
      </c>
      <c r="L59" s="41"/>
      <c r="M59" s="41">
        <f>M58-D59</f>
        <v>4</v>
      </c>
      <c r="N59" s="19">
        <v>46058</v>
      </c>
      <c r="O59" s="21">
        <f t="shared" si="6"/>
        <v>46422</v>
      </c>
    </row>
    <row r="60" spans="1:15" ht="20.149999999999999" hidden="1" customHeight="1" x14ac:dyDescent="0.25">
      <c r="A60" s="40">
        <v>46121</v>
      </c>
      <c r="B60" s="40">
        <v>46122</v>
      </c>
      <c r="C60" s="41" t="s">
        <v>391</v>
      </c>
      <c r="D60" s="41">
        <v>5</v>
      </c>
      <c r="E60" s="41">
        <f t="shared" si="4"/>
        <v>975</v>
      </c>
      <c r="F60" s="152" t="s">
        <v>615</v>
      </c>
      <c r="G60" s="60" t="s">
        <v>724</v>
      </c>
      <c r="H60" s="42">
        <f>H59-E60</f>
        <v>63340</v>
      </c>
      <c r="I60" s="42"/>
      <c r="J60" s="42"/>
      <c r="K60" s="41">
        <v>260408009</v>
      </c>
      <c r="L60" s="41"/>
      <c r="M60" s="41">
        <f>M57-D60</f>
        <v>16</v>
      </c>
      <c r="N60" s="19">
        <v>46062</v>
      </c>
      <c r="O60" s="21">
        <f t="shared" si="6"/>
        <v>46426</v>
      </c>
    </row>
    <row r="61" spans="1:15" ht="20.149999999999999" hidden="1" customHeight="1" x14ac:dyDescent="0.25">
      <c r="A61" s="40">
        <v>46121</v>
      </c>
      <c r="B61" s="40">
        <v>46122</v>
      </c>
      <c r="C61" s="41" t="s">
        <v>717</v>
      </c>
      <c r="D61" s="41">
        <v>4</v>
      </c>
      <c r="E61" s="41">
        <f t="shared" si="4"/>
        <v>780</v>
      </c>
      <c r="F61" s="152" t="s">
        <v>615</v>
      </c>
      <c r="G61" s="60" t="s">
        <v>97</v>
      </c>
      <c r="H61" s="42">
        <f>H60-E61</f>
        <v>62560</v>
      </c>
      <c r="I61" s="121" t="s">
        <v>12</v>
      </c>
      <c r="J61" s="42"/>
      <c r="K61" s="41">
        <v>260408009</v>
      </c>
      <c r="L61" s="41">
        <v>41</v>
      </c>
      <c r="M61" s="41">
        <f>L61-D61</f>
        <v>37</v>
      </c>
      <c r="N61" s="19">
        <v>46108</v>
      </c>
      <c r="O61" s="21">
        <f t="shared" si="6"/>
        <v>46472</v>
      </c>
    </row>
    <row r="62" spans="1:15" ht="20.149999999999999" hidden="1" customHeight="1" x14ac:dyDescent="0.25">
      <c r="A62" s="26">
        <v>46121</v>
      </c>
      <c r="B62" s="26">
        <v>46122</v>
      </c>
      <c r="C62" s="27" t="s">
        <v>730</v>
      </c>
      <c r="D62" s="27">
        <v>17</v>
      </c>
      <c r="E62" s="27">
        <f t="shared" si="4"/>
        <v>3315</v>
      </c>
      <c r="F62" s="153" t="s">
        <v>618</v>
      </c>
      <c r="G62" s="27" t="s">
        <v>738</v>
      </c>
      <c r="H62" s="28">
        <f>H58-E62</f>
        <v>24765</v>
      </c>
      <c r="I62" s="28"/>
      <c r="J62" s="28"/>
      <c r="K62" s="27">
        <v>260408010</v>
      </c>
      <c r="L62" s="27"/>
      <c r="M62" s="27">
        <f>M22-D62</f>
        <v>8</v>
      </c>
      <c r="N62" s="19">
        <v>46064</v>
      </c>
      <c r="O62" s="21">
        <f t="shared" si="6"/>
        <v>46428</v>
      </c>
    </row>
    <row r="63" spans="1:15" ht="20.149999999999999" hidden="1" customHeight="1" x14ac:dyDescent="0.25">
      <c r="A63" s="26">
        <v>46121</v>
      </c>
      <c r="B63" s="26">
        <v>46122</v>
      </c>
      <c r="C63" s="27" t="s">
        <v>731</v>
      </c>
      <c r="D63" s="27">
        <v>3</v>
      </c>
      <c r="E63" s="27">
        <f t="shared" si="4"/>
        <v>585</v>
      </c>
      <c r="F63" s="153" t="s">
        <v>618</v>
      </c>
      <c r="G63" s="27" t="s">
        <v>105</v>
      </c>
      <c r="H63" s="28">
        <f>H62-E63</f>
        <v>24180</v>
      </c>
      <c r="I63" s="28"/>
      <c r="J63" s="28"/>
      <c r="K63" s="27">
        <v>260408010</v>
      </c>
      <c r="L63" s="27"/>
      <c r="M63" s="27">
        <f>M23-D63</f>
        <v>23</v>
      </c>
      <c r="N63" s="19">
        <v>46066</v>
      </c>
      <c r="O63" s="21">
        <f t="shared" si="6"/>
        <v>46430</v>
      </c>
    </row>
    <row r="64" spans="1:15" ht="20.149999999999999" hidden="1" customHeight="1" x14ac:dyDescent="0.25">
      <c r="A64" s="29">
        <v>46121</v>
      </c>
      <c r="B64" s="29">
        <v>46122</v>
      </c>
      <c r="C64" s="30" t="s">
        <v>732</v>
      </c>
      <c r="D64" s="30">
        <v>12</v>
      </c>
      <c r="E64" s="30">
        <f t="shared" si="4"/>
        <v>2340</v>
      </c>
      <c r="F64" s="156" t="s">
        <v>614</v>
      </c>
      <c r="G64" s="37" t="s">
        <v>739</v>
      </c>
      <c r="H64" s="32">
        <f>H55-E64</f>
        <v>14820</v>
      </c>
      <c r="I64" s="32"/>
      <c r="J64" s="32"/>
      <c r="K64" s="30">
        <v>260408011</v>
      </c>
      <c r="L64" s="30"/>
      <c r="M64" s="30">
        <f>M60-D64</f>
        <v>4</v>
      </c>
      <c r="N64" s="19">
        <v>46062</v>
      </c>
      <c r="O64" s="21">
        <f t="shared" si="6"/>
        <v>46426</v>
      </c>
    </row>
    <row r="65" spans="1:15" ht="20.149999999999999" hidden="1" customHeight="1" x14ac:dyDescent="0.25">
      <c r="A65" s="29">
        <v>46121</v>
      </c>
      <c r="B65" s="29">
        <v>46122</v>
      </c>
      <c r="C65" s="30" t="s">
        <v>733</v>
      </c>
      <c r="D65" s="30">
        <v>4</v>
      </c>
      <c r="E65" s="30">
        <f t="shared" si="4"/>
        <v>780</v>
      </c>
      <c r="F65" s="156" t="s">
        <v>614</v>
      </c>
      <c r="G65" s="37" t="s">
        <v>725</v>
      </c>
      <c r="H65" s="32">
        <f>H64-E65</f>
        <v>14040</v>
      </c>
      <c r="I65" s="32"/>
      <c r="J65" s="32"/>
      <c r="K65" s="30">
        <v>260408011</v>
      </c>
      <c r="L65" s="30"/>
      <c r="M65" s="30">
        <f>M61-D65</f>
        <v>33</v>
      </c>
      <c r="N65" s="19">
        <v>46108</v>
      </c>
      <c r="O65" s="21">
        <f t="shared" si="6"/>
        <v>46472</v>
      </c>
    </row>
    <row r="66" spans="1:15" ht="20.149999999999999" hidden="1" customHeight="1" x14ac:dyDescent="0.25">
      <c r="A66" s="22">
        <v>46122</v>
      </c>
      <c r="B66" s="22">
        <v>46125</v>
      </c>
      <c r="C66" s="23" t="s">
        <v>748</v>
      </c>
      <c r="D66" s="23">
        <v>15</v>
      </c>
      <c r="E66" s="23">
        <f t="shared" si="4"/>
        <v>2925</v>
      </c>
      <c r="F66" s="154" t="s">
        <v>618</v>
      </c>
      <c r="G66" s="23" t="s">
        <v>753</v>
      </c>
      <c r="H66" s="25">
        <f>H63-E66</f>
        <v>21255</v>
      </c>
      <c r="I66" s="25"/>
      <c r="J66" s="25"/>
      <c r="K66" s="23">
        <v>260409007</v>
      </c>
      <c r="L66" s="23"/>
      <c r="M66" s="23">
        <f>M63-D66</f>
        <v>8</v>
      </c>
      <c r="N66" s="19">
        <v>46066</v>
      </c>
      <c r="O66" s="21">
        <f t="shared" si="6"/>
        <v>46430</v>
      </c>
    </row>
    <row r="67" spans="1:15" ht="20.149999999999999" hidden="1" customHeight="1" x14ac:dyDescent="0.25">
      <c r="A67" s="22">
        <v>46122</v>
      </c>
      <c r="B67" s="22">
        <v>46125</v>
      </c>
      <c r="C67" s="23" t="s">
        <v>749</v>
      </c>
      <c r="D67" s="23">
        <v>1</v>
      </c>
      <c r="E67" s="23">
        <f t="shared" si="4"/>
        <v>195</v>
      </c>
      <c r="F67" s="154" t="s">
        <v>618</v>
      </c>
      <c r="G67" s="23" t="s">
        <v>742</v>
      </c>
      <c r="H67" s="25">
        <f>H66-E67</f>
        <v>21060</v>
      </c>
      <c r="I67" s="25"/>
      <c r="J67" s="25"/>
      <c r="K67" s="23">
        <v>260409007</v>
      </c>
      <c r="L67" s="23"/>
      <c r="M67" s="23">
        <f>M26-D67</f>
        <v>24</v>
      </c>
      <c r="N67" s="19">
        <v>46070</v>
      </c>
      <c r="O67" s="21">
        <f t="shared" si="6"/>
        <v>46434</v>
      </c>
    </row>
    <row r="68" spans="1:15" ht="20.149999999999999" hidden="1" customHeight="1" x14ac:dyDescent="0.25">
      <c r="A68" s="33">
        <v>46125</v>
      </c>
      <c r="B68" s="33">
        <v>46126</v>
      </c>
      <c r="C68" s="34" t="s">
        <v>768</v>
      </c>
      <c r="D68" s="34">
        <v>4</v>
      </c>
      <c r="E68" s="34">
        <f t="shared" si="4"/>
        <v>780</v>
      </c>
      <c r="F68" s="155" t="s">
        <v>615</v>
      </c>
      <c r="G68" s="39" t="s">
        <v>774</v>
      </c>
      <c r="H68" s="35">
        <f>H61-E68</f>
        <v>61780</v>
      </c>
      <c r="I68" s="35"/>
      <c r="J68" s="35"/>
      <c r="K68" s="34">
        <v>260410006</v>
      </c>
      <c r="L68" s="34"/>
      <c r="M68" s="34">
        <f>M67-D68</f>
        <v>20</v>
      </c>
      <c r="N68" s="19">
        <v>46070</v>
      </c>
      <c r="O68" s="21">
        <f t="shared" si="6"/>
        <v>46434</v>
      </c>
    </row>
    <row r="69" spans="1:15" ht="20.149999999999999" hidden="1" customHeight="1" x14ac:dyDescent="0.25">
      <c r="A69" s="33">
        <v>46125</v>
      </c>
      <c r="B69" s="33">
        <v>46126</v>
      </c>
      <c r="C69" s="34" t="s">
        <v>769</v>
      </c>
      <c r="D69" s="34">
        <v>4</v>
      </c>
      <c r="E69" s="34">
        <f t="shared" si="4"/>
        <v>780</v>
      </c>
      <c r="F69" s="155" t="s">
        <v>615</v>
      </c>
      <c r="G69" s="39" t="s">
        <v>97</v>
      </c>
      <c r="H69" s="35">
        <f>H68-E69</f>
        <v>61000</v>
      </c>
      <c r="I69" s="63" t="s">
        <v>12</v>
      </c>
      <c r="J69" s="35"/>
      <c r="K69" s="34">
        <v>260410006</v>
      </c>
      <c r="L69" s="34">
        <v>41</v>
      </c>
      <c r="M69" s="34">
        <f>L69-D69</f>
        <v>37</v>
      </c>
      <c r="N69" s="19">
        <v>46111</v>
      </c>
      <c r="O69" s="21">
        <f t="shared" si="6"/>
        <v>46475</v>
      </c>
    </row>
    <row r="70" spans="1:15" ht="20.149999999999999" hidden="1" customHeight="1" x14ac:dyDescent="0.25">
      <c r="A70" s="33">
        <v>46125</v>
      </c>
      <c r="B70" s="33">
        <v>46126</v>
      </c>
      <c r="C70" s="34" t="s">
        <v>757</v>
      </c>
      <c r="D70" s="34">
        <v>4</v>
      </c>
      <c r="E70" s="34">
        <f t="shared" si="4"/>
        <v>780</v>
      </c>
      <c r="F70" s="155" t="s">
        <v>615</v>
      </c>
      <c r="G70" s="39" t="s">
        <v>97</v>
      </c>
      <c r="H70" s="35">
        <f>H69-E70</f>
        <v>60220</v>
      </c>
      <c r="I70" s="63" t="s">
        <v>12</v>
      </c>
      <c r="J70" s="35"/>
      <c r="K70" s="34">
        <v>260410006</v>
      </c>
      <c r="L70" s="34">
        <v>42</v>
      </c>
      <c r="M70" s="34">
        <f>L70-D70</f>
        <v>38</v>
      </c>
      <c r="N70" s="19">
        <v>46113</v>
      </c>
      <c r="O70" s="21">
        <f t="shared" si="6"/>
        <v>46477</v>
      </c>
    </row>
    <row r="71" spans="1:15" ht="20.149999999999999" hidden="1" customHeight="1" x14ac:dyDescent="0.25">
      <c r="A71" s="40">
        <v>46125</v>
      </c>
      <c r="B71" s="40">
        <v>46126</v>
      </c>
      <c r="C71" s="41" t="s">
        <v>424</v>
      </c>
      <c r="D71" s="41">
        <v>4</v>
      </c>
      <c r="E71" s="41">
        <f t="shared" si="4"/>
        <v>780</v>
      </c>
      <c r="F71" s="152" t="s">
        <v>614</v>
      </c>
      <c r="G71" s="60" t="s">
        <v>775</v>
      </c>
      <c r="H71" s="42">
        <f>H65-E71</f>
        <v>13260</v>
      </c>
      <c r="I71" s="42"/>
      <c r="J71" s="42"/>
      <c r="K71" s="41">
        <v>260410007</v>
      </c>
      <c r="L71" s="41"/>
      <c r="M71" s="41">
        <f>M68-D71</f>
        <v>16</v>
      </c>
      <c r="N71" s="19">
        <v>46070</v>
      </c>
      <c r="O71" s="21">
        <f t="shared" si="6"/>
        <v>46434</v>
      </c>
    </row>
    <row r="72" spans="1:15" ht="20.149999999999999" hidden="1" customHeight="1" x14ac:dyDescent="0.25">
      <c r="A72" s="40">
        <v>46125</v>
      </c>
      <c r="B72" s="40">
        <v>46126</v>
      </c>
      <c r="C72" s="41" t="s">
        <v>770</v>
      </c>
      <c r="D72" s="41">
        <v>4</v>
      </c>
      <c r="E72" s="41">
        <f t="shared" si="4"/>
        <v>780</v>
      </c>
      <c r="F72" s="152" t="s">
        <v>614</v>
      </c>
      <c r="G72" s="60" t="s">
        <v>772</v>
      </c>
      <c r="H72" s="42">
        <f>H71-E72</f>
        <v>12480</v>
      </c>
      <c r="I72" s="42"/>
      <c r="J72" s="42"/>
      <c r="K72" s="41">
        <v>260410007</v>
      </c>
      <c r="L72" s="41"/>
      <c r="M72" s="41">
        <f>M69-D72</f>
        <v>33</v>
      </c>
      <c r="N72" s="19">
        <v>46111</v>
      </c>
      <c r="O72" s="21">
        <f t="shared" si="6"/>
        <v>46475</v>
      </c>
    </row>
    <row r="73" spans="1:15" ht="20.149999999999999" hidden="1" customHeight="1" x14ac:dyDescent="0.25">
      <c r="A73" s="40">
        <v>46125</v>
      </c>
      <c r="B73" s="40">
        <v>46126</v>
      </c>
      <c r="C73" s="41" t="s">
        <v>771</v>
      </c>
      <c r="D73" s="41">
        <v>4</v>
      </c>
      <c r="E73" s="41">
        <f t="shared" si="4"/>
        <v>780</v>
      </c>
      <c r="F73" s="152" t="s">
        <v>614</v>
      </c>
      <c r="G73" s="60" t="s">
        <v>427</v>
      </c>
      <c r="H73" s="42">
        <f>H72-E73</f>
        <v>11700</v>
      </c>
      <c r="I73" s="42"/>
      <c r="J73" s="42"/>
      <c r="K73" s="41">
        <v>260410007</v>
      </c>
      <c r="L73" s="41"/>
      <c r="M73" s="41">
        <f>M70-D73</f>
        <v>34</v>
      </c>
      <c r="N73" s="19">
        <v>46113</v>
      </c>
      <c r="O73" s="21">
        <f t="shared" si="6"/>
        <v>46477</v>
      </c>
    </row>
    <row r="74" spans="1:15" ht="20.149999999999999" hidden="1" customHeight="1" x14ac:dyDescent="0.2">
      <c r="A74" s="29">
        <v>46126</v>
      </c>
      <c r="B74" s="29">
        <v>46127</v>
      </c>
      <c r="C74" s="30" t="s">
        <v>787</v>
      </c>
      <c r="D74" s="30">
        <v>4</v>
      </c>
      <c r="E74" s="30">
        <f t="shared" si="4"/>
        <v>780</v>
      </c>
      <c r="F74" s="30" t="s">
        <v>758</v>
      </c>
      <c r="G74" s="161" t="s">
        <v>799</v>
      </c>
      <c r="H74" s="32">
        <f>100000-E74</f>
        <v>99220</v>
      </c>
      <c r="I74" s="32"/>
      <c r="J74" s="32"/>
      <c r="K74" s="30" t="s">
        <v>788</v>
      </c>
      <c r="L74" s="30"/>
      <c r="M74" s="30">
        <f>M59-D74</f>
        <v>0</v>
      </c>
      <c r="N74" s="19">
        <v>46058</v>
      </c>
      <c r="O74" s="21">
        <f t="shared" si="6"/>
        <v>46422</v>
      </c>
    </row>
    <row r="75" spans="1:15" ht="20.149999999999999" hidden="1" customHeight="1" x14ac:dyDescent="0.2">
      <c r="A75" s="29">
        <v>46126</v>
      </c>
      <c r="B75" s="29">
        <v>46127</v>
      </c>
      <c r="C75" s="30" t="s">
        <v>391</v>
      </c>
      <c r="D75" s="30">
        <v>4</v>
      </c>
      <c r="E75" s="30">
        <f t="shared" si="4"/>
        <v>780</v>
      </c>
      <c r="F75" s="30" t="s">
        <v>758</v>
      </c>
      <c r="G75" s="161" t="s">
        <v>790</v>
      </c>
      <c r="H75" s="32">
        <f>H74-E75</f>
        <v>98440</v>
      </c>
      <c r="I75" s="32"/>
      <c r="J75" s="32"/>
      <c r="K75" s="30" t="s">
        <v>788</v>
      </c>
      <c r="L75" s="30"/>
      <c r="M75" s="30">
        <f>M64-D75</f>
        <v>0</v>
      </c>
      <c r="N75" s="19">
        <v>46062</v>
      </c>
      <c r="O75" s="21">
        <f t="shared" si="6"/>
        <v>46426</v>
      </c>
    </row>
    <row r="76" spans="1:15" ht="20.149999999999999" hidden="1" customHeight="1" x14ac:dyDescent="0.25">
      <c r="A76" s="26">
        <v>46128</v>
      </c>
      <c r="B76" s="26">
        <v>46129</v>
      </c>
      <c r="C76" s="27" t="s">
        <v>424</v>
      </c>
      <c r="D76" s="27">
        <v>8</v>
      </c>
      <c r="E76" s="27">
        <f t="shared" si="4"/>
        <v>1560</v>
      </c>
      <c r="F76" s="153" t="s">
        <v>615</v>
      </c>
      <c r="G76" s="36" t="s">
        <v>97</v>
      </c>
      <c r="H76" s="28">
        <f>H70-E76</f>
        <v>58660</v>
      </c>
      <c r="I76" s="28"/>
      <c r="J76" s="28"/>
      <c r="K76" s="27">
        <v>260415009</v>
      </c>
      <c r="L76" s="27"/>
      <c r="M76" s="27">
        <f>M71-D76</f>
        <v>8</v>
      </c>
      <c r="N76" s="19">
        <v>46070</v>
      </c>
      <c r="O76" s="21">
        <f t="shared" si="6"/>
        <v>46434</v>
      </c>
    </row>
    <row r="77" spans="1:15" ht="20.149999999999999" hidden="1" customHeight="1" x14ac:dyDescent="0.25">
      <c r="A77" s="26">
        <v>46128</v>
      </c>
      <c r="B77" s="26">
        <v>46129</v>
      </c>
      <c r="C77" s="27" t="s">
        <v>813</v>
      </c>
      <c r="D77" s="27">
        <v>8</v>
      </c>
      <c r="E77" s="27">
        <f t="shared" si="4"/>
        <v>1560</v>
      </c>
      <c r="F77" s="153" t="s">
        <v>615</v>
      </c>
      <c r="G77" s="36" t="s">
        <v>97</v>
      </c>
      <c r="H77" s="28">
        <f>H76-E77</f>
        <v>57100</v>
      </c>
      <c r="I77" s="28"/>
      <c r="J77" s="28"/>
      <c r="K77" s="27">
        <v>260415009</v>
      </c>
      <c r="L77" s="27"/>
      <c r="M77" s="27">
        <f>M27-D77</f>
        <v>17</v>
      </c>
      <c r="N77" s="19">
        <v>46072</v>
      </c>
      <c r="O77" s="21">
        <f t="shared" si="6"/>
        <v>46436</v>
      </c>
    </row>
    <row r="78" spans="1:15" ht="20.149999999999999" hidden="1" customHeight="1" x14ac:dyDescent="0.25">
      <c r="A78" s="22">
        <v>46128</v>
      </c>
      <c r="B78" s="22">
        <v>46129</v>
      </c>
      <c r="C78" s="23" t="s">
        <v>814</v>
      </c>
      <c r="D78" s="23">
        <v>9</v>
      </c>
      <c r="E78" s="23">
        <f t="shared" si="4"/>
        <v>1755</v>
      </c>
      <c r="F78" s="154" t="s">
        <v>614</v>
      </c>
      <c r="G78" s="38" t="s">
        <v>821</v>
      </c>
      <c r="H78" s="25">
        <f>H73-E78</f>
        <v>9945</v>
      </c>
      <c r="I78" s="25"/>
      <c r="J78" s="25"/>
      <c r="K78" s="23">
        <v>260415010</v>
      </c>
      <c r="L78" s="23"/>
      <c r="M78" s="23">
        <f>M77-D78</f>
        <v>8</v>
      </c>
      <c r="N78" s="19">
        <v>46072</v>
      </c>
      <c r="O78" s="21">
        <f t="shared" si="6"/>
        <v>46436</v>
      </c>
    </row>
    <row r="79" spans="1:15" ht="20.149999999999999" hidden="1" customHeight="1" x14ac:dyDescent="0.25">
      <c r="A79" s="22">
        <v>46128</v>
      </c>
      <c r="B79" s="22">
        <v>46129</v>
      </c>
      <c r="C79" s="23" t="s">
        <v>435</v>
      </c>
      <c r="D79" s="23">
        <v>3</v>
      </c>
      <c r="E79" s="23">
        <f t="shared" si="4"/>
        <v>585</v>
      </c>
      <c r="F79" s="154" t="s">
        <v>614</v>
      </c>
      <c r="G79" s="38" t="s">
        <v>803</v>
      </c>
      <c r="H79" s="25">
        <f>H78-E79</f>
        <v>9360</v>
      </c>
      <c r="I79" s="25"/>
      <c r="J79" s="25"/>
      <c r="K79" s="23">
        <v>260415010</v>
      </c>
      <c r="L79" s="23"/>
      <c r="M79" s="23">
        <f>M30-D79</f>
        <v>22</v>
      </c>
      <c r="N79" s="19">
        <v>46076</v>
      </c>
      <c r="O79" s="21">
        <f t="shared" si="6"/>
        <v>46440</v>
      </c>
    </row>
    <row r="80" spans="1:15" ht="20.149999999999999" hidden="1" customHeight="1" x14ac:dyDescent="0.25">
      <c r="A80" s="33">
        <v>46129</v>
      </c>
      <c r="B80" s="33">
        <v>46132</v>
      </c>
      <c r="C80" s="34" t="s">
        <v>832</v>
      </c>
      <c r="D80" s="34">
        <v>14</v>
      </c>
      <c r="E80" s="34">
        <f t="shared" si="4"/>
        <v>2730</v>
      </c>
      <c r="F80" s="155" t="s">
        <v>618</v>
      </c>
      <c r="G80" s="34" t="s">
        <v>689</v>
      </c>
      <c r="H80" s="35">
        <f>H67-E80</f>
        <v>18330</v>
      </c>
      <c r="I80" s="35"/>
      <c r="J80" s="35"/>
      <c r="K80" s="34">
        <v>260416006</v>
      </c>
      <c r="L80" s="34"/>
      <c r="M80" s="34">
        <f>M79-D80</f>
        <v>8</v>
      </c>
      <c r="N80" s="19">
        <v>46076</v>
      </c>
      <c r="O80" s="21">
        <f t="shared" si="6"/>
        <v>46440</v>
      </c>
    </row>
    <row r="81" spans="1:15" ht="20.149999999999999" hidden="1" customHeight="1" x14ac:dyDescent="0.25">
      <c r="A81" s="33">
        <v>46129</v>
      </c>
      <c r="B81" s="33">
        <v>46132</v>
      </c>
      <c r="C81" s="34" t="s">
        <v>833</v>
      </c>
      <c r="D81" s="34">
        <v>2</v>
      </c>
      <c r="E81" s="34">
        <f t="shared" si="4"/>
        <v>390</v>
      </c>
      <c r="F81" s="155" t="s">
        <v>618</v>
      </c>
      <c r="G81" s="34" t="s">
        <v>825</v>
      </c>
      <c r="H81" s="35">
        <f>H80-E81</f>
        <v>17940</v>
      </c>
      <c r="I81" s="35"/>
      <c r="J81" s="35"/>
      <c r="K81" s="34">
        <v>260416006</v>
      </c>
      <c r="L81" s="34"/>
      <c r="M81" s="34">
        <f>M32-D81</f>
        <v>24</v>
      </c>
      <c r="N81" s="19">
        <v>46078</v>
      </c>
      <c r="O81" s="21">
        <f t="shared" si="6"/>
        <v>46442</v>
      </c>
    </row>
    <row r="82" spans="1:15" ht="20.149999999999999" hidden="1" customHeight="1" x14ac:dyDescent="0.2">
      <c r="A82" s="40">
        <v>46132</v>
      </c>
      <c r="B82" s="40">
        <v>46132</v>
      </c>
      <c r="C82" s="41" t="s">
        <v>847</v>
      </c>
      <c r="D82" s="41">
        <v>4</v>
      </c>
      <c r="E82" s="41">
        <f t="shared" si="4"/>
        <v>780</v>
      </c>
      <c r="F82" s="60" t="s">
        <v>26</v>
      </c>
      <c r="G82" s="60" t="s">
        <v>857</v>
      </c>
      <c r="H82" s="42">
        <f>H57-E82</f>
        <v>7800</v>
      </c>
      <c r="I82" s="42"/>
      <c r="J82" s="42"/>
      <c r="K82" s="41">
        <v>260417007</v>
      </c>
      <c r="L82" s="41"/>
      <c r="M82" s="41">
        <f>M62-D82</f>
        <v>4</v>
      </c>
      <c r="N82" s="19">
        <v>46064</v>
      </c>
      <c r="O82" s="21">
        <f t="shared" si="6"/>
        <v>46428</v>
      </c>
    </row>
    <row r="83" spans="1:15" ht="20.149999999999999" hidden="1" customHeight="1" x14ac:dyDescent="0.2">
      <c r="A83" s="40">
        <v>46132</v>
      </c>
      <c r="B83" s="40">
        <v>46132</v>
      </c>
      <c r="C83" s="41" t="s">
        <v>848</v>
      </c>
      <c r="D83" s="41">
        <v>4</v>
      </c>
      <c r="E83" s="41">
        <f t="shared" si="4"/>
        <v>780</v>
      </c>
      <c r="F83" s="60" t="s">
        <v>26</v>
      </c>
      <c r="G83" s="60" t="s">
        <v>837</v>
      </c>
      <c r="H83" s="42">
        <f>H82-E83</f>
        <v>7020</v>
      </c>
      <c r="I83" s="42"/>
      <c r="J83" s="42"/>
      <c r="K83" s="41">
        <v>260417007</v>
      </c>
      <c r="L83" s="41"/>
      <c r="M83" s="41">
        <f>M66-D83</f>
        <v>4</v>
      </c>
      <c r="N83" s="19">
        <v>46066</v>
      </c>
      <c r="O83" s="21">
        <f t="shared" si="6"/>
        <v>46430</v>
      </c>
    </row>
    <row r="84" spans="1:15" ht="20.149999999999999" hidden="1" customHeight="1" x14ac:dyDescent="0.2">
      <c r="A84" s="40">
        <v>46132</v>
      </c>
      <c r="B84" s="40">
        <v>46132</v>
      </c>
      <c r="C84" s="41" t="s">
        <v>849</v>
      </c>
      <c r="D84" s="41">
        <v>4</v>
      </c>
      <c r="E84" s="41">
        <f t="shared" si="4"/>
        <v>780</v>
      </c>
      <c r="F84" s="60" t="s">
        <v>26</v>
      </c>
      <c r="G84" s="60" t="s">
        <v>841</v>
      </c>
      <c r="H84" s="42">
        <f>H83-E84</f>
        <v>6240</v>
      </c>
      <c r="I84" s="42"/>
      <c r="J84" s="42"/>
      <c r="K84" s="41">
        <v>260417007</v>
      </c>
      <c r="L84" s="41"/>
      <c r="M84" s="41">
        <f>M76-D84</f>
        <v>4</v>
      </c>
      <c r="N84" s="19">
        <v>46070</v>
      </c>
      <c r="O84" s="21">
        <f t="shared" si="6"/>
        <v>46434</v>
      </c>
    </row>
    <row r="85" spans="1:15" ht="20.149999999999999" hidden="1" customHeight="1" x14ac:dyDescent="0.25">
      <c r="A85" s="29">
        <v>46132</v>
      </c>
      <c r="B85" s="29">
        <v>46133</v>
      </c>
      <c r="C85" s="30" t="s">
        <v>850</v>
      </c>
      <c r="D85" s="30">
        <v>4</v>
      </c>
      <c r="E85" s="30">
        <f t="shared" si="4"/>
        <v>780</v>
      </c>
      <c r="F85" s="156" t="s">
        <v>615</v>
      </c>
      <c r="G85" s="37" t="s">
        <v>97</v>
      </c>
      <c r="H85" s="32">
        <f>H77-E85</f>
        <v>56320</v>
      </c>
      <c r="I85" s="32"/>
      <c r="J85" s="32"/>
      <c r="K85" s="30">
        <v>260417008</v>
      </c>
      <c r="L85" s="30"/>
      <c r="M85" s="30">
        <f>M81-D85</f>
        <v>20</v>
      </c>
      <c r="N85" s="19">
        <v>46078</v>
      </c>
      <c r="O85" s="21">
        <f t="shared" si="6"/>
        <v>46442</v>
      </c>
    </row>
    <row r="86" spans="1:15" ht="20.149999999999999" hidden="1" customHeight="1" x14ac:dyDescent="0.25">
      <c r="A86" s="29">
        <v>46132</v>
      </c>
      <c r="B86" s="29">
        <v>46133</v>
      </c>
      <c r="C86" s="30" t="s">
        <v>851</v>
      </c>
      <c r="D86" s="30">
        <v>4</v>
      </c>
      <c r="E86" s="30">
        <f t="shared" si="4"/>
        <v>780</v>
      </c>
      <c r="F86" s="156" t="s">
        <v>615</v>
      </c>
      <c r="G86" s="37" t="s">
        <v>97</v>
      </c>
      <c r="H86" s="32">
        <f>H85-E86</f>
        <v>55540</v>
      </c>
      <c r="I86" s="70" t="s">
        <v>12</v>
      </c>
      <c r="J86" s="32"/>
      <c r="K86" s="30">
        <v>260417008</v>
      </c>
      <c r="L86" s="30">
        <v>41</v>
      </c>
      <c r="M86" s="30">
        <f>L86-D86</f>
        <v>37</v>
      </c>
      <c r="N86" s="19">
        <v>46115</v>
      </c>
      <c r="O86" s="21">
        <f t="shared" si="6"/>
        <v>46479</v>
      </c>
    </row>
    <row r="87" spans="1:15" ht="20.149999999999999" hidden="1" customHeight="1" x14ac:dyDescent="0.25">
      <c r="A87" s="29">
        <v>46132</v>
      </c>
      <c r="B87" s="29">
        <v>46133</v>
      </c>
      <c r="C87" s="30" t="s">
        <v>852</v>
      </c>
      <c r="D87" s="30">
        <v>4</v>
      </c>
      <c r="E87" s="30">
        <f t="shared" si="4"/>
        <v>780</v>
      </c>
      <c r="F87" s="156" t="s">
        <v>615</v>
      </c>
      <c r="G87" s="37" t="s">
        <v>97</v>
      </c>
      <c r="H87" s="32">
        <f>H86-E87</f>
        <v>54760</v>
      </c>
      <c r="I87" s="70" t="s">
        <v>12</v>
      </c>
      <c r="J87" s="32"/>
      <c r="K87" s="30">
        <v>260417008</v>
      </c>
      <c r="L87" s="30">
        <v>42</v>
      </c>
      <c r="M87" s="30">
        <f>L87-D87</f>
        <v>38</v>
      </c>
      <c r="N87" s="19">
        <v>46118</v>
      </c>
      <c r="O87" s="21">
        <f t="shared" si="6"/>
        <v>46482</v>
      </c>
    </row>
    <row r="88" spans="1:15" ht="20.149999999999999" hidden="1" customHeight="1" x14ac:dyDescent="0.25">
      <c r="A88" s="29">
        <v>46132</v>
      </c>
      <c r="B88" s="29">
        <v>46133</v>
      </c>
      <c r="C88" s="30" t="s">
        <v>836</v>
      </c>
      <c r="D88" s="30">
        <v>4</v>
      </c>
      <c r="E88" s="30">
        <f t="shared" si="4"/>
        <v>780</v>
      </c>
      <c r="F88" s="156" t="s">
        <v>615</v>
      </c>
      <c r="G88" s="37" t="s">
        <v>97</v>
      </c>
      <c r="H88" s="32">
        <f>H87-E88</f>
        <v>53980</v>
      </c>
      <c r="I88" s="70" t="s">
        <v>12</v>
      </c>
      <c r="J88" s="32"/>
      <c r="K88" s="30">
        <v>260417008</v>
      </c>
      <c r="L88" s="30">
        <v>41</v>
      </c>
      <c r="M88" s="30">
        <f>L88-D88</f>
        <v>37</v>
      </c>
      <c r="N88" s="19">
        <v>46120</v>
      </c>
      <c r="O88" s="21">
        <f t="shared" si="6"/>
        <v>46484</v>
      </c>
    </row>
    <row r="89" spans="1:15" ht="20.149999999999999" hidden="1" customHeight="1" x14ac:dyDescent="0.2">
      <c r="A89" s="26">
        <v>46133</v>
      </c>
      <c r="B89" s="26">
        <v>46133</v>
      </c>
      <c r="C89" s="27" t="s">
        <v>862</v>
      </c>
      <c r="D89" s="27">
        <v>4</v>
      </c>
      <c r="E89" s="27">
        <f t="shared" si="4"/>
        <v>780</v>
      </c>
      <c r="F89" s="36" t="s">
        <v>26</v>
      </c>
      <c r="G89" s="36" t="s">
        <v>714</v>
      </c>
      <c r="H89" s="28">
        <f>H84-E89</f>
        <v>5460</v>
      </c>
      <c r="I89" s="28"/>
      <c r="J89" s="28"/>
      <c r="K89" s="27">
        <v>260420005</v>
      </c>
      <c r="L89" s="27"/>
      <c r="M89" s="27">
        <f>M78-D89</f>
        <v>4</v>
      </c>
      <c r="N89" s="19">
        <v>46072</v>
      </c>
      <c r="O89" s="21">
        <f t="shared" ref="O89:O96" si="7">DATE(YEAR(N89)+1,MONTH(N89),DAY(N89))-1</f>
        <v>46436</v>
      </c>
    </row>
    <row r="90" spans="1:15" ht="20.149999999999999" hidden="1" customHeight="1" x14ac:dyDescent="0.2">
      <c r="A90" s="26">
        <v>46133</v>
      </c>
      <c r="B90" s="26">
        <v>46133</v>
      </c>
      <c r="C90" s="27" t="s">
        <v>435</v>
      </c>
      <c r="D90" s="27">
        <v>4</v>
      </c>
      <c r="E90" s="27">
        <f t="shared" si="4"/>
        <v>780</v>
      </c>
      <c r="F90" s="36" t="s">
        <v>26</v>
      </c>
      <c r="G90" s="36" t="s">
        <v>841</v>
      </c>
      <c r="H90" s="28">
        <f>H89-E90</f>
        <v>4680</v>
      </c>
      <c r="I90" s="28"/>
      <c r="J90" s="28"/>
      <c r="K90" s="27">
        <v>260420005</v>
      </c>
      <c r="L90" s="27"/>
      <c r="M90" s="27">
        <f>M80-D90</f>
        <v>4</v>
      </c>
      <c r="N90" s="19">
        <v>46076</v>
      </c>
      <c r="O90" s="21">
        <f t="shared" si="7"/>
        <v>46440</v>
      </c>
    </row>
    <row r="91" spans="1:15" ht="20.149999999999999" hidden="1" customHeight="1" x14ac:dyDescent="0.25">
      <c r="A91" s="22">
        <v>46133</v>
      </c>
      <c r="B91" s="22">
        <v>46134</v>
      </c>
      <c r="C91" s="23" t="s">
        <v>467</v>
      </c>
      <c r="D91" s="23">
        <v>12</v>
      </c>
      <c r="E91" s="23">
        <f t="shared" ref="E91:E117" si="8">D91*195</f>
        <v>2340</v>
      </c>
      <c r="F91" s="154" t="s">
        <v>618</v>
      </c>
      <c r="G91" s="23" t="s">
        <v>105</v>
      </c>
      <c r="H91" s="25">
        <f>H81-E91</f>
        <v>15600</v>
      </c>
      <c r="I91" s="25"/>
      <c r="J91" s="25"/>
      <c r="K91" s="23">
        <v>260420006</v>
      </c>
      <c r="L91" s="23"/>
      <c r="M91" s="23">
        <f>M85-D91</f>
        <v>8</v>
      </c>
      <c r="N91" s="19">
        <v>46078</v>
      </c>
      <c r="O91" s="21">
        <f t="shared" si="7"/>
        <v>46442</v>
      </c>
    </row>
    <row r="92" spans="1:15" ht="20.149999999999999" hidden="1" customHeight="1" x14ac:dyDescent="0.25">
      <c r="A92" s="22">
        <v>46133</v>
      </c>
      <c r="B92" s="22">
        <v>46134</v>
      </c>
      <c r="C92" s="23" t="s">
        <v>493</v>
      </c>
      <c r="D92" s="23">
        <v>4</v>
      </c>
      <c r="E92" s="23">
        <f t="shared" si="8"/>
        <v>780</v>
      </c>
      <c r="F92" s="154" t="s">
        <v>618</v>
      </c>
      <c r="G92" s="23" t="s">
        <v>825</v>
      </c>
      <c r="H92" s="25">
        <f>H91-E92</f>
        <v>14820</v>
      </c>
      <c r="I92" s="25"/>
      <c r="J92" s="25"/>
      <c r="K92" s="23">
        <v>260420006</v>
      </c>
      <c r="L92" s="23"/>
      <c r="M92" s="23">
        <f>M34-D92</f>
        <v>21</v>
      </c>
      <c r="N92" s="19">
        <v>46083</v>
      </c>
      <c r="O92" s="21">
        <f t="shared" si="7"/>
        <v>46447</v>
      </c>
    </row>
    <row r="93" spans="1:15" ht="20.149999999999999" hidden="1" customHeight="1" x14ac:dyDescent="0.25">
      <c r="A93" s="40">
        <v>46135</v>
      </c>
      <c r="B93" s="40">
        <v>46136</v>
      </c>
      <c r="C93" s="41" t="s">
        <v>876</v>
      </c>
      <c r="D93" s="41">
        <v>12</v>
      </c>
      <c r="E93" s="41">
        <f t="shared" si="8"/>
        <v>2340</v>
      </c>
      <c r="F93" s="152" t="s">
        <v>615</v>
      </c>
      <c r="G93" s="60" t="s">
        <v>887</v>
      </c>
      <c r="H93" s="42">
        <f>H88-E93</f>
        <v>51640</v>
      </c>
      <c r="I93" s="42"/>
      <c r="J93" s="42"/>
      <c r="K93" s="41">
        <v>260422008</v>
      </c>
      <c r="L93" s="41"/>
      <c r="M93" s="41">
        <f>M92-D93</f>
        <v>9</v>
      </c>
      <c r="N93" s="19">
        <v>46083</v>
      </c>
      <c r="O93" s="21">
        <f t="shared" si="7"/>
        <v>46447</v>
      </c>
    </row>
    <row r="94" spans="1:15" ht="20.149999999999999" hidden="1" customHeight="1" x14ac:dyDescent="0.25">
      <c r="A94" s="33">
        <v>46135</v>
      </c>
      <c r="B94" s="33">
        <v>46136</v>
      </c>
      <c r="C94" s="34" t="s">
        <v>877</v>
      </c>
      <c r="D94" s="34">
        <v>1</v>
      </c>
      <c r="E94" s="34">
        <f t="shared" si="8"/>
        <v>195</v>
      </c>
      <c r="F94" s="155" t="s">
        <v>618</v>
      </c>
      <c r="G94" s="34" t="s">
        <v>888</v>
      </c>
      <c r="H94" s="35">
        <f>H92-E94</f>
        <v>14625</v>
      </c>
      <c r="I94" s="35"/>
      <c r="J94" s="35"/>
      <c r="K94" s="34">
        <v>260422009</v>
      </c>
      <c r="L94" s="34"/>
      <c r="M94" s="34">
        <f>M93-D94</f>
        <v>8</v>
      </c>
      <c r="N94" s="19">
        <v>46083</v>
      </c>
      <c r="O94" s="21">
        <f t="shared" si="7"/>
        <v>46447</v>
      </c>
    </row>
    <row r="95" spans="1:15" ht="20.149999999999999" hidden="1" customHeight="1" x14ac:dyDescent="0.25">
      <c r="A95" s="33">
        <v>46135</v>
      </c>
      <c r="B95" s="33">
        <v>46136</v>
      </c>
      <c r="C95" s="34" t="s">
        <v>878</v>
      </c>
      <c r="D95" s="34">
        <v>17</v>
      </c>
      <c r="E95" s="34">
        <f t="shared" si="8"/>
        <v>3315</v>
      </c>
      <c r="F95" s="155" t="s">
        <v>618</v>
      </c>
      <c r="G95" s="34" t="s">
        <v>105</v>
      </c>
      <c r="H95" s="35">
        <f>H94-E95</f>
        <v>11310</v>
      </c>
      <c r="I95" s="35"/>
      <c r="J95" s="35"/>
      <c r="K95" s="34">
        <v>260422009</v>
      </c>
      <c r="L95" s="34"/>
      <c r="M95" s="34">
        <f>M35-D95</f>
        <v>8</v>
      </c>
      <c r="N95" s="19">
        <v>46085</v>
      </c>
      <c r="O95" s="21">
        <f t="shared" si="7"/>
        <v>46449</v>
      </c>
    </row>
    <row r="96" spans="1:15" ht="20.149999999999999" hidden="1" customHeight="1" x14ac:dyDescent="0.25">
      <c r="A96" s="33">
        <v>46135</v>
      </c>
      <c r="B96" s="33">
        <v>46136</v>
      </c>
      <c r="C96" s="34" t="s">
        <v>559</v>
      </c>
      <c r="D96" s="34">
        <v>2</v>
      </c>
      <c r="E96" s="34">
        <f t="shared" si="8"/>
        <v>390</v>
      </c>
      <c r="F96" s="155" t="s">
        <v>618</v>
      </c>
      <c r="G96" s="34" t="s">
        <v>883</v>
      </c>
      <c r="H96" s="35">
        <f>H95-E96</f>
        <v>10920</v>
      </c>
      <c r="I96" s="35"/>
      <c r="J96" s="35"/>
      <c r="K96" s="34">
        <v>260422009</v>
      </c>
      <c r="L96" s="34"/>
      <c r="M96" s="34">
        <f>M38-D96</f>
        <v>24</v>
      </c>
      <c r="N96" s="19">
        <v>46087</v>
      </c>
      <c r="O96" s="21">
        <f t="shared" si="7"/>
        <v>46451</v>
      </c>
    </row>
    <row r="97" spans="1:15" ht="20.149999999999999" hidden="1" customHeight="1" x14ac:dyDescent="0.2">
      <c r="A97" s="22">
        <v>46136</v>
      </c>
      <c r="B97" s="22">
        <v>46136</v>
      </c>
      <c r="C97" s="23" t="s">
        <v>890</v>
      </c>
      <c r="D97" s="23">
        <v>4</v>
      </c>
      <c r="E97" s="23">
        <f t="shared" si="8"/>
        <v>780</v>
      </c>
      <c r="F97" s="38" t="s">
        <v>26</v>
      </c>
      <c r="G97" s="38" t="s">
        <v>63</v>
      </c>
      <c r="H97" s="25">
        <f>H90-E97</f>
        <v>3900</v>
      </c>
      <c r="I97" s="25"/>
      <c r="J97" s="25"/>
      <c r="K97" s="23">
        <v>260423005</v>
      </c>
      <c r="L97" s="23"/>
      <c r="M97" s="23">
        <f>M91-D97</f>
        <v>4</v>
      </c>
      <c r="N97" s="19">
        <v>46078</v>
      </c>
      <c r="O97" s="21">
        <f t="shared" ref="O97:O106" si="9">DATE(YEAR(N97)+1,MONTH(N97),DAY(N97))-1</f>
        <v>46442</v>
      </c>
    </row>
    <row r="98" spans="1:15" ht="20.149999999999999" hidden="1" customHeight="1" x14ac:dyDescent="0.2">
      <c r="A98" s="22">
        <v>46136</v>
      </c>
      <c r="B98" s="22">
        <v>46136</v>
      </c>
      <c r="C98" s="23" t="s">
        <v>493</v>
      </c>
      <c r="D98" s="23">
        <v>4</v>
      </c>
      <c r="E98" s="23">
        <f t="shared" si="8"/>
        <v>780</v>
      </c>
      <c r="F98" s="38" t="s">
        <v>26</v>
      </c>
      <c r="G98" s="38" t="s">
        <v>841</v>
      </c>
      <c r="H98" s="25">
        <f>H97-E98</f>
        <v>3120</v>
      </c>
      <c r="I98" s="25"/>
      <c r="J98" s="25"/>
      <c r="K98" s="23">
        <v>260423005</v>
      </c>
      <c r="L98" s="23"/>
      <c r="M98" s="23">
        <f>M94-D98</f>
        <v>4</v>
      </c>
      <c r="N98" s="19">
        <v>46083</v>
      </c>
      <c r="O98" s="21">
        <f t="shared" si="9"/>
        <v>46447</v>
      </c>
    </row>
    <row r="99" spans="1:15" ht="20.149999999999999" hidden="1" customHeight="1" x14ac:dyDescent="0.2">
      <c r="A99" s="22">
        <v>46136</v>
      </c>
      <c r="B99" s="22">
        <v>46136</v>
      </c>
      <c r="C99" s="23" t="s">
        <v>507</v>
      </c>
      <c r="D99" s="23">
        <v>4</v>
      </c>
      <c r="E99" s="23">
        <f t="shared" si="8"/>
        <v>780</v>
      </c>
      <c r="F99" s="38" t="s">
        <v>26</v>
      </c>
      <c r="G99" s="38" t="s">
        <v>63</v>
      </c>
      <c r="H99" s="25">
        <f>H98-E99</f>
        <v>2340</v>
      </c>
      <c r="I99" s="25"/>
      <c r="J99" s="25"/>
      <c r="K99" s="23">
        <v>260423005</v>
      </c>
      <c r="L99" s="23"/>
      <c r="M99" s="23">
        <f>M95-D99</f>
        <v>4</v>
      </c>
      <c r="N99" s="19">
        <v>46085</v>
      </c>
      <c r="O99" s="21">
        <f t="shared" si="9"/>
        <v>46449</v>
      </c>
    </row>
    <row r="100" spans="1:15" ht="20.149999999999999" hidden="1" customHeight="1" x14ac:dyDescent="0.25">
      <c r="A100" s="26">
        <v>46139</v>
      </c>
      <c r="B100" s="26">
        <v>46140</v>
      </c>
      <c r="C100" s="27" t="s">
        <v>901</v>
      </c>
      <c r="D100" s="27">
        <v>4</v>
      </c>
      <c r="E100" s="27">
        <f t="shared" si="8"/>
        <v>780</v>
      </c>
      <c r="F100" s="153" t="s">
        <v>615</v>
      </c>
      <c r="G100" s="36" t="s">
        <v>328</v>
      </c>
      <c r="H100" s="28">
        <f>H93-E100</f>
        <v>50860</v>
      </c>
      <c r="I100" s="61" t="s">
        <v>12</v>
      </c>
      <c r="J100" s="28"/>
      <c r="K100" s="27">
        <v>260424006</v>
      </c>
      <c r="L100" s="27">
        <v>41</v>
      </c>
      <c r="M100" s="27">
        <f>L100-D100</f>
        <v>37</v>
      </c>
      <c r="N100" s="19">
        <v>46122</v>
      </c>
      <c r="O100" s="21">
        <f t="shared" si="9"/>
        <v>46486</v>
      </c>
    </row>
    <row r="101" spans="1:15" ht="20.149999999999999" hidden="1" customHeight="1" x14ac:dyDescent="0.25">
      <c r="A101" s="26">
        <v>46139</v>
      </c>
      <c r="B101" s="26">
        <v>46140</v>
      </c>
      <c r="C101" s="27" t="s">
        <v>902</v>
      </c>
      <c r="D101" s="27">
        <v>4</v>
      </c>
      <c r="E101" s="27">
        <f t="shared" si="8"/>
        <v>780</v>
      </c>
      <c r="F101" s="153" t="s">
        <v>615</v>
      </c>
      <c r="G101" s="36" t="s">
        <v>887</v>
      </c>
      <c r="H101" s="28">
        <f>H100-E101</f>
        <v>50080</v>
      </c>
      <c r="I101" s="61" t="s">
        <v>12</v>
      </c>
      <c r="J101" s="28"/>
      <c r="K101" s="27">
        <v>260424006</v>
      </c>
      <c r="L101" s="27">
        <v>41</v>
      </c>
      <c r="M101" s="27">
        <f>L101-D101</f>
        <v>37</v>
      </c>
      <c r="N101" s="19">
        <v>46125</v>
      </c>
      <c r="O101" s="21">
        <f t="shared" si="9"/>
        <v>46489</v>
      </c>
    </row>
    <row r="102" spans="1:15" ht="20.149999999999999" hidden="1" customHeight="1" x14ac:dyDescent="0.25">
      <c r="A102" s="26">
        <v>46139</v>
      </c>
      <c r="B102" s="26">
        <v>46140</v>
      </c>
      <c r="C102" s="27" t="s">
        <v>903</v>
      </c>
      <c r="D102" s="27">
        <v>4</v>
      </c>
      <c r="E102" s="27">
        <f t="shared" si="8"/>
        <v>780</v>
      </c>
      <c r="F102" s="153" t="s">
        <v>615</v>
      </c>
      <c r="G102" s="36" t="s">
        <v>887</v>
      </c>
      <c r="H102" s="28">
        <f>H101-E102</f>
        <v>49300</v>
      </c>
      <c r="I102" s="61" t="s">
        <v>12</v>
      </c>
      <c r="J102" s="28"/>
      <c r="K102" s="27">
        <v>260424006</v>
      </c>
      <c r="L102" s="27">
        <v>42</v>
      </c>
      <c r="M102" s="27">
        <f>L102-D102</f>
        <v>38</v>
      </c>
      <c r="N102" s="19">
        <v>46127</v>
      </c>
      <c r="O102" s="21">
        <f t="shared" si="9"/>
        <v>46491</v>
      </c>
    </row>
    <row r="103" spans="1:15" ht="20.149999999999999" hidden="1" customHeight="1" x14ac:dyDescent="0.25">
      <c r="A103" s="26">
        <v>46139</v>
      </c>
      <c r="B103" s="26">
        <v>46140</v>
      </c>
      <c r="C103" s="27" t="s">
        <v>904</v>
      </c>
      <c r="D103" s="27">
        <v>4</v>
      </c>
      <c r="E103" s="27">
        <f t="shared" si="8"/>
        <v>780</v>
      </c>
      <c r="F103" s="153" t="s">
        <v>615</v>
      </c>
      <c r="G103" s="36" t="s">
        <v>887</v>
      </c>
      <c r="H103" s="28">
        <f>H102-E103</f>
        <v>48520</v>
      </c>
      <c r="I103" s="61" t="s">
        <v>12</v>
      </c>
      <c r="J103" s="28"/>
      <c r="K103" s="27">
        <v>260424006</v>
      </c>
      <c r="L103" s="27">
        <v>41</v>
      </c>
      <c r="M103" s="27">
        <f>L103-D103</f>
        <v>37</v>
      </c>
      <c r="N103" s="19">
        <v>46129</v>
      </c>
      <c r="O103" s="21">
        <f t="shared" si="9"/>
        <v>46493</v>
      </c>
    </row>
    <row r="104" spans="1:15" ht="20.149999999999999" hidden="1" customHeight="1" x14ac:dyDescent="0.2">
      <c r="A104" s="33">
        <v>46140</v>
      </c>
      <c r="B104" s="33">
        <v>46140</v>
      </c>
      <c r="C104" s="34" t="s">
        <v>559</v>
      </c>
      <c r="D104" s="34">
        <v>4</v>
      </c>
      <c r="E104" s="34">
        <f t="shared" si="8"/>
        <v>780</v>
      </c>
      <c r="F104" s="39" t="s">
        <v>26</v>
      </c>
      <c r="G104" s="39" t="s">
        <v>63</v>
      </c>
      <c r="H104" s="35">
        <f>H99-E104</f>
        <v>1560</v>
      </c>
      <c r="I104" s="63"/>
      <c r="J104" s="35"/>
      <c r="K104" s="34">
        <v>260427006</v>
      </c>
      <c r="L104" s="34"/>
      <c r="M104" s="34">
        <f>M96-D104</f>
        <v>20</v>
      </c>
      <c r="N104" s="19">
        <v>46087</v>
      </c>
      <c r="O104" s="21">
        <f t="shared" si="9"/>
        <v>46451</v>
      </c>
    </row>
    <row r="105" spans="1:15" ht="20.149999999999999" hidden="1" customHeight="1" x14ac:dyDescent="0.2">
      <c r="A105" s="33">
        <v>46140</v>
      </c>
      <c r="B105" s="33">
        <v>46140</v>
      </c>
      <c r="C105" s="34" t="s">
        <v>576</v>
      </c>
      <c r="D105" s="34">
        <v>4</v>
      </c>
      <c r="E105" s="34">
        <f t="shared" si="8"/>
        <v>780</v>
      </c>
      <c r="F105" s="39" t="s">
        <v>26</v>
      </c>
      <c r="G105" s="39" t="s">
        <v>63</v>
      </c>
      <c r="H105" s="35">
        <f>H104-E105</f>
        <v>780</v>
      </c>
      <c r="I105" s="63"/>
      <c r="J105" s="35"/>
      <c r="K105" s="34">
        <v>260427006</v>
      </c>
      <c r="L105" s="34"/>
      <c r="M105" s="34">
        <f>M39-D105</f>
        <v>21</v>
      </c>
      <c r="N105" s="19">
        <v>46090</v>
      </c>
      <c r="O105" s="21">
        <f>DATE(YEAR(N105)+1,MONTH(N105),DAY(N105))-1</f>
        <v>46454</v>
      </c>
    </row>
    <row r="106" spans="1:15" ht="20.149999999999999" hidden="1" customHeight="1" x14ac:dyDescent="0.25">
      <c r="A106" s="40">
        <v>46140</v>
      </c>
      <c r="B106" s="40">
        <v>46141</v>
      </c>
      <c r="C106" s="41" t="s">
        <v>559</v>
      </c>
      <c r="D106" s="41">
        <v>16</v>
      </c>
      <c r="E106" s="41">
        <f t="shared" si="8"/>
        <v>3120</v>
      </c>
      <c r="F106" s="152" t="s">
        <v>618</v>
      </c>
      <c r="G106" s="41" t="s">
        <v>105</v>
      </c>
      <c r="H106" s="42">
        <f>H96-E106</f>
        <v>7800</v>
      </c>
      <c r="I106" s="42"/>
      <c r="J106" s="42"/>
      <c r="K106" s="41">
        <v>260427007</v>
      </c>
      <c r="L106" s="41"/>
      <c r="M106" s="41">
        <f>M104-D106</f>
        <v>4</v>
      </c>
      <c r="N106" s="19">
        <v>46087</v>
      </c>
      <c r="O106" s="21">
        <f t="shared" si="9"/>
        <v>46451</v>
      </c>
    </row>
    <row r="107" spans="1:15" ht="20.149999999999999" hidden="1" customHeight="1" x14ac:dyDescent="0.25">
      <c r="A107" s="29">
        <v>46141</v>
      </c>
      <c r="B107" s="29">
        <v>46142</v>
      </c>
      <c r="C107" s="30" t="s">
        <v>569</v>
      </c>
      <c r="D107" s="30">
        <v>8</v>
      </c>
      <c r="E107" s="30">
        <f t="shared" si="8"/>
        <v>1560</v>
      </c>
      <c r="F107" s="156" t="s">
        <v>615</v>
      </c>
      <c r="G107" s="37" t="s">
        <v>97</v>
      </c>
      <c r="H107" s="32">
        <f>H103-E107</f>
        <v>46960</v>
      </c>
      <c r="I107" s="32"/>
      <c r="J107" s="32"/>
      <c r="K107" s="30">
        <v>260428015</v>
      </c>
      <c r="L107" s="30"/>
      <c r="M107" s="30">
        <f>M105-D107</f>
        <v>13</v>
      </c>
      <c r="N107" s="19">
        <v>46090</v>
      </c>
      <c r="O107" s="21">
        <f t="shared" ref="O107:O117" si="10">DATE(YEAR(N107)+1,MONTH(N107),DAY(N107))-1</f>
        <v>46454</v>
      </c>
    </row>
    <row r="108" spans="1:15" ht="20.149999999999999" hidden="1" customHeight="1" x14ac:dyDescent="0.2">
      <c r="A108" s="26">
        <v>46141</v>
      </c>
      <c r="B108" s="26">
        <v>46142</v>
      </c>
      <c r="C108" s="27" t="s">
        <v>409</v>
      </c>
      <c r="D108" s="27">
        <v>4</v>
      </c>
      <c r="E108" s="27">
        <f t="shared" si="8"/>
        <v>780</v>
      </c>
      <c r="F108" s="36" t="s">
        <v>31</v>
      </c>
      <c r="G108" s="36" t="s">
        <v>790</v>
      </c>
      <c r="H108" s="28">
        <f>H75-E108</f>
        <v>97660</v>
      </c>
      <c r="I108" s="28"/>
      <c r="J108" s="28"/>
      <c r="K108" s="27">
        <v>260428016</v>
      </c>
      <c r="L108" s="27"/>
      <c r="M108" s="27">
        <f>M82-D108</f>
        <v>0</v>
      </c>
      <c r="N108" s="19">
        <v>46064</v>
      </c>
      <c r="O108" s="21">
        <f t="shared" si="10"/>
        <v>46428</v>
      </c>
    </row>
    <row r="109" spans="1:15" ht="20.149999999999999" hidden="1" customHeight="1" x14ac:dyDescent="0.2">
      <c r="A109" s="26">
        <v>46141</v>
      </c>
      <c r="B109" s="26">
        <v>46142</v>
      </c>
      <c r="C109" s="27" t="s">
        <v>410</v>
      </c>
      <c r="D109" s="27">
        <v>4</v>
      </c>
      <c r="E109" s="27">
        <f t="shared" si="8"/>
        <v>780</v>
      </c>
      <c r="F109" s="36" t="s">
        <v>31</v>
      </c>
      <c r="G109" s="36" t="s">
        <v>790</v>
      </c>
      <c r="H109" s="28">
        <f>H108-E109</f>
        <v>96880</v>
      </c>
      <c r="I109" s="28"/>
      <c r="J109" s="28"/>
      <c r="K109" s="27">
        <v>260428016</v>
      </c>
      <c r="L109" s="27"/>
      <c r="M109" s="27">
        <f>M83-D109</f>
        <v>0</v>
      </c>
      <c r="N109" s="19">
        <v>46066</v>
      </c>
      <c r="O109" s="21">
        <f t="shared" si="10"/>
        <v>46430</v>
      </c>
    </row>
    <row r="110" spans="1:15" ht="20.149999999999999" hidden="1" customHeight="1" x14ac:dyDescent="0.2">
      <c r="A110" s="26">
        <v>46141</v>
      </c>
      <c r="B110" s="26">
        <v>46142</v>
      </c>
      <c r="C110" s="27" t="s">
        <v>424</v>
      </c>
      <c r="D110" s="27">
        <v>4</v>
      </c>
      <c r="E110" s="27">
        <f t="shared" si="8"/>
        <v>780</v>
      </c>
      <c r="F110" s="36" t="s">
        <v>31</v>
      </c>
      <c r="G110" s="36" t="s">
        <v>790</v>
      </c>
      <c r="H110" s="28">
        <f>H109-E110</f>
        <v>96100</v>
      </c>
      <c r="I110" s="28"/>
      <c r="J110" s="28"/>
      <c r="K110" s="27">
        <v>260428016</v>
      </c>
      <c r="L110" s="27"/>
      <c r="M110" s="27">
        <f>M84-D110</f>
        <v>0</v>
      </c>
      <c r="N110" s="19">
        <v>46070</v>
      </c>
      <c r="O110" s="21">
        <f t="shared" si="10"/>
        <v>46434</v>
      </c>
    </row>
    <row r="111" spans="1:15" ht="20.149999999999999" hidden="1" customHeight="1" x14ac:dyDescent="0.2">
      <c r="A111" s="40">
        <v>46142</v>
      </c>
      <c r="B111" s="40">
        <v>46142</v>
      </c>
      <c r="C111" s="41" t="s">
        <v>913</v>
      </c>
      <c r="D111" s="41">
        <v>4</v>
      </c>
      <c r="E111" s="41">
        <f t="shared" si="8"/>
        <v>780</v>
      </c>
      <c r="F111" s="60" t="s">
        <v>26</v>
      </c>
      <c r="G111" s="60" t="s">
        <v>920</v>
      </c>
      <c r="H111" s="42">
        <f>H105-E111</f>
        <v>0</v>
      </c>
      <c r="I111" s="42"/>
      <c r="J111" s="42"/>
      <c r="K111" s="41">
        <v>260429007</v>
      </c>
      <c r="L111" s="41"/>
      <c r="M111" s="41">
        <f>M107-D111</f>
        <v>9</v>
      </c>
      <c r="N111" s="19">
        <v>46090</v>
      </c>
      <c r="O111" s="21">
        <f t="shared" si="10"/>
        <v>46454</v>
      </c>
    </row>
    <row r="112" spans="1:15" ht="20.149999999999999" hidden="1" customHeight="1" x14ac:dyDescent="0.2">
      <c r="A112" s="40">
        <v>46142</v>
      </c>
      <c r="B112" s="40">
        <v>46142</v>
      </c>
      <c r="C112" s="41" t="s">
        <v>914</v>
      </c>
      <c r="D112" s="41">
        <v>4</v>
      </c>
      <c r="E112" s="41">
        <f t="shared" si="8"/>
        <v>780</v>
      </c>
      <c r="F112" s="60" t="s">
        <v>26</v>
      </c>
      <c r="G112" s="62" t="s">
        <v>916</v>
      </c>
      <c r="H112" s="42">
        <f>20000-E112</f>
        <v>19220</v>
      </c>
      <c r="I112" s="42"/>
      <c r="J112" s="42"/>
      <c r="K112" s="41">
        <v>260429007</v>
      </c>
      <c r="L112" s="41"/>
      <c r="M112" s="41">
        <f>M41-D112</f>
        <v>21</v>
      </c>
      <c r="N112" s="19">
        <v>46092</v>
      </c>
      <c r="O112" s="21">
        <f t="shared" si="10"/>
        <v>46456</v>
      </c>
    </row>
    <row r="113" spans="1:15" ht="20.149999999999999" hidden="1" customHeight="1" x14ac:dyDescent="0.2">
      <c r="A113" s="40">
        <v>46142</v>
      </c>
      <c r="B113" s="40">
        <v>46142</v>
      </c>
      <c r="C113" s="41" t="s">
        <v>915</v>
      </c>
      <c r="D113" s="41">
        <v>4</v>
      </c>
      <c r="E113" s="41">
        <f t="shared" si="8"/>
        <v>780</v>
      </c>
      <c r="F113" s="60" t="s">
        <v>26</v>
      </c>
      <c r="G113" s="41" t="s">
        <v>916</v>
      </c>
      <c r="H113" s="42">
        <f>H112-E113</f>
        <v>18440</v>
      </c>
      <c r="I113" s="42"/>
      <c r="J113" s="42"/>
      <c r="K113" s="41">
        <v>260429007</v>
      </c>
      <c r="L113" s="41"/>
      <c r="M113" s="41">
        <f>M44-D113</f>
        <v>21</v>
      </c>
      <c r="N113" s="19">
        <v>46094</v>
      </c>
      <c r="O113" s="21">
        <f t="shared" si="10"/>
        <v>46458</v>
      </c>
    </row>
    <row r="114" spans="1:15" ht="20.149999999999999" hidden="1" customHeight="1" x14ac:dyDescent="0.25">
      <c r="A114" s="22">
        <v>46142</v>
      </c>
      <c r="B114" s="143">
        <v>46143</v>
      </c>
      <c r="C114" s="23" t="s">
        <v>913</v>
      </c>
      <c r="D114" s="23">
        <v>5</v>
      </c>
      <c r="E114" s="23">
        <f t="shared" si="8"/>
        <v>975</v>
      </c>
      <c r="F114" s="154" t="s">
        <v>618</v>
      </c>
      <c r="G114" s="23" t="s">
        <v>917</v>
      </c>
      <c r="H114" s="25">
        <f>H106-E114</f>
        <v>6825</v>
      </c>
      <c r="I114" s="25"/>
      <c r="J114" s="25"/>
      <c r="K114" s="23">
        <v>260429008</v>
      </c>
      <c r="L114" s="23"/>
      <c r="M114" s="23">
        <f>M111-D114</f>
        <v>4</v>
      </c>
      <c r="N114" s="19">
        <v>46090</v>
      </c>
      <c r="O114" s="21">
        <f t="shared" si="10"/>
        <v>46454</v>
      </c>
    </row>
    <row r="115" spans="1:15" ht="20.149999999999999" hidden="1" customHeight="1" x14ac:dyDescent="0.25">
      <c r="A115" s="22">
        <v>46142</v>
      </c>
      <c r="B115" s="143">
        <v>46143</v>
      </c>
      <c r="C115" s="23" t="s">
        <v>914</v>
      </c>
      <c r="D115" s="23">
        <v>15</v>
      </c>
      <c r="E115" s="23">
        <f t="shared" si="8"/>
        <v>2925</v>
      </c>
      <c r="F115" s="154" t="s">
        <v>618</v>
      </c>
      <c r="G115" s="23" t="s">
        <v>105</v>
      </c>
      <c r="H115" s="25">
        <f>H114-E115</f>
        <v>3900</v>
      </c>
      <c r="I115" s="25"/>
      <c r="J115" s="25"/>
      <c r="K115" s="23">
        <v>260429008</v>
      </c>
      <c r="L115" s="23"/>
      <c r="M115" s="23">
        <f>M112-D115</f>
        <v>6</v>
      </c>
      <c r="N115" s="19">
        <v>46092</v>
      </c>
      <c r="O115" s="21">
        <f t="shared" si="10"/>
        <v>46456</v>
      </c>
    </row>
    <row r="116" spans="1:15" ht="20.149999999999999" hidden="1" customHeight="1" x14ac:dyDescent="0.25">
      <c r="A116" s="26">
        <v>46142</v>
      </c>
      <c r="B116" s="26">
        <v>46146</v>
      </c>
      <c r="C116" s="27" t="s">
        <v>914</v>
      </c>
      <c r="D116" s="27">
        <v>2</v>
      </c>
      <c r="E116" s="27">
        <f t="shared" si="8"/>
        <v>390</v>
      </c>
      <c r="F116" s="153" t="s">
        <v>618</v>
      </c>
      <c r="G116" s="27" t="s">
        <v>921</v>
      </c>
      <c r="H116" s="28">
        <f>H115-E116</f>
        <v>3510</v>
      </c>
      <c r="I116" s="28"/>
      <c r="J116" s="28"/>
      <c r="K116" s="27">
        <v>260429009</v>
      </c>
      <c r="L116" s="27"/>
      <c r="M116" s="27">
        <f>M115-D116</f>
        <v>4</v>
      </c>
      <c r="N116" s="19">
        <v>46092</v>
      </c>
      <c r="O116" s="21">
        <f t="shared" si="10"/>
        <v>46456</v>
      </c>
    </row>
    <row r="117" spans="1:15" ht="20.149999999999999" hidden="1" customHeight="1" x14ac:dyDescent="0.25">
      <c r="A117" s="26">
        <v>46142</v>
      </c>
      <c r="B117" s="26">
        <v>46146</v>
      </c>
      <c r="C117" s="27" t="s">
        <v>915</v>
      </c>
      <c r="D117" s="27">
        <v>14</v>
      </c>
      <c r="E117" s="27">
        <f t="shared" si="8"/>
        <v>2730</v>
      </c>
      <c r="F117" s="153" t="s">
        <v>618</v>
      </c>
      <c r="G117" s="27" t="s">
        <v>105</v>
      </c>
      <c r="H117" s="28">
        <f>H116-E117</f>
        <v>780</v>
      </c>
      <c r="I117" s="28"/>
      <c r="J117" s="28"/>
      <c r="K117" s="27">
        <v>260429009</v>
      </c>
      <c r="L117" s="27"/>
      <c r="M117" s="27">
        <f>M113-D117</f>
        <v>7</v>
      </c>
      <c r="N117" s="19">
        <v>46094</v>
      </c>
      <c r="O117" s="21">
        <f t="shared" si="10"/>
        <v>46458</v>
      </c>
    </row>
    <row r="118" spans="1:15" ht="20.149999999999999" hidden="1" customHeight="1" x14ac:dyDescent="0.2">
      <c r="A118" s="33">
        <v>46146</v>
      </c>
      <c r="B118" s="33">
        <v>46146</v>
      </c>
      <c r="C118" s="34" t="s">
        <v>630</v>
      </c>
      <c r="D118" s="34">
        <v>3</v>
      </c>
      <c r="E118" s="34">
        <f t="shared" ref="E118:E181" si="11">D118*195</f>
        <v>585</v>
      </c>
      <c r="F118" s="39" t="s">
        <v>26</v>
      </c>
      <c r="G118" s="34" t="s">
        <v>925</v>
      </c>
      <c r="H118" s="35">
        <f>H113-E118</f>
        <v>17855</v>
      </c>
      <c r="I118" s="35"/>
      <c r="J118" s="35"/>
      <c r="K118" s="34">
        <v>260430004</v>
      </c>
      <c r="L118" s="34"/>
      <c r="M118" s="34">
        <f>M117-D118</f>
        <v>4</v>
      </c>
      <c r="N118" s="19">
        <v>46094</v>
      </c>
      <c r="O118" s="21">
        <f t="shared" ref="O118:O181" si="12">DATE(YEAR(N118)+1,MONTH(N118),DAY(N118))-1</f>
        <v>46458</v>
      </c>
    </row>
    <row r="119" spans="1:15" ht="20.149999999999999" hidden="1" customHeight="1" x14ac:dyDescent="0.2">
      <c r="A119" s="33">
        <v>46146</v>
      </c>
      <c r="B119" s="33">
        <v>46146</v>
      </c>
      <c r="C119" s="34" t="s">
        <v>631</v>
      </c>
      <c r="D119" s="34">
        <v>9</v>
      </c>
      <c r="E119" s="34">
        <f t="shared" si="11"/>
        <v>1755</v>
      </c>
      <c r="F119" s="39" t="s">
        <v>26</v>
      </c>
      <c r="G119" s="34" t="s">
        <v>916</v>
      </c>
      <c r="H119" s="35">
        <f>H118-E119</f>
        <v>16100</v>
      </c>
      <c r="I119" s="35"/>
      <c r="J119" s="35"/>
      <c r="K119" s="34">
        <v>260430004</v>
      </c>
      <c r="L119" s="34"/>
      <c r="M119" s="34">
        <f>M45-D119</f>
        <v>17</v>
      </c>
      <c r="N119" s="19">
        <v>46096</v>
      </c>
      <c r="O119" s="21">
        <f t="shared" si="12"/>
        <v>46460</v>
      </c>
    </row>
    <row r="120" spans="1:15" ht="20.149999999999999" hidden="1" customHeight="1" x14ac:dyDescent="0.25">
      <c r="A120" s="40">
        <v>46146</v>
      </c>
      <c r="B120" s="40">
        <v>46147</v>
      </c>
      <c r="C120" s="41" t="s">
        <v>631</v>
      </c>
      <c r="D120" s="41">
        <v>13</v>
      </c>
      <c r="E120" s="41">
        <f t="shared" si="11"/>
        <v>2535</v>
      </c>
      <c r="F120" s="152" t="s">
        <v>615</v>
      </c>
      <c r="G120" s="60" t="s">
        <v>97</v>
      </c>
      <c r="H120" s="42">
        <f>H107-E120</f>
        <v>44425</v>
      </c>
      <c r="I120" s="42"/>
      <c r="J120" s="42"/>
      <c r="K120" s="41">
        <v>260430005</v>
      </c>
      <c r="L120" s="41"/>
      <c r="M120" s="41">
        <f>M119-D120</f>
        <v>4</v>
      </c>
      <c r="N120" s="19">
        <v>46096</v>
      </c>
      <c r="O120" s="21">
        <f t="shared" si="12"/>
        <v>46460</v>
      </c>
    </row>
    <row r="121" spans="1:15" ht="20.149999999999999" hidden="1" customHeight="1" x14ac:dyDescent="0.25">
      <c r="A121" s="40">
        <v>46146</v>
      </c>
      <c r="B121" s="40">
        <v>46147</v>
      </c>
      <c r="C121" s="41" t="s">
        <v>663</v>
      </c>
      <c r="D121" s="41">
        <v>3</v>
      </c>
      <c r="E121" s="41">
        <f t="shared" si="11"/>
        <v>585</v>
      </c>
      <c r="F121" s="152" t="s">
        <v>615</v>
      </c>
      <c r="G121" s="60" t="s">
        <v>97</v>
      </c>
      <c r="H121" s="42">
        <f>H120-E121</f>
        <v>43840</v>
      </c>
      <c r="I121" s="42"/>
      <c r="J121" s="42"/>
      <c r="K121" s="41">
        <v>260430005</v>
      </c>
      <c r="L121" s="41"/>
      <c r="M121" s="41">
        <f>M47-D121</f>
        <v>21</v>
      </c>
      <c r="N121" s="19">
        <v>46098</v>
      </c>
      <c r="O121" s="21">
        <f t="shared" si="12"/>
        <v>46462</v>
      </c>
    </row>
    <row r="122" spans="1:15" ht="20.149999999999999" hidden="1" customHeight="1" x14ac:dyDescent="0.2">
      <c r="A122" s="29">
        <v>46147</v>
      </c>
      <c r="B122" s="29">
        <v>46147</v>
      </c>
      <c r="C122" s="30" t="s">
        <v>662</v>
      </c>
      <c r="D122" s="30">
        <v>8</v>
      </c>
      <c r="E122" s="30">
        <f t="shared" si="11"/>
        <v>1560</v>
      </c>
      <c r="F122" s="37" t="s">
        <v>26</v>
      </c>
      <c r="G122" s="30" t="s">
        <v>945</v>
      </c>
      <c r="H122" s="32">
        <f>H119-E122</f>
        <v>14540</v>
      </c>
      <c r="I122" s="32"/>
      <c r="J122" s="32"/>
      <c r="K122" s="30" t="s">
        <v>942</v>
      </c>
      <c r="L122" s="30"/>
      <c r="M122" s="30">
        <f>M121-D122</f>
        <v>13</v>
      </c>
      <c r="N122" s="19">
        <v>46098</v>
      </c>
      <c r="O122" s="21">
        <f t="shared" si="12"/>
        <v>46462</v>
      </c>
    </row>
    <row r="123" spans="1:15" ht="20.149999999999999" hidden="1" customHeight="1" x14ac:dyDescent="0.2">
      <c r="A123" s="29">
        <v>46147</v>
      </c>
      <c r="B123" s="29">
        <v>46147</v>
      </c>
      <c r="C123" s="30" t="s">
        <v>683</v>
      </c>
      <c r="D123" s="30">
        <v>4</v>
      </c>
      <c r="E123" s="30">
        <f t="shared" si="11"/>
        <v>780</v>
      </c>
      <c r="F123" s="37" t="s">
        <v>26</v>
      </c>
      <c r="G123" s="30" t="s">
        <v>943</v>
      </c>
      <c r="H123" s="32">
        <f>H122-E123</f>
        <v>13760</v>
      </c>
      <c r="I123" s="32"/>
      <c r="J123" s="32"/>
      <c r="K123" s="30" t="s">
        <v>944</v>
      </c>
      <c r="L123" s="30"/>
      <c r="M123" s="30">
        <f>M53-D123</f>
        <v>29</v>
      </c>
      <c r="N123" s="19">
        <v>46100</v>
      </c>
      <c r="O123" s="21">
        <f t="shared" si="12"/>
        <v>46464</v>
      </c>
    </row>
    <row r="124" spans="1:15" ht="20.149999999999999" hidden="1" customHeight="1" x14ac:dyDescent="0.25">
      <c r="A124" s="22">
        <v>46147</v>
      </c>
      <c r="B124" s="22">
        <v>46148</v>
      </c>
      <c r="C124" s="23" t="s">
        <v>662</v>
      </c>
      <c r="D124" s="23">
        <v>4</v>
      </c>
      <c r="E124" s="23">
        <f t="shared" si="11"/>
        <v>780</v>
      </c>
      <c r="F124" s="154" t="s">
        <v>618</v>
      </c>
      <c r="G124" s="23" t="s">
        <v>941</v>
      </c>
      <c r="H124" s="25">
        <f>H117-E124</f>
        <v>0</v>
      </c>
      <c r="I124" s="25"/>
      <c r="J124" s="25"/>
      <c r="K124" s="23">
        <v>260504012</v>
      </c>
      <c r="L124" s="23"/>
      <c r="M124" s="23">
        <f>M122-D124</f>
        <v>9</v>
      </c>
      <c r="N124" s="19">
        <v>46098</v>
      </c>
      <c r="O124" s="21">
        <f t="shared" si="12"/>
        <v>46462</v>
      </c>
    </row>
    <row r="125" spans="1:15" ht="20.149999999999999" hidden="1" customHeight="1" x14ac:dyDescent="0.25">
      <c r="A125" s="22">
        <v>46147</v>
      </c>
      <c r="B125" s="22">
        <v>46148</v>
      </c>
      <c r="C125" s="23" t="s">
        <v>662</v>
      </c>
      <c r="D125" s="23">
        <v>5</v>
      </c>
      <c r="E125" s="23">
        <f t="shared" si="11"/>
        <v>975</v>
      </c>
      <c r="F125" s="154" t="s">
        <v>618</v>
      </c>
      <c r="G125" s="148" t="s">
        <v>931</v>
      </c>
      <c r="H125" s="25">
        <f>39000-E125</f>
        <v>38025</v>
      </c>
      <c r="I125" s="25"/>
      <c r="J125" s="25"/>
      <c r="K125" s="23" t="s">
        <v>938</v>
      </c>
      <c r="L125" s="23"/>
      <c r="M125" s="23">
        <f>M124-D125</f>
        <v>4</v>
      </c>
      <c r="N125" s="19">
        <v>46098</v>
      </c>
      <c r="O125" s="21">
        <f t="shared" si="12"/>
        <v>46462</v>
      </c>
    </row>
    <row r="126" spans="1:15" ht="20.149999999999999" hidden="1" customHeight="1" x14ac:dyDescent="0.25">
      <c r="A126" s="22">
        <v>46147</v>
      </c>
      <c r="B126" s="22">
        <v>46148</v>
      </c>
      <c r="C126" s="23" t="s">
        <v>683</v>
      </c>
      <c r="D126" s="23">
        <v>7</v>
      </c>
      <c r="E126" s="23">
        <f t="shared" si="11"/>
        <v>1365</v>
      </c>
      <c r="F126" s="154" t="s">
        <v>618</v>
      </c>
      <c r="G126" s="148" t="s">
        <v>932</v>
      </c>
      <c r="H126" s="25">
        <f>H125-E126</f>
        <v>36660</v>
      </c>
      <c r="I126" s="25"/>
      <c r="J126" s="25"/>
      <c r="K126" s="23" t="s">
        <v>938</v>
      </c>
      <c r="L126" s="23"/>
      <c r="M126" s="23">
        <f>M123-D126</f>
        <v>22</v>
      </c>
      <c r="N126" s="19">
        <v>46100</v>
      </c>
      <c r="O126" s="21">
        <f t="shared" si="12"/>
        <v>46464</v>
      </c>
    </row>
    <row r="127" spans="1:15" ht="20.149999999999999" hidden="1" customHeight="1" x14ac:dyDescent="0.25">
      <c r="A127" s="26">
        <v>46149</v>
      </c>
      <c r="B127" s="26">
        <v>46150</v>
      </c>
      <c r="C127" s="27" t="s">
        <v>959</v>
      </c>
      <c r="D127" s="27">
        <v>4</v>
      </c>
      <c r="E127" s="27">
        <f t="shared" si="11"/>
        <v>780</v>
      </c>
      <c r="F127" s="153" t="s">
        <v>615</v>
      </c>
      <c r="G127" s="36" t="s">
        <v>967</v>
      </c>
      <c r="H127" s="28">
        <f>H121-E127</f>
        <v>43060</v>
      </c>
      <c r="I127" s="61" t="s">
        <v>22</v>
      </c>
      <c r="J127" s="28"/>
      <c r="K127" s="27">
        <v>260506009</v>
      </c>
      <c r="L127" s="27">
        <v>41</v>
      </c>
      <c r="M127" s="27">
        <f>L127-D127</f>
        <v>37</v>
      </c>
      <c r="N127" s="19">
        <v>46131</v>
      </c>
      <c r="O127" s="21">
        <f t="shared" si="12"/>
        <v>46495</v>
      </c>
    </row>
    <row r="128" spans="1:15" ht="20.149999999999999" hidden="1" customHeight="1" x14ac:dyDescent="0.25">
      <c r="A128" s="26">
        <v>46149</v>
      </c>
      <c r="B128" s="26">
        <v>46150</v>
      </c>
      <c r="C128" s="27" t="s">
        <v>960</v>
      </c>
      <c r="D128" s="27">
        <v>4</v>
      </c>
      <c r="E128" s="27">
        <f t="shared" si="11"/>
        <v>780</v>
      </c>
      <c r="F128" s="153" t="s">
        <v>615</v>
      </c>
      <c r="G128" s="36" t="s">
        <v>97</v>
      </c>
      <c r="H128" s="28">
        <f>H127-E128</f>
        <v>42280</v>
      </c>
      <c r="I128" s="61" t="s">
        <v>22</v>
      </c>
      <c r="J128" s="28"/>
      <c r="K128" s="27">
        <v>260506009</v>
      </c>
      <c r="L128" s="27">
        <v>42</v>
      </c>
      <c r="M128" s="27">
        <f>L128-D128</f>
        <v>38</v>
      </c>
      <c r="N128" s="19">
        <v>46133</v>
      </c>
      <c r="O128" s="21">
        <f t="shared" si="12"/>
        <v>46497</v>
      </c>
    </row>
    <row r="129" spans="1:15" ht="20.149999999999999" hidden="1" customHeight="1" x14ac:dyDescent="0.25">
      <c r="A129" s="26">
        <v>46149</v>
      </c>
      <c r="B129" s="26">
        <v>46150</v>
      </c>
      <c r="C129" s="27" t="s">
        <v>961</v>
      </c>
      <c r="D129" s="27">
        <v>4</v>
      </c>
      <c r="E129" s="27">
        <f t="shared" si="11"/>
        <v>780</v>
      </c>
      <c r="F129" s="153" t="s">
        <v>615</v>
      </c>
      <c r="G129" s="36" t="s">
        <v>97</v>
      </c>
      <c r="H129" s="28">
        <f>H128-E129</f>
        <v>41500</v>
      </c>
      <c r="I129" s="61" t="s">
        <v>22</v>
      </c>
      <c r="J129" s="28"/>
      <c r="K129" s="27">
        <v>260506009</v>
      </c>
      <c r="L129" s="27">
        <v>41</v>
      </c>
      <c r="M129" s="27">
        <f>L129-D129</f>
        <v>37</v>
      </c>
      <c r="N129" s="19">
        <v>46134</v>
      </c>
      <c r="O129" s="21">
        <f t="shared" si="12"/>
        <v>46498</v>
      </c>
    </row>
    <row r="130" spans="1:15" ht="20.149999999999999" hidden="1" customHeight="1" x14ac:dyDescent="0.25">
      <c r="A130" s="26">
        <v>46149</v>
      </c>
      <c r="B130" s="26">
        <v>46150</v>
      </c>
      <c r="C130" s="27" t="s">
        <v>947</v>
      </c>
      <c r="D130" s="27">
        <v>4</v>
      </c>
      <c r="E130" s="27">
        <f t="shared" si="11"/>
        <v>780</v>
      </c>
      <c r="F130" s="153" t="s">
        <v>615</v>
      </c>
      <c r="G130" s="36" t="s">
        <v>97</v>
      </c>
      <c r="H130" s="28">
        <f>H129-E130</f>
        <v>40720</v>
      </c>
      <c r="I130" s="61" t="s">
        <v>22</v>
      </c>
      <c r="J130" s="28"/>
      <c r="K130" s="27">
        <v>260506009</v>
      </c>
      <c r="L130" s="27">
        <v>41</v>
      </c>
      <c r="M130" s="27">
        <f>L130-D130</f>
        <v>37</v>
      </c>
      <c r="N130" s="19">
        <v>46135</v>
      </c>
      <c r="O130" s="21">
        <f t="shared" si="12"/>
        <v>46499</v>
      </c>
    </row>
    <row r="131" spans="1:15" ht="20.149999999999999" hidden="1" customHeight="1" x14ac:dyDescent="0.25">
      <c r="A131" s="33">
        <v>46149</v>
      </c>
      <c r="B131" s="33">
        <v>46150</v>
      </c>
      <c r="C131" s="34" t="s">
        <v>962</v>
      </c>
      <c r="D131" s="34">
        <v>18</v>
      </c>
      <c r="E131" s="34">
        <f t="shared" si="11"/>
        <v>3510</v>
      </c>
      <c r="F131" s="155" t="s">
        <v>618</v>
      </c>
      <c r="G131" s="39" t="s">
        <v>968</v>
      </c>
      <c r="H131" s="35">
        <f>H126-E131</f>
        <v>33150</v>
      </c>
      <c r="I131" s="35"/>
      <c r="J131" s="35"/>
      <c r="K131" s="34">
        <v>260506010</v>
      </c>
      <c r="L131" s="34"/>
      <c r="M131" s="34">
        <f>M126-D131</f>
        <v>4</v>
      </c>
      <c r="N131" s="19">
        <v>46100</v>
      </c>
      <c r="O131" s="21">
        <f t="shared" si="12"/>
        <v>46464</v>
      </c>
    </row>
    <row r="132" spans="1:15" ht="20.149999999999999" hidden="1" customHeight="1" x14ac:dyDescent="0.25">
      <c r="A132" s="33">
        <v>46149</v>
      </c>
      <c r="B132" s="33">
        <v>46150</v>
      </c>
      <c r="C132" s="34" t="s">
        <v>963</v>
      </c>
      <c r="D132" s="34">
        <v>2</v>
      </c>
      <c r="E132" s="34">
        <f t="shared" si="11"/>
        <v>390</v>
      </c>
      <c r="F132" s="155" t="s">
        <v>618</v>
      </c>
      <c r="G132" s="39" t="s">
        <v>931</v>
      </c>
      <c r="H132" s="35">
        <f>H131-E132</f>
        <v>32760</v>
      </c>
      <c r="I132" s="35"/>
      <c r="J132" s="35"/>
      <c r="K132" s="34">
        <v>260506010</v>
      </c>
      <c r="L132" s="34"/>
      <c r="M132" s="34">
        <f>M54-D132</f>
        <v>31</v>
      </c>
      <c r="N132" s="19">
        <v>46104</v>
      </c>
      <c r="O132" s="21">
        <f t="shared" si="12"/>
        <v>46468</v>
      </c>
    </row>
    <row r="133" spans="1:15" ht="20.149999999999999" hidden="1" customHeight="1" x14ac:dyDescent="0.2">
      <c r="A133" s="40">
        <v>46150</v>
      </c>
      <c r="B133" s="40">
        <v>46150</v>
      </c>
      <c r="C133" s="41" t="s">
        <v>971</v>
      </c>
      <c r="D133" s="41">
        <v>12</v>
      </c>
      <c r="E133" s="41">
        <f t="shared" si="11"/>
        <v>2340</v>
      </c>
      <c r="F133" s="60" t="s">
        <v>26</v>
      </c>
      <c r="G133" s="41" t="s">
        <v>975</v>
      </c>
      <c r="H133" s="42">
        <f>H123-E133</f>
        <v>11420</v>
      </c>
      <c r="I133" s="42"/>
      <c r="J133" s="42"/>
      <c r="K133" s="41">
        <v>260507005</v>
      </c>
      <c r="L133" s="41"/>
      <c r="M133" s="41">
        <f>M132-D133</f>
        <v>19</v>
      </c>
      <c r="N133" s="19">
        <v>46104</v>
      </c>
      <c r="O133" s="21">
        <f t="shared" si="12"/>
        <v>46468</v>
      </c>
    </row>
    <row r="134" spans="1:15" ht="20.149999999999999" hidden="1" customHeight="1" x14ac:dyDescent="0.25">
      <c r="A134" s="29">
        <v>46150</v>
      </c>
      <c r="B134" s="29">
        <v>46153</v>
      </c>
      <c r="C134" s="30" t="s">
        <v>972</v>
      </c>
      <c r="D134" s="30">
        <v>15</v>
      </c>
      <c r="E134" s="30">
        <f t="shared" si="11"/>
        <v>2925</v>
      </c>
      <c r="F134" s="156" t="s">
        <v>618</v>
      </c>
      <c r="G134" s="37" t="s">
        <v>976</v>
      </c>
      <c r="H134" s="32">
        <f>H132-E134</f>
        <v>29835</v>
      </c>
      <c r="I134" s="32"/>
      <c r="J134" s="32"/>
      <c r="K134" s="30">
        <v>260507006</v>
      </c>
      <c r="L134" s="30"/>
      <c r="M134" s="30">
        <f>M133-D134</f>
        <v>4</v>
      </c>
      <c r="N134" s="19">
        <v>46104</v>
      </c>
      <c r="O134" s="21">
        <f t="shared" si="12"/>
        <v>46468</v>
      </c>
    </row>
    <row r="135" spans="1:15" ht="20.149999999999999" hidden="1" customHeight="1" x14ac:dyDescent="0.25">
      <c r="A135" s="29">
        <v>46150</v>
      </c>
      <c r="B135" s="29">
        <v>46153</v>
      </c>
      <c r="C135" s="30" t="s">
        <v>973</v>
      </c>
      <c r="D135" s="30">
        <v>1</v>
      </c>
      <c r="E135" s="30">
        <f t="shared" si="11"/>
        <v>195</v>
      </c>
      <c r="F135" s="156" t="s">
        <v>618</v>
      </c>
      <c r="G135" s="37" t="s">
        <v>969</v>
      </c>
      <c r="H135" s="32">
        <f>H134-E135</f>
        <v>29640</v>
      </c>
      <c r="I135" s="32"/>
      <c r="J135" s="32"/>
      <c r="K135" s="30">
        <v>260507006</v>
      </c>
      <c r="L135" s="30"/>
      <c r="M135" s="30">
        <f>M55-D135</f>
        <v>33</v>
      </c>
      <c r="N135" s="19">
        <v>46106</v>
      </c>
      <c r="O135" s="21">
        <f t="shared" si="12"/>
        <v>46470</v>
      </c>
    </row>
    <row r="136" spans="1:15" ht="20.149999999999999" hidden="1" customHeight="1" x14ac:dyDescent="0.2">
      <c r="A136" s="26">
        <v>46153</v>
      </c>
      <c r="B136" s="26">
        <v>46153</v>
      </c>
      <c r="C136" s="27" t="s">
        <v>991</v>
      </c>
      <c r="D136" s="27">
        <v>8</v>
      </c>
      <c r="E136" s="27">
        <f t="shared" si="11"/>
        <v>1560</v>
      </c>
      <c r="F136" s="36" t="s">
        <v>26</v>
      </c>
      <c r="G136" s="27" t="s">
        <v>916</v>
      </c>
      <c r="H136" s="28">
        <f>H133-E136</f>
        <v>9860</v>
      </c>
      <c r="I136" s="28"/>
      <c r="J136" s="28"/>
      <c r="K136" s="27">
        <v>260508006</v>
      </c>
      <c r="L136" s="27"/>
      <c r="M136" s="27">
        <f>M135-D136</f>
        <v>25</v>
      </c>
      <c r="N136" s="19">
        <v>46106</v>
      </c>
      <c r="O136" s="21">
        <f t="shared" si="12"/>
        <v>46470</v>
      </c>
    </row>
    <row r="137" spans="1:15" ht="20.149999999999999" hidden="1" customHeight="1" x14ac:dyDescent="0.25">
      <c r="A137" s="22">
        <v>46153</v>
      </c>
      <c r="B137" s="22">
        <v>46154</v>
      </c>
      <c r="C137" s="23" t="s">
        <v>992</v>
      </c>
      <c r="D137" s="23">
        <v>4</v>
      </c>
      <c r="E137" s="23">
        <f t="shared" si="11"/>
        <v>780</v>
      </c>
      <c r="F137" s="154" t="s">
        <v>615</v>
      </c>
      <c r="G137" s="38" t="s">
        <v>998</v>
      </c>
      <c r="H137" s="25">
        <f>H130-E137</f>
        <v>39940</v>
      </c>
      <c r="I137" s="43" t="s">
        <v>22</v>
      </c>
      <c r="J137" s="25"/>
      <c r="K137" s="23">
        <v>260508007</v>
      </c>
      <c r="L137" s="23">
        <v>42</v>
      </c>
      <c r="M137" s="23">
        <f>L137-D137</f>
        <v>38</v>
      </c>
      <c r="N137" s="19">
        <v>46136</v>
      </c>
      <c r="O137" s="21">
        <f t="shared" si="12"/>
        <v>46500</v>
      </c>
    </row>
    <row r="138" spans="1:15" ht="20.149999999999999" hidden="1" customHeight="1" x14ac:dyDescent="0.25">
      <c r="A138" s="22">
        <v>46153</v>
      </c>
      <c r="B138" s="22">
        <v>46154</v>
      </c>
      <c r="C138" s="23" t="s">
        <v>993</v>
      </c>
      <c r="D138" s="23">
        <v>4</v>
      </c>
      <c r="E138" s="23">
        <f t="shared" si="11"/>
        <v>780</v>
      </c>
      <c r="F138" s="154" t="s">
        <v>615</v>
      </c>
      <c r="G138" s="38" t="s">
        <v>97</v>
      </c>
      <c r="H138" s="25">
        <f>H137-E138</f>
        <v>39160</v>
      </c>
      <c r="I138" s="43" t="s">
        <v>22</v>
      </c>
      <c r="J138" s="25"/>
      <c r="K138" s="23">
        <v>260508007</v>
      </c>
      <c r="L138" s="23">
        <v>41</v>
      </c>
      <c r="M138" s="23">
        <f>L138-D138</f>
        <v>37</v>
      </c>
      <c r="N138" s="19">
        <v>46137</v>
      </c>
      <c r="O138" s="21">
        <f t="shared" si="12"/>
        <v>46501</v>
      </c>
    </row>
    <row r="139" spans="1:15" ht="20.149999999999999" hidden="1" customHeight="1" x14ac:dyDescent="0.25">
      <c r="A139" s="22">
        <v>46153</v>
      </c>
      <c r="B139" s="22">
        <v>46154</v>
      </c>
      <c r="C139" s="23" t="s">
        <v>994</v>
      </c>
      <c r="D139" s="23">
        <v>4</v>
      </c>
      <c r="E139" s="23">
        <f t="shared" si="11"/>
        <v>780</v>
      </c>
      <c r="F139" s="154" t="s">
        <v>615</v>
      </c>
      <c r="G139" s="38" t="s">
        <v>97</v>
      </c>
      <c r="H139" s="25">
        <f>H138-E139</f>
        <v>38380</v>
      </c>
      <c r="I139" s="43" t="s">
        <v>22</v>
      </c>
      <c r="J139" s="25"/>
      <c r="K139" s="23">
        <v>260508007</v>
      </c>
      <c r="L139" s="23">
        <v>40</v>
      </c>
      <c r="M139" s="23">
        <f>L139-D139</f>
        <v>36</v>
      </c>
      <c r="N139" s="19">
        <v>46138</v>
      </c>
      <c r="O139" s="21">
        <f t="shared" si="12"/>
        <v>46502</v>
      </c>
    </row>
    <row r="140" spans="1:15" ht="20.149999999999999" hidden="1" customHeight="1" x14ac:dyDescent="0.25">
      <c r="A140" s="22">
        <v>46153</v>
      </c>
      <c r="B140" s="22">
        <v>46154</v>
      </c>
      <c r="C140" s="23" t="s">
        <v>977</v>
      </c>
      <c r="D140" s="23">
        <v>4</v>
      </c>
      <c r="E140" s="23">
        <f t="shared" si="11"/>
        <v>780</v>
      </c>
      <c r="F140" s="154" t="s">
        <v>615</v>
      </c>
      <c r="G140" s="38" t="s">
        <v>97</v>
      </c>
      <c r="H140" s="25">
        <f>H139-E140</f>
        <v>37600</v>
      </c>
      <c r="I140" s="43" t="s">
        <v>22</v>
      </c>
      <c r="J140" s="25"/>
      <c r="K140" s="23">
        <v>260508007</v>
      </c>
      <c r="L140" s="23">
        <v>41</v>
      </c>
      <c r="M140" s="23">
        <f>L140-D140</f>
        <v>37</v>
      </c>
      <c r="N140" s="19">
        <v>46139</v>
      </c>
      <c r="O140" s="21">
        <f t="shared" si="12"/>
        <v>46503</v>
      </c>
    </row>
    <row r="141" spans="1:15" ht="20.149999999999999" hidden="1" customHeight="1" x14ac:dyDescent="0.2">
      <c r="A141" s="33">
        <v>46154</v>
      </c>
      <c r="B141" s="33">
        <v>46154</v>
      </c>
      <c r="C141" s="34" t="s">
        <v>1006</v>
      </c>
      <c r="D141" s="34">
        <v>5</v>
      </c>
      <c r="E141" s="34">
        <f t="shared" si="11"/>
        <v>975</v>
      </c>
      <c r="F141" s="39" t="s">
        <v>26</v>
      </c>
      <c r="G141" s="34" t="s">
        <v>1013</v>
      </c>
      <c r="H141" s="35">
        <f>H136-E141</f>
        <v>8885</v>
      </c>
      <c r="I141" s="35"/>
      <c r="J141" s="35"/>
      <c r="K141" s="34">
        <v>260511009</v>
      </c>
      <c r="L141" s="34"/>
      <c r="M141" s="34">
        <f>M136-D141</f>
        <v>20</v>
      </c>
      <c r="N141" s="19">
        <v>46106</v>
      </c>
      <c r="O141" s="21">
        <f t="shared" si="12"/>
        <v>46470</v>
      </c>
    </row>
    <row r="142" spans="1:15" ht="20.149999999999999" hidden="1" customHeight="1" x14ac:dyDescent="0.2">
      <c r="A142" s="33">
        <v>46154</v>
      </c>
      <c r="B142" s="33">
        <v>46154</v>
      </c>
      <c r="C142" s="34" t="s">
        <v>1007</v>
      </c>
      <c r="D142" s="34">
        <v>7</v>
      </c>
      <c r="E142" s="34">
        <f t="shared" si="11"/>
        <v>1365</v>
      </c>
      <c r="F142" s="39" t="s">
        <v>26</v>
      </c>
      <c r="G142" s="34" t="s">
        <v>999</v>
      </c>
      <c r="H142" s="35">
        <f>H141-E142</f>
        <v>7520</v>
      </c>
      <c r="I142" s="35"/>
      <c r="J142" s="35"/>
      <c r="K142" s="34">
        <v>260511009</v>
      </c>
      <c r="L142" s="34"/>
      <c r="M142" s="34">
        <f>M65-D142</f>
        <v>26</v>
      </c>
      <c r="N142" s="19">
        <v>46108</v>
      </c>
      <c r="O142" s="21">
        <f t="shared" si="12"/>
        <v>46472</v>
      </c>
    </row>
    <row r="143" spans="1:15" ht="20.149999999999999" hidden="1" customHeight="1" x14ac:dyDescent="0.25">
      <c r="A143" s="40">
        <v>46154</v>
      </c>
      <c r="B143" s="40">
        <v>46155</v>
      </c>
      <c r="C143" s="41" t="s">
        <v>1008</v>
      </c>
      <c r="D143" s="41">
        <v>16</v>
      </c>
      <c r="E143" s="41">
        <f t="shared" si="11"/>
        <v>3120</v>
      </c>
      <c r="F143" s="152" t="s">
        <v>618</v>
      </c>
      <c r="G143" s="60" t="s">
        <v>1014</v>
      </c>
      <c r="H143" s="42">
        <f>H135-E143</f>
        <v>26520</v>
      </c>
      <c r="I143" s="42"/>
      <c r="J143" s="42"/>
      <c r="K143" s="41">
        <v>260511010</v>
      </c>
      <c r="L143" s="41"/>
      <c r="M143" s="41">
        <f>M141-D143</f>
        <v>4</v>
      </c>
      <c r="N143" s="19">
        <v>46106</v>
      </c>
      <c r="O143" s="21">
        <f t="shared" si="12"/>
        <v>46470</v>
      </c>
    </row>
    <row r="144" spans="1:15" ht="20.149999999999999" hidden="1" customHeight="1" x14ac:dyDescent="0.2">
      <c r="A144" s="29">
        <v>46154</v>
      </c>
      <c r="B144" s="29">
        <v>46155</v>
      </c>
      <c r="C144" s="30" t="s">
        <v>1004</v>
      </c>
      <c r="D144" s="30">
        <v>4</v>
      </c>
      <c r="E144" s="30">
        <f t="shared" si="11"/>
        <v>780</v>
      </c>
      <c r="F144" s="37" t="s">
        <v>31</v>
      </c>
      <c r="G144" s="37" t="s">
        <v>1011</v>
      </c>
      <c r="H144" s="32">
        <f>H110-E144</f>
        <v>95320</v>
      </c>
      <c r="I144" s="32"/>
      <c r="J144" s="32"/>
      <c r="K144" s="30" t="s">
        <v>1009</v>
      </c>
      <c r="L144" s="30"/>
      <c r="M144" s="30">
        <f>M89-D144</f>
        <v>0</v>
      </c>
      <c r="N144" s="19">
        <v>46072</v>
      </c>
      <c r="O144" s="21">
        <f t="shared" si="12"/>
        <v>46436</v>
      </c>
    </row>
    <row r="145" spans="1:15" ht="20.149999999999999" hidden="1" customHeight="1" x14ac:dyDescent="0.25">
      <c r="A145" s="26">
        <v>46156</v>
      </c>
      <c r="B145" s="26">
        <v>46157</v>
      </c>
      <c r="C145" s="27" t="s">
        <v>1022</v>
      </c>
      <c r="D145" s="27">
        <v>4</v>
      </c>
      <c r="E145" s="27">
        <f t="shared" si="11"/>
        <v>780</v>
      </c>
      <c r="F145" s="153" t="s">
        <v>615</v>
      </c>
      <c r="G145" s="36" t="s">
        <v>258</v>
      </c>
      <c r="H145" s="28">
        <f>H140-E145</f>
        <v>36820</v>
      </c>
      <c r="I145" s="28"/>
      <c r="J145" s="28"/>
      <c r="K145" s="27">
        <v>260513008</v>
      </c>
      <c r="L145" s="27"/>
      <c r="M145" s="27">
        <f>M142-D145</f>
        <v>22</v>
      </c>
      <c r="N145" s="19">
        <v>46108</v>
      </c>
      <c r="O145" s="21">
        <f t="shared" si="12"/>
        <v>46472</v>
      </c>
    </row>
    <row r="146" spans="1:15" ht="20.149999999999999" hidden="1" customHeight="1" x14ac:dyDescent="0.25">
      <c r="A146" s="26">
        <v>46156</v>
      </c>
      <c r="B146" s="26">
        <v>46157</v>
      </c>
      <c r="C146" s="27" t="s">
        <v>1023</v>
      </c>
      <c r="D146" s="27">
        <v>4</v>
      </c>
      <c r="E146" s="27">
        <f t="shared" si="11"/>
        <v>780</v>
      </c>
      <c r="F146" s="153" t="s">
        <v>615</v>
      </c>
      <c r="G146" s="36" t="s">
        <v>97</v>
      </c>
      <c r="H146" s="28">
        <f>H145-E146</f>
        <v>36040</v>
      </c>
      <c r="I146" s="61" t="s">
        <v>22</v>
      </c>
      <c r="J146" s="28"/>
      <c r="K146" s="27">
        <v>260513008</v>
      </c>
      <c r="L146" s="27">
        <v>42</v>
      </c>
      <c r="M146" s="27">
        <f>L146-D146</f>
        <v>38</v>
      </c>
      <c r="N146" s="19">
        <v>46141</v>
      </c>
      <c r="O146" s="21">
        <f t="shared" si="12"/>
        <v>46505</v>
      </c>
    </row>
    <row r="147" spans="1:15" ht="20.149999999999999" hidden="1" customHeight="1" x14ac:dyDescent="0.25">
      <c r="A147" s="26">
        <v>46156</v>
      </c>
      <c r="B147" s="26">
        <v>46157</v>
      </c>
      <c r="C147" s="27" t="s">
        <v>1024</v>
      </c>
      <c r="D147" s="27">
        <v>4</v>
      </c>
      <c r="E147" s="27">
        <f t="shared" si="11"/>
        <v>780</v>
      </c>
      <c r="F147" s="153" t="s">
        <v>615</v>
      </c>
      <c r="G147" s="36" t="s">
        <v>97</v>
      </c>
      <c r="H147" s="28">
        <f>H146-E147</f>
        <v>35260</v>
      </c>
      <c r="I147" s="61" t="s">
        <v>22</v>
      </c>
      <c r="J147" s="28"/>
      <c r="K147" s="27">
        <v>260513008</v>
      </c>
      <c r="L147" s="27">
        <v>41</v>
      </c>
      <c r="M147" s="27">
        <f>L147-D147</f>
        <v>37</v>
      </c>
      <c r="N147" s="19">
        <v>46143</v>
      </c>
      <c r="O147" s="21">
        <f t="shared" si="12"/>
        <v>46507</v>
      </c>
    </row>
    <row r="148" spans="1:15" ht="20.149999999999999" hidden="1" customHeight="1" x14ac:dyDescent="0.25">
      <c r="A148" s="22">
        <v>46156</v>
      </c>
      <c r="B148" s="22">
        <v>46157</v>
      </c>
      <c r="C148" s="23" t="s">
        <v>1025</v>
      </c>
      <c r="D148" s="23">
        <v>18</v>
      </c>
      <c r="E148" s="23">
        <f t="shared" si="11"/>
        <v>3510</v>
      </c>
      <c r="F148" s="154" t="s">
        <v>618</v>
      </c>
      <c r="G148" s="38" t="s">
        <v>931</v>
      </c>
      <c r="H148" s="25">
        <f>H143-E148</f>
        <v>23010</v>
      </c>
      <c r="I148" s="25"/>
      <c r="J148" s="25"/>
      <c r="K148" s="23">
        <v>260513009</v>
      </c>
      <c r="L148" s="23"/>
      <c r="M148" s="23">
        <f>M145-D148</f>
        <v>4</v>
      </c>
      <c r="N148" s="19">
        <v>46108</v>
      </c>
      <c r="O148" s="21">
        <f t="shared" si="12"/>
        <v>46472</v>
      </c>
    </row>
    <row r="149" spans="1:15" ht="20.149999999999999" hidden="1" customHeight="1" x14ac:dyDescent="0.25">
      <c r="A149" s="22">
        <v>46156</v>
      </c>
      <c r="B149" s="22">
        <v>46157</v>
      </c>
      <c r="C149" s="23" t="s">
        <v>769</v>
      </c>
      <c r="D149" s="23">
        <v>2</v>
      </c>
      <c r="E149" s="23">
        <f t="shared" si="11"/>
        <v>390</v>
      </c>
      <c r="F149" s="154" t="s">
        <v>1042</v>
      </c>
      <c r="G149" s="38" t="s">
        <v>932</v>
      </c>
      <c r="H149" s="25">
        <f>H148-E149</f>
        <v>22620</v>
      </c>
      <c r="I149" s="25"/>
      <c r="J149" s="25"/>
      <c r="K149" s="23">
        <v>260513009</v>
      </c>
      <c r="L149" s="23"/>
      <c r="M149" s="23">
        <f>M72-D149</f>
        <v>31</v>
      </c>
      <c r="N149" s="19">
        <v>46111</v>
      </c>
      <c r="O149" s="21">
        <f t="shared" si="12"/>
        <v>46475</v>
      </c>
    </row>
    <row r="150" spans="1:15" ht="20.149999999999999" hidden="1" customHeight="1" x14ac:dyDescent="0.2">
      <c r="A150" s="40">
        <v>46157</v>
      </c>
      <c r="B150" s="40">
        <v>46157</v>
      </c>
      <c r="C150" s="41" t="s">
        <v>1035</v>
      </c>
      <c r="D150" s="41">
        <v>12</v>
      </c>
      <c r="E150" s="41">
        <f t="shared" si="11"/>
        <v>2340</v>
      </c>
      <c r="F150" s="60" t="s">
        <v>26</v>
      </c>
      <c r="G150" s="41" t="s">
        <v>1048</v>
      </c>
      <c r="H150" s="42">
        <f>H142-E150</f>
        <v>5180</v>
      </c>
      <c r="I150" s="42"/>
      <c r="J150" s="42"/>
      <c r="K150" s="41" t="s">
        <v>1047</v>
      </c>
      <c r="L150" s="41"/>
      <c r="M150" s="41">
        <f>M149-D150</f>
        <v>19</v>
      </c>
      <c r="N150" s="19">
        <v>46111</v>
      </c>
      <c r="O150" s="21">
        <f t="shared" si="12"/>
        <v>46475</v>
      </c>
    </row>
    <row r="151" spans="1:15" ht="20.149999999999999" hidden="1" customHeight="1" x14ac:dyDescent="0.2">
      <c r="A151" s="40">
        <v>46157</v>
      </c>
      <c r="B151" s="40">
        <v>46157</v>
      </c>
      <c r="C151" s="41" t="s">
        <v>1045</v>
      </c>
      <c r="D151" s="41">
        <v>8</v>
      </c>
      <c r="E151" s="41">
        <f>D151*195</f>
        <v>1560</v>
      </c>
      <c r="F151" s="60" t="s">
        <v>26</v>
      </c>
      <c r="G151" s="41" t="s">
        <v>1046</v>
      </c>
      <c r="H151" s="42">
        <f>H150-E151</f>
        <v>3620</v>
      </c>
      <c r="I151" s="42"/>
      <c r="J151" s="42"/>
      <c r="K151" s="41" t="s">
        <v>1047</v>
      </c>
      <c r="L151" s="41"/>
      <c r="M151" s="41">
        <f>M73-D151</f>
        <v>26</v>
      </c>
      <c r="N151" s="19">
        <v>46113</v>
      </c>
      <c r="O151" s="21">
        <f>DATE(YEAR(N151)+1,MONTH(N151),DAY(N151))-1</f>
        <v>46477</v>
      </c>
    </row>
    <row r="152" spans="1:15" ht="20.149999999999999" hidden="1" customHeight="1" x14ac:dyDescent="0.25">
      <c r="A152" s="33">
        <v>46157</v>
      </c>
      <c r="B152" s="33">
        <v>46160</v>
      </c>
      <c r="C152" s="34" t="s">
        <v>1036</v>
      </c>
      <c r="D152" s="34">
        <v>15</v>
      </c>
      <c r="E152" s="34">
        <f t="shared" si="11"/>
        <v>2925</v>
      </c>
      <c r="F152" s="155" t="s">
        <v>618</v>
      </c>
      <c r="G152" s="39" t="s">
        <v>1039</v>
      </c>
      <c r="H152" s="35">
        <f>H149-E152</f>
        <v>19695</v>
      </c>
      <c r="I152" s="35"/>
      <c r="J152" s="35"/>
      <c r="K152" s="34">
        <v>260514005</v>
      </c>
      <c r="L152" s="34"/>
      <c r="M152" s="34">
        <f>M150-D152</f>
        <v>4</v>
      </c>
      <c r="N152" s="19">
        <v>46111</v>
      </c>
      <c r="O152" s="21">
        <f t="shared" si="12"/>
        <v>46475</v>
      </c>
    </row>
    <row r="153" spans="1:15" ht="20.149999999999999" hidden="1" customHeight="1" x14ac:dyDescent="0.25">
      <c r="A153" s="33">
        <v>46157</v>
      </c>
      <c r="B153" s="33">
        <v>46160</v>
      </c>
      <c r="C153" s="34" t="s">
        <v>1037</v>
      </c>
      <c r="D153" s="34">
        <v>1</v>
      </c>
      <c r="E153" s="34">
        <f t="shared" si="11"/>
        <v>195</v>
      </c>
      <c r="F153" s="155" t="s">
        <v>618</v>
      </c>
      <c r="G153" s="39" t="s">
        <v>931</v>
      </c>
      <c r="H153" s="35">
        <f>H152-E153</f>
        <v>19500</v>
      </c>
      <c r="I153" s="35"/>
      <c r="J153" s="35"/>
      <c r="K153" s="34">
        <v>260514005</v>
      </c>
      <c r="L153" s="34"/>
      <c r="M153" s="34">
        <f>M151-D153</f>
        <v>25</v>
      </c>
      <c r="N153" s="19">
        <v>46113</v>
      </c>
      <c r="O153" s="21">
        <f t="shared" si="12"/>
        <v>46477</v>
      </c>
    </row>
    <row r="154" spans="1:15" ht="20.149999999999999" hidden="1" customHeight="1" x14ac:dyDescent="0.2">
      <c r="A154" s="29">
        <v>46160</v>
      </c>
      <c r="B154" s="29">
        <v>46160</v>
      </c>
      <c r="C154" s="30" t="s">
        <v>757</v>
      </c>
      <c r="D154" s="30">
        <v>8</v>
      </c>
      <c r="E154" s="30">
        <f t="shared" si="11"/>
        <v>1560</v>
      </c>
      <c r="F154" s="37" t="s">
        <v>26</v>
      </c>
      <c r="G154" s="30" t="s">
        <v>916</v>
      </c>
      <c r="H154" s="32">
        <f>H151-E154</f>
        <v>2060</v>
      </c>
      <c r="I154" s="32"/>
      <c r="J154" s="32"/>
      <c r="K154" s="30">
        <v>260515006</v>
      </c>
      <c r="L154" s="30"/>
      <c r="M154" s="30">
        <f>M153-D154</f>
        <v>17</v>
      </c>
      <c r="N154" s="19">
        <v>46113</v>
      </c>
      <c r="O154" s="21">
        <f t="shared" si="12"/>
        <v>46477</v>
      </c>
    </row>
    <row r="155" spans="1:15" ht="20.149999999999999" hidden="1" customHeight="1" x14ac:dyDescent="0.25">
      <c r="A155" s="26">
        <v>46160</v>
      </c>
      <c r="B155" s="26">
        <v>46161</v>
      </c>
      <c r="C155" s="27" t="s">
        <v>1056</v>
      </c>
      <c r="D155" s="27">
        <v>4</v>
      </c>
      <c r="E155" s="27">
        <f t="shared" si="11"/>
        <v>780</v>
      </c>
      <c r="F155" s="27" t="s">
        <v>1043</v>
      </c>
      <c r="G155" s="149" t="s">
        <v>1049</v>
      </c>
      <c r="H155" s="28">
        <f>4680-E155</f>
        <v>3900</v>
      </c>
      <c r="I155" s="28"/>
      <c r="J155" s="28"/>
      <c r="K155" s="27">
        <v>260515007</v>
      </c>
      <c r="L155" s="27"/>
      <c r="M155" s="27">
        <f>M90-D155</f>
        <v>0</v>
      </c>
      <c r="N155" s="19">
        <v>46076</v>
      </c>
      <c r="O155" s="21">
        <f t="shared" si="12"/>
        <v>46440</v>
      </c>
    </row>
    <row r="156" spans="1:15" ht="20.149999999999999" hidden="1" customHeight="1" x14ac:dyDescent="0.25">
      <c r="A156" s="26">
        <v>46160</v>
      </c>
      <c r="B156" s="26">
        <v>46161</v>
      </c>
      <c r="C156" s="27" t="s">
        <v>1057</v>
      </c>
      <c r="D156" s="27">
        <v>4</v>
      </c>
      <c r="E156" s="27">
        <f t="shared" si="11"/>
        <v>780</v>
      </c>
      <c r="F156" s="27" t="s">
        <v>1043</v>
      </c>
      <c r="G156" s="149" t="s">
        <v>1050</v>
      </c>
      <c r="H156" s="28">
        <f>H155-E156</f>
        <v>3120</v>
      </c>
      <c r="I156" s="28"/>
      <c r="J156" s="28"/>
      <c r="K156" s="27">
        <v>260515007</v>
      </c>
      <c r="L156" s="27"/>
      <c r="M156" s="27">
        <f>M97-D156</f>
        <v>0</v>
      </c>
      <c r="N156" s="19">
        <v>46078</v>
      </c>
      <c r="O156" s="21">
        <f t="shared" si="12"/>
        <v>46442</v>
      </c>
    </row>
    <row r="157" spans="1:15" ht="20.149999999999999" hidden="1" customHeight="1" x14ac:dyDescent="0.25">
      <c r="A157" s="26">
        <v>46160</v>
      </c>
      <c r="B157" s="26">
        <v>46161</v>
      </c>
      <c r="C157" s="27" t="s">
        <v>1058</v>
      </c>
      <c r="D157" s="27">
        <v>4</v>
      </c>
      <c r="E157" s="27">
        <f t="shared" si="11"/>
        <v>780</v>
      </c>
      <c r="F157" s="27" t="s">
        <v>1043</v>
      </c>
      <c r="G157" s="149" t="s">
        <v>1051</v>
      </c>
      <c r="H157" s="28">
        <f>H156-E157</f>
        <v>2340</v>
      </c>
      <c r="I157" s="28"/>
      <c r="J157" s="28"/>
      <c r="K157" s="27">
        <v>260515007</v>
      </c>
      <c r="L157" s="27"/>
      <c r="M157" s="27">
        <f>M98-D157</f>
        <v>0</v>
      </c>
      <c r="N157" s="19">
        <v>46083</v>
      </c>
      <c r="O157" s="21">
        <f t="shared" si="12"/>
        <v>46447</v>
      </c>
    </row>
    <row r="158" spans="1:15" ht="20.149999999999999" hidden="1" customHeight="1" x14ac:dyDescent="0.25">
      <c r="A158" s="40">
        <v>46160</v>
      </c>
      <c r="B158" s="40">
        <v>46161</v>
      </c>
      <c r="C158" s="41" t="s">
        <v>1059</v>
      </c>
      <c r="D158" s="41">
        <v>4</v>
      </c>
      <c r="E158" s="41">
        <f t="shared" si="11"/>
        <v>780</v>
      </c>
      <c r="F158" s="152" t="s">
        <v>615</v>
      </c>
      <c r="G158" s="60" t="s">
        <v>1065</v>
      </c>
      <c r="H158" s="42">
        <f>H147-E158</f>
        <v>34480</v>
      </c>
      <c r="I158" s="42"/>
      <c r="J158" s="42"/>
      <c r="K158" s="41">
        <v>260515008</v>
      </c>
      <c r="L158" s="41"/>
      <c r="M158" s="41">
        <f>M154-D158</f>
        <v>13</v>
      </c>
      <c r="N158" s="19">
        <v>46113</v>
      </c>
      <c r="O158" s="21">
        <f t="shared" si="12"/>
        <v>46477</v>
      </c>
    </row>
    <row r="159" spans="1:15" ht="20.149999999999999" hidden="1" customHeight="1" x14ac:dyDescent="0.25">
      <c r="A159" s="40">
        <v>46160</v>
      </c>
      <c r="B159" s="40">
        <v>46161</v>
      </c>
      <c r="C159" s="41" t="s">
        <v>1060</v>
      </c>
      <c r="D159" s="41">
        <v>4</v>
      </c>
      <c r="E159" s="41">
        <f t="shared" si="11"/>
        <v>780</v>
      </c>
      <c r="F159" s="152" t="s">
        <v>615</v>
      </c>
      <c r="G159" s="60" t="s">
        <v>97</v>
      </c>
      <c r="H159" s="42">
        <f>H158-E159</f>
        <v>33700</v>
      </c>
      <c r="I159" s="121" t="s">
        <v>22</v>
      </c>
      <c r="J159" s="42"/>
      <c r="K159" s="41">
        <v>260515008</v>
      </c>
      <c r="L159" s="41">
        <v>42</v>
      </c>
      <c r="M159" s="41">
        <f>L159-D159</f>
        <v>38</v>
      </c>
      <c r="N159" s="19">
        <v>46146</v>
      </c>
      <c r="O159" s="21">
        <f t="shared" si="12"/>
        <v>46510</v>
      </c>
    </row>
    <row r="160" spans="1:15" ht="20.149999999999999" hidden="1" customHeight="1" x14ac:dyDescent="0.25">
      <c r="A160" s="40">
        <v>46160</v>
      </c>
      <c r="B160" s="40">
        <v>46161</v>
      </c>
      <c r="C160" s="41" t="s">
        <v>1061</v>
      </c>
      <c r="D160" s="41">
        <v>4</v>
      </c>
      <c r="E160" s="41">
        <f t="shared" si="11"/>
        <v>780</v>
      </c>
      <c r="F160" s="152" t="s">
        <v>615</v>
      </c>
      <c r="G160" s="60" t="s">
        <v>97</v>
      </c>
      <c r="H160" s="42">
        <f>H159-E160</f>
        <v>32920</v>
      </c>
      <c r="I160" s="121" t="s">
        <v>22</v>
      </c>
      <c r="J160" s="42"/>
      <c r="K160" s="41">
        <v>260515008</v>
      </c>
      <c r="L160" s="41">
        <f>41+1</f>
        <v>42</v>
      </c>
      <c r="M160" s="41">
        <f>L160-D160</f>
        <v>38</v>
      </c>
      <c r="N160" s="19">
        <v>46148</v>
      </c>
      <c r="O160" s="21">
        <f t="shared" si="12"/>
        <v>46512</v>
      </c>
    </row>
    <row r="161" spans="1:15" ht="20.149999999999999" hidden="1" customHeight="1" x14ac:dyDescent="0.25">
      <c r="A161" s="40">
        <v>46160</v>
      </c>
      <c r="B161" s="40">
        <v>46161</v>
      </c>
      <c r="C161" s="41" t="s">
        <v>1044</v>
      </c>
      <c r="D161" s="41">
        <v>4</v>
      </c>
      <c r="E161" s="41">
        <f t="shared" si="11"/>
        <v>780</v>
      </c>
      <c r="F161" s="152" t="s">
        <v>615</v>
      </c>
      <c r="G161" s="60" t="s">
        <v>97</v>
      </c>
      <c r="H161" s="42">
        <f>H160-E161</f>
        <v>32140</v>
      </c>
      <c r="I161" s="121" t="s">
        <v>22</v>
      </c>
      <c r="J161" s="42"/>
      <c r="K161" s="41">
        <v>260515008</v>
      </c>
      <c r="L161" s="41">
        <v>41</v>
      </c>
      <c r="M161" s="41">
        <f>L161-D161</f>
        <v>37</v>
      </c>
      <c r="N161" s="19">
        <v>46150</v>
      </c>
      <c r="O161" s="21">
        <f t="shared" si="12"/>
        <v>46514</v>
      </c>
    </row>
    <row r="162" spans="1:15" ht="20.149999999999999" hidden="1" customHeight="1" x14ac:dyDescent="0.2">
      <c r="A162" s="22">
        <v>46161</v>
      </c>
      <c r="B162" s="22">
        <v>46161</v>
      </c>
      <c r="C162" s="23" t="s">
        <v>1076</v>
      </c>
      <c r="D162" s="23">
        <v>8</v>
      </c>
      <c r="E162" s="23">
        <f t="shared" si="11"/>
        <v>1560</v>
      </c>
      <c r="F162" s="38" t="s">
        <v>26</v>
      </c>
      <c r="G162" s="23" t="s">
        <v>1084</v>
      </c>
      <c r="H162" s="25">
        <f>H154-E162</f>
        <v>500</v>
      </c>
      <c r="I162" s="25"/>
      <c r="J162" s="25"/>
      <c r="K162" s="23" t="s">
        <v>1085</v>
      </c>
      <c r="L162" s="23"/>
      <c r="M162" s="23">
        <f>M86-D162</f>
        <v>29</v>
      </c>
      <c r="N162" s="19">
        <v>46115</v>
      </c>
      <c r="O162" s="21">
        <f t="shared" si="12"/>
        <v>46479</v>
      </c>
    </row>
    <row r="163" spans="1:15" ht="20.149999999999999" hidden="1" customHeight="1" x14ac:dyDescent="0.2">
      <c r="A163" s="22">
        <v>46161</v>
      </c>
      <c r="B163" s="22">
        <v>46161</v>
      </c>
      <c r="C163" s="23" t="s">
        <v>851</v>
      </c>
      <c r="D163" s="23">
        <v>4</v>
      </c>
      <c r="E163" s="23">
        <f t="shared" si="11"/>
        <v>780</v>
      </c>
      <c r="F163" s="38" t="s">
        <v>26</v>
      </c>
      <c r="G163" s="148" t="s">
        <v>1082</v>
      </c>
      <c r="H163" s="25">
        <f>10000-E163</f>
        <v>9220</v>
      </c>
      <c r="I163" s="25"/>
      <c r="J163" s="25"/>
      <c r="K163" s="23" t="s">
        <v>1086</v>
      </c>
      <c r="L163" s="23"/>
      <c r="M163" s="23">
        <f>M162-D163</f>
        <v>25</v>
      </c>
      <c r="N163" s="19">
        <v>46115</v>
      </c>
      <c r="O163" s="21">
        <f t="shared" si="12"/>
        <v>46479</v>
      </c>
    </row>
    <row r="164" spans="1:15" ht="20.149999999999999" hidden="1" customHeight="1" x14ac:dyDescent="0.25">
      <c r="A164" s="33">
        <v>46161</v>
      </c>
      <c r="B164" s="33">
        <v>46162</v>
      </c>
      <c r="C164" s="34" t="s">
        <v>1077</v>
      </c>
      <c r="D164" s="34">
        <v>9</v>
      </c>
      <c r="E164" s="34">
        <f t="shared" si="11"/>
        <v>1755</v>
      </c>
      <c r="F164" s="155" t="s">
        <v>618</v>
      </c>
      <c r="G164" s="39" t="s">
        <v>1081</v>
      </c>
      <c r="H164" s="35">
        <f>H153-E164</f>
        <v>17745</v>
      </c>
      <c r="I164" s="35"/>
      <c r="J164" s="35"/>
      <c r="K164" s="34">
        <v>260518006</v>
      </c>
      <c r="L164" s="34"/>
      <c r="M164" s="34">
        <f>M158-D164</f>
        <v>4</v>
      </c>
      <c r="N164" s="19">
        <v>46113</v>
      </c>
      <c r="O164" s="21">
        <f t="shared" si="12"/>
        <v>46477</v>
      </c>
    </row>
    <row r="165" spans="1:15" ht="20.149999999999999" hidden="1" customHeight="1" x14ac:dyDescent="0.25">
      <c r="A165" s="33">
        <v>46161</v>
      </c>
      <c r="B165" s="33">
        <v>46162</v>
      </c>
      <c r="C165" s="34" t="s">
        <v>851</v>
      </c>
      <c r="D165" s="34">
        <v>7</v>
      </c>
      <c r="E165" s="34">
        <f t="shared" si="11"/>
        <v>1365</v>
      </c>
      <c r="F165" s="155" t="s">
        <v>618</v>
      </c>
      <c r="G165" s="39" t="s">
        <v>1068</v>
      </c>
      <c r="H165" s="35">
        <f>H164-E165</f>
        <v>16380</v>
      </c>
      <c r="I165" s="35"/>
      <c r="J165" s="35"/>
      <c r="K165" s="34">
        <v>260518006</v>
      </c>
      <c r="L165" s="34"/>
      <c r="M165" s="34">
        <f>M163-D165</f>
        <v>18</v>
      </c>
      <c r="N165" s="19">
        <v>46115</v>
      </c>
      <c r="O165" s="21">
        <f t="shared" si="12"/>
        <v>46479</v>
      </c>
    </row>
    <row r="166" spans="1:15" ht="20.149999999999999" hidden="1" customHeight="1" x14ac:dyDescent="0.25">
      <c r="A166" s="29">
        <v>46163</v>
      </c>
      <c r="B166" s="29">
        <v>46164</v>
      </c>
      <c r="C166" s="30" t="s">
        <v>1100</v>
      </c>
      <c r="D166" s="30">
        <v>12</v>
      </c>
      <c r="E166" s="30">
        <f t="shared" si="11"/>
        <v>2340</v>
      </c>
      <c r="F166" s="156" t="s">
        <v>615</v>
      </c>
      <c r="G166" s="37" t="s">
        <v>97</v>
      </c>
      <c r="H166" s="32">
        <f>H161-E166</f>
        <v>29800</v>
      </c>
      <c r="I166" s="32"/>
      <c r="J166" s="32"/>
      <c r="K166" s="30">
        <v>260520007</v>
      </c>
      <c r="L166" s="30"/>
      <c r="M166" s="30">
        <f>M165-D166</f>
        <v>6</v>
      </c>
      <c r="N166" s="19">
        <v>46115</v>
      </c>
      <c r="O166" s="21">
        <f t="shared" si="12"/>
        <v>46479</v>
      </c>
    </row>
    <row r="167" spans="1:15" ht="20.149999999999999" hidden="1" customHeight="1" x14ac:dyDescent="0.25">
      <c r="A167" s="40">
        <v>46163</v>
      </c>
      <c r="B167" s="40">
        <v>46164</v>
      </c>
      <c r="C167" s="41" t="s">
        <v>851</v>
      </c>
      <c r="D167" s="41">
        <v>2</v>
      </c>
      <c r="E167" s="41">
        <f t="shared" si="11"/>
        <v>390</v>
      </c>
      <c r="F167" s="152" t="s">
        <v>618</v>
      </c>
      <c r="G167" s="60" t="s">
        <v>1106</v>
      </c>
      <c r="H167" s="42">
        <f>H165-E167</f>
        <v>15990</v>
      </c>
      <c r="I167" s="42"/>
      <c r="J167" s="42"/>
      <c r="K167" s="41">
        <v>260520008</v>
      </c>
      <c r="L167" s="41"/>
      <c r="M167" s="41">
        <f>M166-D167</f>
        <v>4</v>
      </c>
      <c r="N167" s="19">
        <v>46115</v>
      </c>
      <c r="O167" s="21">
        <f t="shared" si="12"/>
        <v>46479</v>
      </c>
    </row>
    <row r="168" spans="1:15" ht="20.149999999999999" hidden="1" customHeight="1" x14ac:dyDescent="0.25">
      <c r="A168" s="40">
        <v>46163</v>
      </c>
      <c r="B168" s="40">
        <v>46164</v>
      </c>
      <c r="C168" s="41" t="s">
        <v>852</v>
      </c>
      <c r="D168" s="41">
        <v>18</v>
      </c>
      <c r="E168" s="41">
        <f t="shared" si="11"/>
        <v>3510</v>
      </c>
      <c r="F168" s="152" t="s">
        <v>618</v>
      </c>
      <c r="G168" s="60" t="s">
        <v>1091</v>
      </c>
      <c r="H168" s="42">
        <f>H167-E168</f>
        <v>12480</v>
      </c>
      <c r="I168" s="42"/>
      <c r="J168" s="42"/>
      <c r="K168" s="41">
        <v>260520008</v>
      </c>
      <c r="L168" s="41"/>
      <c r="M168" s="41">
        <f>M87-D168</f>
        <v>20</v>
      </c>
      <c r="N168" s="19">
        <v>46118</v>
      </c>
      <c r="O168" s="21">
        <f t="shared" si="12"/>
        <v>46482</v>
      </c>
    </row>
    <row r="169" spans="1:15" ht="20.149999999999999" hidden="1" customHeight="1" x14ac:dyDescent="0.2">
      <c r="A169" s="26">
        <v>46164</v>
      </c>
      <c r="B169" s="26">
        <v>46164</v>
      </c>
      <c r="C169" s="27" t="s">
        <v>1112</v>
      </c>
      <c r="D169" s="27">
        <v>12</v>
      </c>
      <c r="E169" s="27">
        <f t="shared" si="11"/>
        <v>2340</v>
      </c>
      <c r="F169" s="36" t="s">
        <v>26</v>
      </c>
      <c r="G169" s="36" t="s">
        <v>1082</v>
      </c>
      <c r="H169" s="28">
        <f>H163-E169</f>
        <v>6880</v>
      </c>
      <c r="I169" s="28"/>
      <c r="J169" s="28"/>
      <c r="K169" s="27">
        <v>260521006</v>
      </c>
      <c r="L169" s="27"/>
      <c r="M169" s="27">
        <f>M168-D169</f>
        <v>8</v>
      </c>
      <c r="N169" s="19">
        <v>46118</v>
      </c>
      <c r="O169" s="21">
        <f t="shared" si="12"/>
        <v>46482</v>
      </c>
    </row>
    <row r="170" spans="1:15" ht="20.149999999999999" hidden="1" customHeight="1" x14ac:dyDescent="0.25">
      <c r="A170" s="22">
        <v>46164</v>
      </c>
      <c r="B170" s="22">
        <v>46167</v>
      </c>
      <c r="C170" s="23" t="s">
        <v>1113</v>
      </c>
      <c r="D170" s="23">
        <v>4</v>
      </c>
      <c r="E170" s="23">
        <f t="shared" si="11"/>
        <v>780</v>
      </c>
      <c r="F170" s="154" t="s">
        <v>618</v>
      </c>
      <c r="G170" s="38" t="s">
        <v>1119</v>
      </c>
      <c r="H170" s="25">
        <f>H168-E170</f>
        <v>11700</v>
      </c>
      <c r="I170" s="25"/>
      <c r="J170" s="25"/>
      <c r="K170" s="23">
        <v>260521007</v>
      </c>
      <c r="L170" s="23"/>
      <c r="M170" s="23">
        <f>M169-D170</f>
        <v>4</v>
      </c>
      <c r="N170" s="19">
        <v>46118</v>
      </c>
      <c r="O170" s="21">
        <f t="shared" si="12"/>
        <v>46482</v>
      </c>
    </row>
    <row r="171" spans="1:15" ht="20.149999999999999" hidden="1" customHeight="1" x14ac:dyDescent="0.25">
      <c r="A171" s="22">
        <v>46164</v>
      </c>
      <c r="B171" s="22">
        <v>46167</v>
      </c>
      <c r="C171" s="23" t="s">
        <v>836</v>
      </c>
      <c r="D171" s="23">
        <v>16</v>
      </c>
      <c r="E171" s="23">
        <f t="shared" si="11"/>
        <v>3120</v>
      </c>
      <c r="F171" s="154" t="s">
        <v>618</v>
      </c>
      <c r="G171" s="38" t="s">
        <v>931</v>
      </c>
      <c r="H171" s="25">
        <f>H170-E171</f>
        <v>8580</v>
      </c>
      <c r="I171" s="25"/>
      <c r="J171" s="25"/>
      <c r="K171" s="23">
        <v>260521007</v>
      </c>
      <c r="L171" s="23"/>
      <c r="M171" s="23">
        <f>M88-D171</f>
        <v>21</v>
      </c>
      <c r="N171" s="19">
        <v>46120</v>
      </c>
      <c r="O171" s="21">
        <f t="shared" si="12"/>
        <v>46484</v>
      </c>
    </row>
    <row r="172" spans="1:15" ht="20.149999999999999" hidden="1" customHeight="1" x14ac:dyDescent="0.2">
      <c r="A172" s="33">
        <v>46167</v>
      </c>
      <c r="B172" s="33">
        <v>46167</v>
      </c>
      <c r="C172" s="34" t="s">
        <v>836</v>
      </c>
      <c r="D172" s="34">
        <v>8</v>
      </c>
      <c r="E172" s="34">
        <f t="shared" si="11"/>
        <v>1560</v>
      </c>
      <c r="F172" s="39" t="s">
        <v>26</v>
      </c>
      <c r="G172" s="39" t="s">
        <v>1082</v>
      </c>
      <c r="H172" s="35">
        <f>H169-E172</f>
        <v>5320</v>
      </c>
      <c r="I172" s="35"/>
      <c r="J172" s="35"/>
      <c r="K172" s="34">
        <v>260522014</v>
      </c>
      <c r="L172" s="34"/>
      <c r="M172" s="34">
        <f>M171-D172</f>
        <v>13</v>
      </c>
      <c r="N172" s="19">
        <v>46120</v>
      </c>
      <c r="O172" s="21">
        <f t="shared" si="12"/>
        <v>46484</v>
      </c>
    </row>
    <row r="173" spans="1:15" ht="20.149999999999999" hidden="1" customHeight="1" x14ac:dyDescent="0.25">
      <c r="A173" s="40">
        <v>46167</v>
      </c>
      <c r="B173" s="40">
        <v>46168</v>
      </c>
      <c r="C173" s="41" t="s">
        <v>836</v>
      </c>
      <c r="D173" s="41">
        <v>4</v>
      </c>
      <c r="E173" s="41">
        <f t="shared" si="11"/>
        <v>780</v>
      </c>
      <c r="F173" s="152" t="s">
        <v>615</v>
      </c>
      <c r="G173" s="60" t="s">
        <v>1139</v>
      </c>
      <c r="H173" s="42">
        <f>H166-E173</f>
        <v>29020</v>
      </c>
      <c r="I173" s="42"/>
      <c r="J173" s="42"/>
      <c r="K173" s="41">
        <v>260522015</v>
      </c>
      <c r="L173" s="41"/>
      <c r="M173" s="41">
        <f>M172-D173</f>
        <v>9</v>
      </c>
      <c r="N173" s="19">
        <v>46120</v>
      </c>
      <c r="O173" s="21">
        <f t="shared" si="12"/>
        <v>46484</v>
      </c>
    </row>
    <row r="174" spans="1:15" ht="20.149999999999999" hidden="1" customHeight="1" x14ac:dyDescent="0.25">
      <c r="A174" s="40">
        <v>46167</v>
      </c>
      <c r="B174" s="40">
        <v>46168</v>
      </c>
      <c r="C174" s="41" t="s">
        <v>1133</v>
      </c>
      <c r="D174" s="41">
        <v>4</v>
      </c>
      <c r="E174" s="41">
        <f t="shared" si="11"/>
        <v>780</v>
      </c>
      <c r="F174" s="152" t="s">
        <v>615</v>
      </c>
      <c r="G174" s="60" t="s">
        <v>97</v>
      </c>
      <c r="H174" s="42">
        <f>H173-E174</f>
        <v>28240</v>
      </c>
      <c r="I174" s="121" t="s">
        <v>22</v>
      </c>
      <c r="J174" s="42"/>
      <c r="K174" s="41">
        <v>260522015</v>
      </c>
      <c r="L174" s="41">
        <v>42</v>
      </c>
      <c r="M174" s="41">
        <f>L174-D174</f>
        <v>38</v>
      </c>
      <c r="N174" s="19">
        <v>46153</v>
      </c>
      <c r="O174" s="21">
        <f t="shared" si="12"/>
        <v>46517</v>
      </c>
    </row>
    <row r="175" spans="1:15" ht="20.149999999999999" hidden="1" customHeight="1" x14ac:dyDescent="0.25">
      <c r="A175" s="40">
        <v>46167</v>
      </c>
      <c r="B175" s="40">
        <v>46168</v>
      </c>
      <c r="C175" s="41" t="s">
        <v>1134</v>
      </c>
      <c r="D175" s="41">
        <v>4</v>
      </c>
      <c r="E175" s="41">
        <f t="shared" si="11"/>
        <v>780</v>
      </c>
      <c r="F175" s="152" t="s">
        <v>615</v>
      </c>
      <c r="G175" s="60" t="s">
        <v>97</v>
      </c>
      <c r="H175" s="42">
        <f>H174-E175</f>
        <v>27460</v>
      </c>
      <c r="I175" s="121" t="s">
        <v>22</v>
      </c>
      <c r="J175" s="42"/>
      <c r="K175" s="41">
        <v>260522015</v>
      </c>
      <c r="L175" s="41">
        <f>41+1</f>
        <v>42</v>
      </c>
      <c r="M175" s="41">
        <f>L175-D175</f>
        <v>38</v>
      </c>
      <c r="N175" s="19">
        <v>46155</v>
      </c>
      <c r="O175" s="21">
        <f t="shared" si="12"/>
        <v>46519</v>
      </c>
    </row>
    <row r="176" spans="1:15" ht="20.149999999999999" hidden="1" customHeight="1" x14ac:dyDescent="0.25">
      <c r="A176" s="40">
        <v>46167</v>
      </c>
      <c r="B176" s="40">
        <v>46168</v>
      </c>
      <c r="C176" s="41" t="s">
        <v>1120</v>
      </c>
      <c r="D176" s="41">
        <v>4</v>
      </c>
      <c r="E176" s="41">
        <f t="shared" si="11"/>
        <v>780</v>
      </c>
      <c r="F176" s="152" t="s">
        <v>615</v>
      </c>
      <c r="G176" s="60" t="s">
        <v>97</v>
      </c>
      <c r="H176" s="42">
        <f>H175-E176</f>
        <v>26680</v>
      </c>
      <c r="I176" s="121" t="s">
        <v>22</v>
      </c>
      <c r="J176" s="42"/>
      <c r="K176" s="41">
        <v>260522015</v>
      </c>
      <c r="L176" s="41">
        <v>41</v>
      </c>
      <c r="M176" s="41">
        <f>L176-D176</f>
        <v>37</v>
      </c>
      <c r="N176" s="19">
        <v>46157</v>
      </c>
      <c r="O176" s="21">
        <f t="shared" si="12"/>
        <v>46521</v>
      </c>
    </row>
    <row r="177" spans="1:15" ht="20.149999999999999" hidden="1" customHeight="1" x14ac:dyDescent="0.2">
      <c r="A177" s="29">
        <v>46168</v>
      </c>
      <c r="B177" s="29">
        <v>46168</v>
      </c>
      <c r="C177" s="30" t="s">
        <v>1147</v>
      </c>
      <c r="D177" s="30">
        <v>4</v>
      </c>
      <c r="E177" s="30">
        <f t="shared" si="11"/>
        <v>780</v>
      </c>
      <c r="F177" s="37" t="s">
        <v>26</v>
      </c>
      <c r="G177" s="37" t="s">
        <v>1157</v>
      </c>
      <c r="H177" s="32">
        <f>H172-E177</f>
        <v>4540</v>
      </c>
      <c r="I177" s="32"/>
      <c r="J177" s="32"/>
      <c r="K177" s="30">
        <v>260525004</v>
      </c>
      <c r="L177" s="30"/>
      <c r="M177" s="30">
        <f>M100-D177</f>
        <v>33</v>
      </c>
      <c r="N177" s="19">
        <v>46122</v>
      </c>
      <c r="O177" s="21">
        <f t="shared" si="12"/>
        <v>46486</v>
      </c>
    </row>
    <row r="178" spans="1:15" ht="20.149999999999999" hidden="1" customHeight="1" x14ac:dyDescent="0.25">
      <c r="A178" s="26">
        <v>46168</v>
      </c>
      <c r="B178" s="26">
        <v>46169</v>
      </c>
      <c r="C178" s="27" t="s">
        <v>1148</v>
      </c>
      <c r="D178" s="27">
        <v>5</v>
      </c>
      <c r="E178" s="27">
        <f t="shared" si="11"/>
        <v>975</v>
      </c>
      <c r="F178" s="153" t="s">
        <v>618</v>
      </c>
      <c r="G178" s="36" t="s">
        <v>1158</v>
      </c>
      <c r="H178" s="28">
        <f>H171-E178</f>
        <v>7605</v>
      </c>
      <c r="I178" s="28"/>
      <c r="J178" s="28"/>
      <c r="K178" s="27">
        <v>260525005</v>
      </c>
      <c r="L178" s="27"/>
      <c r="M178" s="27">
        <f>M173-D178</f>
        <v>4</v>
      </c>
      <c r="N178" s="19">
        <v>46120</v>
      </c>
      <c r="O178" s="21">
        <f t="shared" si="12"/>
        <v>46484</v>
      </c>
    </row>
    <row r="179" spans="1:15" ht="20.149999999999999" hidden="1" customHeight="1" x14ac:dyDescent="0.25">
      <c r="A179" s="26">
        <v>46168</v>
      </c>
      <c r="B179" s="26">
        <v>46169</v>
      </c>
      <c r="C179" s="27" t="s">
        <v>1149</v>
      </c>
      <c r="D179" s="27">
        <v>11</v>
      </c>
      <c r="E179" s="27">
        <f t="shared" si="11"/>
        <v>2145</v>
      </c>
      <c r="F179" s="153" t="s">
        <v>618</v>
      </c>
      <c r="G179" s="36" t="s">
        <v>1142</v>
      </c>
      <c r="H179" s="28">
        <f>H178-E179</f>
        <v>5460</v>
      </c>
      <c r="I179" s="28"/>
      <c r="J179" s="28"/>
      <c r="K179" s="27">
        <v>260525005</v>
      </c>
      <c r="L179" s="27"/>
      <c r="M179" s="27">
        <f>M177-D179</f>
        <v>22</v>
      </c>
      <c r="N179" s="19">
        <v>46122</v>
      </c>
      <c r="O179" s="21">
        <f t="shared" si="12"/>
        <v>46486</v>
      </c>
    </row>
    <row r="180" spans="1:15" ht="20.149999999999999" hidden="1" customHeight="1" x14ac:dyDescent="0.25">
      <c r="A180" s="22">
        <v>46170</v>
      </c>
      <c r="B180" s="22">
        <v>46171</v>
      </c>
      <c r="C180" s="23" t="s">
        <v>901</v>
      </c>
      <c r="D180" s="23">
        <v>12</v>
      </c>
      <c r="E180" s="23">
        <f t="shared" si="11"/>
        <v>2340</v>
      </c>
      <c r="F180" s="154" t="s">
        <v>615</v>
      </c>
      <c r="G180" s="38" t="s">
        <v>1176</v>
      </c>
      <c r="H180" s="25">
        <f>H176-E180</f>
        <v>24340</v>
      </c>
      <c r="I180" s="25"/>
      <c r="J180" s="25"/>
      <c r="K180" s="23">
        <v>260527008</v>
      </c>
      <c r="L180" s="23"/>
      <c r="M180" s="23">
        <f>M179-D180</f>
        <v>10</v>
      </c>
      <c r="N180" s="19">
        <v>46122</v>
      </c>
      <c r="O180" s="21">
        <f t="shared" si="12"/>
        <v>46486</v>
      </c>
    </row>
    <row r="181" spans="1:15" ht="20.149999999999999" hidden="1" customHeight="1" x14ac:dyDescent="0.25">
      <c r="A181" s="33">
        <v>46170</v>
      </c>
      <c r="B181" s="33">
        <v>46171</v>
      </c>
      <c r="C181" s="34" t="s">
        <v>1169</v>
      </c>
      <c r="D181" s="34">
        <v>6</v>
      </c>
      <c r="E181" s="34">
        <f t="shared" si="11"/>
        <v>1170</v>
      </c>
      <c r="F181" s="155" t="s">
        <v>618</v>
      </c>
      <c r="G181" s="39" t="s">
        <v>1177</v>
      </c>
      <c r="H181" s="35">
        <f>H179-E181</f>
        <v>4290</v>
      </c>
      <c r="I181" s="35"/>
      <c r="J181" s="35"/>
      <c r="K181" s="34">
        <v>260527009</v>
      </c>
      <c r="L181" s="34"/>
      <c r="M181" s="34">
        <f>M180-D181</f>
        <v>4</v>
      </c>
      <c r="N181" s="19">
        <v>46122</v>
      </c>
      <c r="O181" s="21">
        <f t="shared" si="12"/>
        <v>46486</v>
      </c>
    </row>
    <row r="182" spans="1:15" ht="20.149999999999999" hidden="1" customHeight="1" x14ac:dyDescent="0.25">
      <c r="A182" s="33">
        <v>46170</v>
      </c>
      <c r="B182" s="33">
        <v>46171</v>
      </c>
      <c r="C182" s="34" t="s">
        <v>1170</v>
      </c>
      <c r="D182" s="34">
        <v>18</v>
      </c>
      <c r="E182" s="34">
        <f t="shared" ref="E182:E208" si="13">D182*195</f>
        <v>3510</v>
      </c>
      <c r="F182" s="155" t="s">
        <v>618</v>
      </c>
      <c r="G182" s="39" t="s">
        <v>1162</v>
      </c>
      <c r="H182" s="35">
        <f>H181-E182</f>
        <v>780</v>
      </c>
      <c r="I182" s="35"/>
      <c r="J182" s="35"/>
      <c r="K182" s="34">
        <v>260527009</v>
      </c>
      <c r="L182" s="34"/>
      <c r="M182" s="34">
        <f>M101-D182</f>
        <v>19</v>
      </c>
      <c r="N182" s="19">
        <v>46125</v>
      </c>
      <c r="O182" s="21">
        <f t="shared" ref="O182:O230" si="14">DATE(YEAR(N182)+1,MONTH(N182),DAY(N182))-1</f>
        <v>46489</v>
      </c>
    </row>
    <row r="183" spans="1:15" ht="20.149999999999999" hidden="1" customHeight="1" x14ac:dyDescent="0.2">
      <c r="A183" s="40">
        <v>46170</v>
      </c>
      <c r="B183" s="40">
        <v>46171</v>
      </c>
      <c r="C183" s="41" t="s">
        <v>507</v>
      </c>
      <c r="D183" s="41">
        <v>4</v>
      </c>
      <c r="E183" s="41">
        <f t="shared" si="13"/>
        <v>780</v>
      </c>
      <c r="F183" s="60" t="s">
        <v>31</v>
      </c>
      <c r="G183" s="60" t="s">
        <v>790</v>
      </c>
      <c r="H183" s="42">
        <f>H144-E183</f>
        <v>94540</v>
      </c>
      <c r="I183" s="42"/>
      <c r="J183" s="42"/>
      <c r="K183" s="41" t="s">
        <v>1179</v>
      </c>
      <c r="L183" s="41"/>
      <c r="M183" s="41">
        <f>M99-D183</f>
        <v>0</v>
      </c>
      <c r="N183" s="19">
        <v>46085</v>
      </c>
      <c r="O183" s="21">
        <f t="shared" si="14"/>
        <v>46449</v>
      </c>
    </row>
    <row r="184" spans="1:15" ht="20.149999999999999" hidden="1" customHeight="1" x14ac:dyDescent="0.2">
      <c r="A184" s="40">
        <v>46170</v>
      </c>
      <c r="B184" s="40">
        <v>46171</v>
      </c>
      <c r="C184" s="41" t="s">
        <v>1178</v>
      </c>
      <c r="D184" s="41">
        <v>4</v>
      </c>
      <c r="E184" s="41">
        <f t="shared" si="13"/>
        <v>780</v>
      </c>
      <c r="F184" s="60" t="s">
        <v>31</v>
      </c>
      <c r="G184" s="60" t="s">
        <v>1180</v>
      </c>
      <c r="H184" s="42">
        <f>H183-E184</f>
        <v>93760</v>
      </c>
      <c r="I184" s="42"/>
      <c r="J184" s="42"/>
      <c r="K184" s="41" t="s">
        <v>1179</v>
      </c>
      <c r="L184" s="41"/>
      <c r="M184" s="41">
        <f>M106-D184</f>
        <v>0</v>
      </c>
      <c r="N184" s="19">
        <v>46087</v>
      </c>
      <c r="O184" s="21">
        <f t="shared" si="14"/>
        <v>46451</v>
      </c>
    </row>
    <row r="185" spans="1:15" ht="20.149999999999999" hidden="1" customHeight="1" x14ac:dyDescent="0.2">
      <c r="A185" s="26">
        <v>46171</v>
      </c>
      <c r="B185" s="26">
        <v>46171</v>
      </c>
      <c r="C185" s="27" t="s">
        <v>901</v>
      </c>
      <c r="D185" s="27">
        <v>4</v>
      </c>
      <c r="E185" s="27">
        <f t="shared" si="13"/>
        <v>780</v>
      </c>
      <c r="F185" s="36" t="s">
        <v>26</v>
      </c>
      <c r="G185" s="36" t="s">
        <v>1190</v>
      </c>
      <c r="H185" s="28">
        <f>H177-E185</f>
        <v>3760</v>
      </c>
      <c r="I185" s="28"/>
      <c r="J185" s="28"/>
      <c r="K185" s="27">
        <v>260528003</v>
      </c>
      <c r="L185" s="27"/>
      <c r="M185" s="27">
        <f>M181-D185</f>
        <v>0</v>
      </c>
      <c r="N185" s="19">
        <v>46122</v>
      </c>
      <c r="O185" s="21">
        <f t="shared" si="14"/>
        <v>46486</v>
      </c>
    </row>
    <row r="186" spans="1:15" ht="20.149999999999999" hidden="1" customHeight="1" x14ac:dyDescent="0.2">
      <c r="A186" s="26">
        <v>46171</v>
      </c>
      <c r="B186" s="26">
        <v>46171</v>
      </c>
      <c r="C186" s="27" t="s">
        <v>902</v>
      </c>
      <c r="D186" s="27">
        <v>12</v>
      </c>
      <c r="E186" s="27">
        <f t="shared" si="13"/>
        <v>2340</v>
      </c>
      <c r="F186" s="36" t="s">
        <v>26</v>
      </c>
      <c r="G186" s="36" t="s">
        <v>1184</v>
      </c>
      <c r="H186" s="28">
        <f>H185-E186</f>
        <v>1420</v>
      </c>
      <c r="I186" s="28"/>
      <c r="J186" s="28"/>
      <c r="K186" s="27">
        <v>260528003</v>
      </c>
      <c r="L186" s="27"/>
      <c r="M186" s="27">
        <f>M182-D186</f>
        <v>7</v>
      </c>
      <c r="N186" s="19">
        <v>46125</v>
      </c>
      <c r="O186" s="21">
        <f t="shared" si="14"/>
        <v>46489</v>
      </c>
    </row>
    <row r="187" spans="1:15" ht="20.149999999999999" hidden="1" customHeight="1" x14ac:dyDescent="0.25">
      <c r="A187" s="29">
        <v>46171</v>
      </c>
      <c r="B187" s="29">
        <v>46174</v>
      </c>
      <c r="C187" s="30" t="s">
        <v>1187</v>
      </c>
      <c r="D187" s="30">
        <v>4</v>
      </c>
      <c r="E187" s="30">
        <f t="shared" si="13"/>
        <v>780</v>
      </c>
      <c r="F187" s="156" t="s">
        <v>618</v>
      </c>
      <c r="G187" s="37" t="s">
        <v>931</v>
      </c>
      <c r="H187" s="32">
        <f>H182-E187</f>
        <v>0</v>
      </c>
      <c r="I187" s="32"/>
      <c r="J187" s="32"/>
      <c r="K187" s="30">
        <v>260528004</v>
      </c>
      <c r="L187" s="30"/>
      <c r="M187" s="30">
        <f>M186-D187</f>
        <v>3</v>
      </c>
      <c r="N187" s="19">
        <v>46125</v>
      </c>
      <c r="O187" s="21">
        <f t="shared" si="14"/>
        <v>46489</v>
      </c>
    </row>
    <row r="188" spans="1:15" ht="20.149999999999999" hidden="1" customHeight="1" x14ac:dyDescent="0.25">
      <c r="A188" s="29">
        <v>46171</v>
      </c>
      <c r="B188" s="29">
        <v>46174</v>
      </c>
      <c r="C188" s="30" t="s">
        <v>902</v>
      </c>
      <c r="D188" s="30">
        <v>3</v>
      </c>
      <c r="E188" s="30">
        <f t="shared" si="13"/>
        <v>585</v>
      </c>
      <c r="F188" s="156" t="s">
        <v>618</v>
      </c>
      <c r="G188" s="161" t="s">
        <v>1191</v>
      </c>
      <c r="H188" s="32">
        <f>25740-E188</f>
        <v>25155</v>
      </c>
      <c r="I188" s="32"/>
      <c r="J188" s="32"/>
      <c r="K188" s="30" t="s">
        <v>1188</v>
      </c>
      <c r="L188" s="30"/>
      <c r="M188" s="30">
        <f>M187-D188</f>
        <v>0</v>
      </c>
      <c r="N188" s="19">
        <v>46125</v>
      </c>
      <c r="O188" s="21">
        <f t="shared" si="14"/>
        <v>46489</v>
      </c>
    </row>
    <row r="189" spans="1:15" ht="20.149999999999999" hidden="1" customHeight="1" x14ac:dyDescent="0.25">
      <c r="A189" s="29">
        <v>46171</v>
      </c>
      <c r="B189" s="29">
        <v>46174</v>
      </c>
      <c r="C189" s="30" t="s">
        <v>903</v>
      </c>
      <c r="D189" s="30">
        <v>9</v>
      </c>
      <c r="E189" s="30">
        <f t="shared" si="13"/>
        <v>1755</v>
      </c>
      <c r="F189" s="156" t="s">
        <v>618</v>
      </c>
      <c r="G189" s="161" t="s">
        <v>1182</v>
      </c>
      <c r="H189" s="32">
        <f>H188-E189</f>
        <v>23400</v>
      </c>
      <c r="I189" s="32"/>
      <c r="J189" s="32"/>
      <c r="K189" s="30" t="s">
        <v>1188</v>
      </c>
      <c r="L189" s="30"/>
      <c r="M189" s="30">
        <f>M102-D189</f>
        <v>29</v>
      </c>
      <c r="N189" s="19">
        <v>46127</v>
      </c>
      <c r="O189" s="21">
        <f t="shared" si="14"/>
        <v>46491</v>
      </c>
    </row>
    <row r="190" spans="1:15" ht="20.149999999999999" hidden="1" customHeight="1" x14ac:dyDescent="0.2">
      <c r="A190" s="22">
        <v>46174</v>
      </c>
      <c r="B190" s="22">
        <v>46174</v>
      </c>
      <c r="C190" s="23" t="s">
        <v>1205</v>
      </c>
      <c r="D190" s="23">
        <v>4</v>
      </c>
      <c r="E190" s="23">
        <f t="shared" si="13"/>
        <v>780</v>
      </c>
      <c r="F190" s="38" t="s">
        <v>26</v>
      </c>
      <c r="G190" s="38" t="s">
        <v>1082</v>
      </c>
      <c r="H190" s="25">
        <f>H186-E190</f>
        <v>640</v>
      </c>
      <c r="I190" s="25"/>
      <c r="J190" s="25"/>
      <c r="K190" s="23">
        <v>260529007</v>
      </c>
      <c r="L190" s="23"/>
      <c r="M190" s="23">
        <f>M189-D190</f>
        <v>25</v>
      </c>
      <c r="N190" s="19">
        <v>46127</v>
      </c>
      <c r="O190" s="21">
        <f t="shared" si="14"/>
        <v>46491</v>
      </c>
    </row>
    <row r="191" spans="1:15" ht="20.149999999999999" hidden="1" customHeight="1" x14ac:dyDescent="0.2">
      <c r="A191" s="22">
        <v>46174</v>
      </c>
      <c r="B191" s="22">
        <v>46174</v>
      </c>
      <c r="C191" s="23" t="s">
        <v>903</v>
      </c>
      <c r="D191" s="23">
        <v>4</v>
      </c>
      <c r="E191" s="23">
        <f t="shared" si="13"/>
        <v>780</v>
      </c>
      <c r="F191" s="38" t="s">
        <v>26</v>
      </c>
      <c r="G191" s="148" t="s">
        <v>1220</v>
      </c>
      <c r="H191" s="25">
        <f>7800-E191</f>
        <v>7020</v>
      </c>
      <c r="I191" s="25"/>
      <c r="J191" s="25"/>
      <c r="K191" s="23" t="s">
        <v>1213</v>
      </c>
      <c r="L191" s="23"/>
      <c r="M191" s="23">
        <f>M190-D191</f>
        <v>21</v>
      </c>
      <c r="N191" s="19">
        <v>46127</v>
      </c>
      <c r="O191" s="21">
        <f t="shared" si="14"/>
        <v>46491</v>
      </c>
    </row>
    <row r="192" spans="1:15" ht="20.149999999999999" hidden="1" customHeight="1" x14ac:dyDescent="0.25">
      <c r="A192" s="33">
        <v>46174</v>
      </c>
      <c r="B192" s="33">
        <v>46175</v>
      </c>
      <c r="C192" s="34" t="s">
        <v>1206</v>
      </c>
      <c r="D192" s="34">
        <v>4</v>
      </c>
      <c r="E192" s="34">
        <f t="shared" si="13"/>
        <v>780</v>
      </c>
      <c r="F192" s="155" t="s">
        <v>615</v>
      </c>
      <c r="G192" s="39" t="s">
        <v>97</v>
      </c>
      <c r="H192" s="35">
        <f>H180-E192</f>
        <v>23560</v>
      </c>
      <c r="I192" s="35"/>
      <c r="J192" s="35"/>
      <c r="K192" s="34">
        <v>260529008</v>
      </c>
      <c r="L192" s="34"/>
      <c r="M192" s="34">
        <f>M191-D192</f>
        <v>17</v>
      </c>
      <c r="N192" s="19">
        <v>46127</v>
      </c>
      <c r="O192" s="21">
        <f t="shared" si="14"/>
        <v>46491</v>
      </c>
    </row>
    <row r="193" spans="1:15" ht="20.149999999999999" hidden="1" customHeight="1" x14ac:dyDescent="0.25">
      <c r="A193" s="33">
        <v>46174</v>
      </c>
      <c r="B193" s="33">
        <v>46175</v>
      </c>
      <c r="C193" s="34" t="s">
        <v>1207</v>
      </c>
      <c r="D193" s="34">
        <v>4</v>
      </c>
      <c r="E193" s="34">
        <f t="shared" si="13"/>
        <v>780</v>
      </c>
      <c r="F193" s="155" t="s">
        <v>615</v>
      </c>
      <c r="G193" s="39" t="s">
        <v>97</v>
      </c>
      <c r="H193" s="35">
        <f>H192-E193</f>
        <v>22780</v>
      </c>
      <c r="I193" s="63" t="s">
        <v>22</v>
      </c>
      <c r="J193" s="35"/>
      <c r="K193" s="34">
        <v>260529008</v>
      </c>
      <c r="L193" s="34">
        <v>42</v>
      </c>
      <c r="M193" s="34">
        <f>L193-D193</f>
        <v>38</v>
      </c>
      <c r="N193" s="19">
        <v>46160</v>
      </c>
      <c r="O193" s="21">
        <f t="shared" si="14"/>
        <v>46524</v>
      </c>
    </row>
    <row r="194" spans="1:15" ht="20.149999999999999" hidden="1" customHeight="1" x14ac:dyDescent="0.25">
      <c r="A194" s="33">
        <v>46174</v>
      </c>
      <c r="B194" s="33">
        <v>46175</v>
      </c>
      <c r="C194" s="34" t="s">
        <v>1208</v>
      </c>
      <c r="D194" s="34">
        <v>4</v>
      </c>
      <c r="E194" s="34">
        <f t="shared" si="13"/>
        <v>780</v>
      </c>
      <c r="F194" s="155" t="s">
        <v>615</v>
      </c>
      <c r="G194" s="39" t="s">
        <v>97</v>
      </c>
      <c r="H194" s="35">
        <f>H193-E194</f>
        <v>22000</v>
      </c>
      <c r="I194" s="63" t="s">
        <v>22</v>
      </c>
      <c r="J194" s="35"/>
      <c r="K194" s="34">
        <v>260529008</v>
      </c>
      <c r="L194" s="34">
        <v>41</v>
      </c>
      <c r="M194" s="34">
        <f>L194-D194</f>
        <v>37</v>
      </c>
      <c r="N194" s="19">
        <v>46162</v>
      </c>
      <c r="O194" s="21">
        <f t="shared" si="14"/>
        <v>46526</v>
      </c>
    </row>
    <row r="195" spans="1:15" ht="20.149999999999999" hidden="1" customHeight="1" x14ac:dyDescent="0.25">
      <c r="A195" s="33">
        <v>46174</v>
      </c>
      <c r="B195" s="33">
        <v>46175</v>
      </c>
      <c r="C195" s="34" t="s">
        <v>1209</v>
      </c>
      <c r="D195" s="34">
        <v>4</v>
      </c>
      <c r="E195" s="34">
        <f t="shared" si="13"/>
        <v>780</v>
      </c>
      <c r="F195" s="155" t="s">
        <v>1195</v>
      </c>
      <c r="G195" s="39" t="s">
        <v>97</v>
      </c>
      <c r="H195" s="35">
        <f>H194-E195</f>
        <v>21220</v>
      </c>
      <c r="I195" s="63" t="s">
        <v>22</v>
      </c>
      <c r="J195" s="35"/>
      <c r="K195" s="34">
        <v>260529008</v>
      </c>
      <c r="L195" s="34">
        <v>41</v>
      </c>
      <c r="M195" s="34">
        <f>L195-D195</f>
        <v>37</v>
      </c>
      <c r="N195" s="19">
        <v>46164</v>
      </c>
      <c r="O195" s="21">
        <f t="shared" si="14"/>
        <v>46528</v>
      </c>
    </row>
    <row r="196" spans="1:15" ht="20.149999999999999" hidden="1" customHeight="1" x14ac:dyDescent="0.25">
      <c r="A196" s="40">
        <v>46174</v>
      </c>
      <c r="B196" s="40">
        <v>46175</v>
      </c>
      <c r="C196" s="41" t="s">
        <v>1210</v>
      </c>
      <c r="D196" s="41">
        <v>4</v>
      </c>
      <c r="E196" s="41">
        <f t="shared" si="13"/>
        <v>780</v>
      </c>
      <c r="F196" s="41" t="s">
        <v>1196</v>
      </c>
      <c r="G196" s="60" t="s">
        <v>1221</v>
      </c>
      <c r="H196" s="42">
        <f>H79-E196</f>
        <v>8580</v>
      </c>
      <c r="I196" s="42"/>
      <c r="J196" s="42"/>
      <c r="K196" s="41">
        <v>260529009</v>
      </c>
      <c r="L196" s="41"/>
      <c r="M196" s="41">
        <f>M167-D196</f>
        <v>0</v>
      </c>
      <c r="N196" s="19">
        <v>46115</v>
      </c>
      <c r="O196" s="21">
        <f t="shared" si="14"/>
        <v>46479</v>
      </c>
    </row>
    <row r="197" spans="1:15" ht="20.149999999999999" hidden="1" customHeight="1" x14ac:dyDescent="0.25">
      <c r="A197" s="40">
        <v>46174</v>
      </c>
      <c r="B197" s="40">
        <v>46175</v>
      </c>
      <c r="C197" s="41" t="s">
        <v>1211</v>
      </c>
      <c r="D197" s="41">
        <v>4</v>
      </c>
      <c r="E197" s="41">
        <f t="shared" si="13"/>
        <v>780</v>
      </c>
      <c r="F197" s="41" t="s">
        <v>1196</v>
      </c>
      <c r="G197" s="60" t="s">
        <v>1198</v>
      </c>
      <c r="H197" s="42">
        <f>H196-E197</f>
        <v>7800</v>
      </c>
      <c r="I197" s="42"/>
      <c r="J197" s="42"/>
      <c r="K197" s="41">
        <v>260529009</v>
      </c>
      <c r="L197" s="41"/>
      <c r="M197" s="41">
        <f>M170-D197</f>
        <v>0</v>
      </c>
      <c r="N197" s="19">
        <v>46118</v>
      </c>
      <c r="O197" s="21">
        <f t="shared" si="14"/>
        <v>46482</v>
      </c>
    </row>
    <row r="198" spans="1:15" ht="20.149999999999999" hidden="1" customHeight="1" x14ac:dyDescent="0.25">
      <c r="A198" s="40">
        <v>46174</v>
      </c>
      <c r="B198" s="40">
        <v>46175</v>
      </c>
      <c r="C198" s="41" t="s">
        <v>1212</v>
      </c>
      <c r="D198" s="41">
        <v>4</v>
      </c>
      <c r="E198" s="41">
        <f t="shared" si="13"/>
        <v>780</v>
      </c>
      <c r="F198" s="41" t="s">
        <v>1196</v>
      </c>
      <c r="G198" s="60" t="s">
        <v>427</v>
      </c>
      <c r="H198" s="42">
        <f>H197-E198</f>
        <v>7020</v>
      </c>
      <c r="I198" s="42"/>
      <c r="J198" s="42"/>
      <c r="K198" s="41">
        <v>260529009</v>
      </c>
      <c r="L198" s="41"/>
      <c r="M198" s="41">
        <f>M178-D198</f>
        <v>0</v>
      </c>
      <c r="N198" s="19">
        <v>46120</v>
      </c>
      <c r="O198" s="21">
        <f t="shared" si="14"/>
        <v>46484</v>
      </c>
    </row>
    <row r="199" spans="1:15" ht="20.149999999999999" hidden="1" customHeight="1" x14ac:dyDescent="0.2">
      <c r="A199" s="29">
        <v>46175</v>
      </c>
      <c r="B199" s="29">
        <v>46175</v>
      </c>
      <c r="C199" s="30" t="s">
        <v>903</v>
      </c>
      <c r="D199" s="30">
        <v>12</v>
      </c>
      <c r="E199" s="30">
        <f t="shared" si="13"/>
        <v>2340</v>
      </c>
      <c r="F199" s="37" t="s">
        <v>26</v>
      </c>
      <c r="G199" s="37" t="s">
        <v>1220</v>
      </c>
      <c r="H199" s="32">
        <f>H191-E199</f>
        <v>4680</v>
      </c>
      <c r="I199" s="32"/>
      <c r="J199" s="32"/>
      <c r="K199" s="30">
        <v>260601010</v>
      </c>
      <c r="L199" s="30"/>
      <c r="M199" s="30">
        <f>M192-D199</f>
        <v>5</v>
      </c>
      <c r="N199" s="19">
        <v>46127</v>
      </c>
      <c r="O199" s="21">
        <f t="shared" si="14"/>
        <v>46491</v>
      </c>
    </row>
    <row r="200" spans="1:15" ht="20.149999999999999" hidden="1" customHeight="1" x14ac:dyDescent="0.25">
      <c r="A200" s="26">
        <v>46175</v>
      </c>
      <c r="B200" s="26">
        <v>46176</v>
      </c>
      <c r="C200" s="27" t="s">
        <v>903</v>
      </c>
      <c r="D200" s="27">
        <v>5</v>
      </c>
      <c r="E200" s="27">
        <f t="shared" si="13"/>
        <v>975</v>
      </c>
      <c r="F200" s="153" t="s">
        <v>618</v>
      </c>
      <c r="G200" s="36" t="s">
        <v>1182</v>
      </c>
      <c r="H200" s="28">
        <f>H189-E200</f>
        <v>22425</v>
      </c>
      <c r="I200" s="28"/>
      <c r="J200" s="28"/>
      <c r="K200" s="27">
        <v>260601011</v>
      </c>
      <c r="L200" s="27"/>
      <c r="M200" s="27">
        <f>M199-D200</f>
        <v>0</v>
      </c>
      <c r="N200" s="19">
        <v>46127</v>
      </c>
      <c r="O200" s="21">
        <f t="shared" si="14"/>
        <v>46491</v>
      </c>
    </row>
    <row r="201" spans="1:15" ht="20.149999999999999" hidden="1" customHeight="1" x14ac:dyDescent="0.25">
      <c r="A201" s="26">
        <v>46175</v>
      </c>
      <c r="B201" s="26">
        <v>46176</v>
      </c>
      <c r="C201" s="27" t="s">
        <v>904</v>
      </c>
      <c r="D201" s="27">
        <v>11</v>
      </c>
      <c r="E201" s="27">
        <f t="shared" si="13"/>
        <v>2145</v>
      </c>
      <c r="F201" s="153" t="s">
        <v>618</v>
      </c>
      <c r="G201" s="36" t="s">
        <v>1224</v>
      </c>
      <c r="H201" s="28">
        <f>H200-E201</f>
        <v>20280</v>
      </c>
      <c r="I201" s="28"/>
      <c r="J201" s="28"/>
      <c r="K201" s="27">
        <v>260601011</v>
      </c>
      <c r="L201" s="27"/>
      <c r="M201" s="27">
        <f>M103-D201</f>
        <v>26</v>
      </c>
      <c r="N201" s="19">
        <v>46129</v>
      </c>
      <c r="O201" s="21">
        <f t="shared" si="14"/>
        <v>46493</v>
      </c>
    </row>
    <row r="202" spans="1:15" ht="20.149999999999999" hidden="1" customHeight="1" x14ac:dyDescent="0.25">
      <c r="A202" s="22">
        <v>46177</v>
      </c>
      <c r="B202" s="22">
        <v>46178</v>
      </c>
      <c r="C202" s="23" t="s">
        <v>1238</v>
      </c>
      <c r="D202" s="23">
        <v>12</v>
      </c>
      <c r="E202" s="23">
        <f t="shared" si="13"/>
        <v>2340</v>
      </c>
      <c r="F202" s="154" t="s">
        <v>615</v>
      </c>
      <c r="G202" s="38" t="s">
        <v>1243</v>
      </c>
      <c r="H202" s="25">
        <f>H195-E202</f>
        <v>18880</v>
      </c>
      <c r="I202" s="25"/>
      <c r="J202" s="25"/>
      <c r="K202" s="23">
        <v>260603007</v>
      </c>
      <c r="L202" s="23"/>
      <c r="M202" s="23">
        <f>M201-D202</f>
        <v>14</v>
      </c>
      <c r="N202" s="19">
        <v>46129</v>
      </c>
      <c r="O202" s="21">
        <f t="shared" si="14"/>
        <v>46493</v>
      </c>
    </row>
    <row r="203" spans="1:15" ht="20.149999999999999" hidden="1" customHeight="1" x14ac:dyDescent="0.25">
      <c r="A203" s="40">
        <v>46177</v>
      </c>
      <c r="B203" s="40">
        <v>46178</v>
      </c>
      <c r="C203" s="41" t="s">
        <v>1239</v>
      </c>
      <c r="D203" s="41">
        <v>6</v>
      </c>
      <c r="E203" s="41">
        <f t="shared" si="13"/>
        <v>1170</v>
      </c>
      <c r="F203" s="152" t="s">
        <v>618</v>
      </c>
      <c r="G203" s="60" t="s">
        <v>1244</v>
      </c>
      <c r="H203" s="42">
        <f>H201-E203</f>
        <v>19110</v>
      </c>
      <c r="I203" s="42"/>
      <c r="J203" s="42"/>
      <c r="K203" s="41">
        <v>260603008</v>
      </c>
      <c r="L203" s="41"/>
      <c r="M203" s="41">
        <f>M202-D203</f>
        <v>8</v>
      </c>
      <c r="N203" s="19">
        <v>46129</v>
      </c>
      <c r="O203" s="21">
        <f t="shared" si="14"/>
        <v>46493</v>
      </c>
    </row>
    <row r="204" spans="1:15" ht="20.149999999999999" hidden="1" customHeight="1" x14ac:dyDescent="0.25">
      <c r="A204" s="40">
        <v>46177</v>
      </c>
      <c r="B204" s="40">
        <v>46178</v>
      </c>
      <c r="C204" s="41" t="s">
        <v>1240</v>
      </c>
      <c r="D204" s="41">
        <v>10</v>
      </c>
      <c r="E204" s="41">
        <f t="shared" si="13"/>
        <v>1950</v>
      </c>
      <c r="F204" s="152" t="s">
        <v>618</v>
      </c>
      <c r="G204" s="60" t="s">
        <v>1182</v>
      </c>
      <c r="H204" s="42">
        <f>H203-E204</f>
        <v>17160</v>
      </c>
      <c r="I204" s="42"/>
      <c r="J204" s="42"/>
      <c r="K204" s="41">
        <v>260603008</v>
      </c>
      <c r="L204" s="41"/>
      <c r="M204" s="41">
        <f>M127-D204</f>
        <v>27</v>
      </c>
      <c r="N204" s="19">
        <v>46131</v>
      </c>
      <c r="O204" s="21">
        <f t="shared" si="14"/>
        <v>46495</v>
      </c>
    </row>
    <row r="205" spans="1:15" ht="20.149999999999999" hidden="1" customHeight="1" x14ac:dyDescent="0.25">
      <c r="A205" s="33">
        <v>46177</v>
      </c>
      <c r="B205" s="33">
        <v>46178</v>
      </c>
      <c r="C205" s="34" t="s">
        <v>1241</v>
      </c>
      <c r="D205" s="34">
        <v>8</v>
      </c>
      <c r="E205" s="34">
        <f t="shared" si="13"/>
        <v>1560</v>
      </c>
      <c r="F205" s="34" t="s">
        <v>860</v>
      </c>
      <c r="G205" s="39" t="s">
        <v>1245</v>
      </c>
      <c r="H205" s="35">
        <f>H198-E205</f>
        <v>5460</v>
      </c>
      <c r="I205" s="35"/>
      <c r="J205" s="35"/>
      <c r="K205" s="34">
        <v>260603009</v>
      </c>
      <c r="L205" s="34"/>
      <c r="M205" s="34">
        <f>M203-D205</f>
        <v>0</v>
      </c>
      <c r="N205" s="19">
        <v>46129</v>
      </c>
      <c r="O205" s="21">
        <f t="shared" si="14"/>
        <v>46493</v>
      </c>
    </row>
    <row r="206" spans="1:15" ht="20.149999999999999" hidden="1" customHeight="1" x14ac:dyDescent="0.2">
      <c r="A206" s="26">
        <v>46178</v>
      </c>
      <c r="B206" s="26">
        <v>46178</v>
      </c>
      <c r="C206" s="27" t="s">
        <v>1251</v>
      </c>
      <c r="D206" s="27">
        <v>16</v>
      </c>
      <c r="E206" s="27">
        <f t="shared" si="13"/>
        <v>3120</v>
      </c>
      <c r="F206" s="36" t="s">
        <v>26</v>
      </c>
      <c r="G206" s="36" t="s">
        <v>1255</v>
      </c>
      <c r="H206" s="28">
        <f>H199-E206</f>
        <v>1560</v>
      </c>
      <c r="I206" s="28"/>
      <c r="J206" s="28"/>
      <c r="K206" s="27">
        <v>260604004</v>
      </c>
      <c r="L206" s="27"/>
      <c r="M206" s="27">
        <f>M204-D206</f>
        <v>11</v>
      </c>
      <c r="N206" s="19">
        <v>46131</v>
      </c>
      <c r="O206" s="21">
        <f t="shared" si="14"/>
        <v>46495</v>
      </c>
    </row>
    <row r="207" spans="1:15" ht="20.149999999999999" hidden="1" customHeight="1" x14ac:dyDescent="0.25">
      <c r="A207" s="29">
        <v>46178</v>
      </c>
      <c r="B207" s="29">
        <v>46181</v>
      </c>
      <c r="C207" s="30" t="s">
        <v>1252</v>
      </c>
      <c r="D207" s="30">
        <v>11</v>
      </c>
      <c r="E207" s="30">
        <f t="shared" si="13"/>
        <v>2145</v>
      </c>
      <c r="F207" s="156" t="s">
        <v>618</v>
      </c>
      <c r="G207" s="37" t="s">
        <v>1182</v>
      </c>
      <c r="H207" s="32">
        <f>H204-E207</f>
        <v>15015</v>
      </c>
      <c r="I207" s="32"/>
      <c r="J207" s="32"/>
      <c r="K207" s="30">
        <v>260604005</v>
      </c>
      <c r="L207" s="30"/>
      <c r="M207" s="30">
        <f>M206-D207</f>
        <v>0</v>
      </c>
      <c r="N207" s="19">
        <v>46131</v>
      </c>
      <c r="O207" s="21">
        <f t="shared" si="14"/>
        <v>46495</v>
      </c>
    </row>
    <row r="208" spans="1:15" ht="20.149999999999999" hidden="1" customHeight="1" x14ac:dyDescent="0.25">
      <c r="A208" s="29">
        <v>46178</v>
      </c>
      <c r="B208" s="29">
        <v>46181</v>
      </c>
      <c r="C208" s="30" t="s">
        <v>1253</v>
      </c>
      <c r="D208" s="30">
        <v>5</v>
      </c>
      <c r="E208" s="30">
        <f t="shared" si="13"/>
        <v>975</v>
      </c>
      <c r="F208" s="156" t="s">
        <v>618</v>
      </c>
      <c r="G208" s="37" t="s">
        <v>1248</v>
      </c>
      <c r="H208" s="32">
        <f>H207-E208</f>
        <v>14040</v>
      </c>
      <c r="I208" s="32"/>
      <c r="J208" s="32"/>
      <c r="K208" s="30">
        <v>260604005</v>
      </c>
      <c r="L208" s="30"/>
      <c r="M208" s="30">
        <f>M128-D208</f>
        <v>33</v>
      </c>
      <c r="N208" s="19">
        <v>46133</v>
      </c>
      <c r="O208" s="21">
        <f t="shared" si="14"/>
        <v>46497</v>
      </c>
    </row>
    <row r="209" spans="1:15" ht="20.149999999999999" hidden="1" customHeight="1" x14ac:dyDescent="0.2">
      <c r="A209" s="22">
        <v>46181</v>
      </c>
      <c r="B209" s="22">
        <v>46181</v>
      </c>
      <c r="C209" s="23" t="s">
        <v>1268</v>
      </c>
      <c r="D209" s="23">
        <v>8</v>
      </c>
      <c r="E209" s="23">
        <f>D209*195</f>
        <v>1560</v>
      </c>
      <c r="F209" s="38" t="s">
        <v>26</v>
      </c>
      <c r="G209" s="38" t="s">
        <v>1220</v>
      </c>
      <c r="H209" s="25">
        <f>H206-E209</f>
        <v>0</v>
      </c>
      <c r="I209" s="25"/>
      <c r="J209" s="25"/>
      <c r="K209" s="23">
        <v>260605008</v>
      </c>
      <c r="L209" s="23"/>
      <c r="M209" s="23">
        <f>M208-D209</f>
        <v>25</v>
      </c>
      <c r="N209" s="19">
        <v>46133</v>
      </c>
      <c r="O209" s="21">
        <f t="shared" si="14"/>
        <v>46497</v>
      </c>
    </row>
    <row r="210" spans="1:15" ht="20.149999999999999" hidden="1" customHeight="1" x14ac:dyDescent="0.25">
      <c r="A210" s="33">
        <v>46181</v>
      </c>
      <c r="B210" s="33">
        <v>46182</v>
      </c>
      <c r="C210" s="34" t="s">
        <v>960</v>
      </c>
      <c r="D210" s="34">
        <v>4</v>
      </c>
      <c r="E210" s="34">
        <f>D210*195</f>
        <v>780</v>
      </c>
      <c r="F210" s="155" t="s">
        <v>615</v>
      </c>
      <c r="G210" s="39" t="s">
        <v>1276</v>
      </c>
      <c r="H210" s="35">
        <f>H202-E210</f>
        <v>18100</v>
      </c>
      <c r="I210" s="35"/>
      <c r="J210" s="35"/>
      <c r="K210" s="34">
        <v>260605009</v>
      </c>
      <c r="L210" s="34"/>
      <c r="M210" s="34">
        <f>M209-D210</f>
        <v>21</v>
      </c>
      <c r="N210" s="19">
        <v>46133</v>
      </c>
      <c r="O210" s="21">
        <f t="shared" si="14"/>
        <v>46497</v>
      </c>
    </row>
    <row r="211" spans="1:15" ht="20.149999999999999" hidden="1" customHeight="1" x14ac:dyDescent="0.25">
      <c r="A211" s="33">
        <v>46181</v>
      </c>
      <c r="B211" s="33">
        <v>46182</v>
      </c>
      <c r="C211" s="34" t="s">
        <v>1269</v>
      </c>
      <c r="D211" s="34">
        <v>4</v>
      </c>
      <c r="E211" s="34">
        <f t="shared" ref="E211:E230" si="15">D211*195</f>
        <v>780</v>
      </c>
      <c r="F211" s="155" t="s">
        <v>615</v>
      </c>
      <c r="G211" s="39" t="s">
        <v>1243</v>
      </c>
      <c r="H211" s="35">
        <f>H210-E211</f>
        <v>17320</v>
      </c>
      <c r="I211" s="63" t="s">
        <v>22</v>
      </c>
      <c r="J211" s="35"/>
      <c r="K211" s="34">
        <v>260605009</v>
      </c>
      <c r="L211" s="34">
        <v>42</v>
      </c>
      <c r="M211" s="34">
        <f>L211-D211</f>
        <v>38</v>
      </c>
      <c r="N211" s="19">
        <v>46167</v>
      </c>
      <c r="O211" s="21">
        <f t="shared" si="14"/>
        <v>46531</v>
      </c>
    </row>
    <row r="212" spans="1:15" ht="20.149999999999999" hidden="1" customHeight="1" x14ac:dyDescent="0.25">
      <c r="A212" s="33">
        <v>46181</v>
      </c>
      <c r="B212" s="33">
        <v>46182</v>
      </c>
      <c r="C212" s="34" t="s">
        <v>1260</v>
      </c>
      <c r="D212" s="34">
        <v>4</v>
      </c>
      <c r="E212" s="34">
        <f t="shared" si="15"/>
        <v>780</v>
      </c>
      <c r="F212" s="155" t="s">
        <v>615</v>
      </c>
      <c r="G212" s="39" t="s">
        <v>1243</v>
      </c>
      <c r="H212" s="35">
        <f>H211-E212</f>
        <v>16540</v>
      </c>
      <c r="I212" s="63" t="s">
        <v>22</v>
      </c>
      <c r="J212" s="35"/>
      <c r="K212" s="34">
        <v>260605009</v>
      </c>
      <c r="L212" s="34">
        <v>41</v>
      </c>
      <c r="M212" s="34">
        <f>L212-D212</f>
        <v>37</v>
      </c>
      <c r="N212" s="19">
        <v>46169</v>
      </c>
      <c r="O212" s="21">
        <f t="shared" si="14"/>
        <v>46533</v>
      </c>
    </row>
    <row r="213" spans="1:15" ht="20.149999999999999" hidden="1" customHeight="1" x14ac:dyDescent="0.25">
      <c r="A213" s="33">
        <v>46181</v>
      </c>
      <c r="B213" s="33">
        <v>46182</v>
      </c>
      <c r="C213" s="34" t="s">
        <v>1261</v>
      </c>
      <c r="D213" s="34">
        <v>4</v>
      </c>
      <c r="E213" s="34">
        <f t="shared" si="15"/>
        <v>780</v>
      </c>
      <c r="F213" s="155" t="s">
        <v>615</v>
      </c>
      <c r="G213" s="39" t="s">
        <v>1243</v>
      </c>
      <c r="H213" s="35">
        <f>H212-E213</f>
        <v>15760</v>
      </c>
      <c r="I213" s="63" t="s">
        <v>22</v>
      </c>
      <c r="J213" s="35"/>
      <c r="K213" s="34">
        <v>260605009</v>
      </c>
      <c r="L213" s="34">
        <v>41</v>
      </c>
      <c r="M213" s="34">
        <f>L213-D213</f>
        <v>37</v>
      </c>
      <c r="N213" s="19">
        <v>46171</v>
      </c>
      <c r="O213" s="21">
        <f t="shared" si="14"/>
        <v>46535</v>
      </c>
    </row>
    <row r="214" spans="1:15" ht="20.149999999999999" hidden="1" customHeight="1" x14ac:dyDescent="0.25">
      <c r="A214" s="40">
        <v>46181</v>
      </c>
      <c r="B214" s="40">
        <v>46182</v>
      </c>
      <c r="C214" s="41" t="s">
        <v>960</v>
      </c>
      <c r="D214" s="41">
        <v>8</v>
      </c>
      <c r="E214" s="41">
        <f t="shared" si="15"/>
        <v>1560</v>
      </c>
      <c r="F214" s="41" t="s">
        <v>860</v>
      </c>
      <c r="G214" s="60" t="s">
        <v>1277</v>
      </c>
      <c r="H214" s="42">
        <f>H205-E214</f>
        <v>3900</v>
      </c>
      <c r="I214" s="42"/>
      <c r="J214" s="42"/>
      <c r="K214" s="41" t="s">
        <v>1278</v>
      </c>
      <c r="L214" s="41"/>
      <c r="M214" s="41">
        <f>M210-D214</f>
        <v>13</v>
      </c>
      <c r="N214" s="19">
        <v>46133</v>
      </c>
      <c r="O214" s="21">
        <f t="shared" si="14"/>
        <v>46497</v>
      </c>
    </row>
    <row r="215" spans="1:15" ht="20.149999999999999" hidden="1" customHeight="1" x14ac:dyDescent="0.2">
      <c r="A215" s="29">
        <v>46182</v>
      </c>
      <c r="B215" s="29">
        <v>46182</v>
      </c>
      <c r="C215" s="30" t="s">
        <v>1282</v>
      </c>
      <c r="D215" s="126">
        <v>16</v>
      </c>
      <c r="E215" s="30">
        <f t="shared" si="15"/>
        <v>3120</v>
      </c>
      <c r="F215" s="37" t="s">
        <v>26</v>
      </c>
      <c r="G215" s="161" t="s">
        <v>1279</v>
      </c>
      <c r="H215" s="32">
        <f>36660-E215</f>
        <v>33540</v>
      </c>
      <c r="I215" s="32"/>
      <c r="J215" s="32"/>
      <c r="K215" s="30" t="s">
        <v>1286</v>
      </c>
      <c r="L215" s="30"/>
      <c r="M215" s="30">
        <f>M129-D215</f>
        <v>21</v>
      </c>
      <c r="N215" s="19">
        <v>46134</v>
      </c>
      <c r="O215" s="21">
        <f t="shared" si="14"/>
        <v>46498</v>
      </c>
    </row>
    <row r="216" spans="1:15" ht="20.149999999999999" hidden="1" customHeight="1" x14ac:dyDescent="0.25">
      <c r="A216" s="26">
        <v>46182</v>
      </c>
      <c r="B216" s="26">
        <v>46183</v>
      </c>
      <c r="C216" s="27" t="s">
        <v>1283</v>
      </c>
      <c r="D216" s="27">
        <v>13</v>
      </c>
      <c r="E216" s="27">
        <f t="shared" si="15"/>
        <v>2535</v>
      </c>
      <c r="F216" s="153" t="s">
        <v>618</v>
      </c>
      <c r="G216" s="36" t="s">
        <v>1285</v>
      </c>
      <c r="H216" s="28">
        <f>H208-E216</f>
        <v>11505</v>
      </c>
      <c r="I216" s="28"/>
      <c r="J216" s="28"/>
      <c r="K216" s="27">
        <v>260608007</v>
      </c>
      <c r="L216" s="27"/>
      <c r="M216" s="27">
        <f>M214-D216</f>
        <v>0</v>
      </c>
      <c r="N216" s="19">
        <v>46133</v>
      </c>
      <c r="O216" s="21">
        <f t="shared" si="14"/>
        <v>46497</v>
      </c>
    </row>
    <row r="217" spans="1:15" ht="20.149999999999999" hidden="1" customHeight="1" x14ac:dyDescent="0.25">
      <c r="A217" s="26">
        <v>46182</v>
      </c>
      <c r="B217" s="26">
        <v>46183</v>
      </c>
      <c r="C217" s="27" t="s">
        <v>1282</v>
      </c>
      <c r="D217" s="27">
        <v>3</v>
      </c>
      <c r="E217" s="27">
        <f t="shared" si="15"/>
        <v>585</v>
      </c>
      <c r="F217" s="153" t="s">
        <v>618</v>
      </c>
      <c r="G217" s="36" t="s">
        <v>1182</v>
      </c>
      <c r="H217" s="28">
        <f>H216-E217</f>
        <v>10920</v>
      </c>
      <c r="I217" s="28"/>
      <c r="J217" s="28"/>
      <c r="K217" s="27">
        <v>260608007</v>
      </c>
      <c r="L217" s="27"/>
      <c r="M217" s="27">
        <f>M215-D217</f>
        <v>18</v>
      </c>
      <c r="N217" s="19">
        <v>46134</v>
      </c>
      <c r="O217" s="21">
        <f t="shared" si="14"/>
        <v>46498</v>
      </c>
    </row>
    <row r="218" spans="1:15" ht="20.149999999999999" hidden="1" customHeight="1" x14ac:dyDescent="0.25">
      <c r="A218" s="22">
        <v>46184</v>
      </c>
      <c r="B218" s="22">
        <v>46185</v>
      </c>
      <c r="C218" s="23" t="s">
        <v>1295</v>
      </c>
      <c r="D218" s="23">
        <v>12</v>
      </c>
      <c r="E218" s="23">
        <f t="shared" si="15"/>
        <v>2340</v>
      </c>
      <c r="F218" s="154" t="s">
        <v>615</v>
      </c>
      <c r="G218" s="38" t="s">
        <v>1302</v>
      </c>
      <c r="H218" s="25">
        <f>H213-E218</f>
        <v>13420</v>
      </c>
      <c r="I218" s="25"/>
      <c r="J218" s="25"/>
      <c r="K218" s="23">
        <v>260610009</v>
      </c>
      <c r="L218" s="23"/>
      <c r="M218" s="23">
        <f>M130-D218</f>
        <v>25</v>
      </c>
      <c r="N218" s="19">
        <v>46135</v>
      </c>
      <c r="O218" s="21">
        <f t="shared" si="14"/>
        <v>46499</v>
      </c>
    </row>
    <row r="219" spans="1:15" ht="20.149999999999999" hidden="1" customHeight="1" x14ac:dyDescent="0.25">
      <c r="A219" s="33">
        <v>46184</v>
      </c>
      <c r="B219" s="33">
        <v>46185</v>
      </c>
      <c r="C219" s="34" t="s">
        <v>961</v>
      </c>
      <c r="D219" s="34">
        <v>10</v>
      </c>
      <c r="E219" s="34">
        <f t="shared" si="15"/>
        <v>1950</v>
      </c>
      <c r="F219" s="155" t="s">
        <v>618</v>
      </c>
      <c r="G219" s="39" t="s">
        <v>1303</v>
      </c>
      <c r="H219" s="35">
        <f>H217-E219</f>
        <v>8970</v>
      </c>
      <c r="I219" s="35"/>
      <c r="J219" s="35"/>
      <c r="K219" s="34">
        <v>260610010</v>
      </c>
      <c r="L219" s="34"/>
      <c r="M219" s="34">
        <f>M217-D219</f>
        <v>8</v>
      </c>
      <c r="N219" s="19">
        <v>46134</v>
      </c>
      <c r="O219" s="21">
        <f t="shared" si="14"/>
        <v>46498</v>
      </c>
    </row>
    <row r="220" spans="1:15" ht="20.149999999999999" hidden="1" customHeight="1" x14ac:dyDescent="0.25">
      <c r="A220" s="33">
        <v>46184</v>
      </c>
      <c r="B220" s="33">
        <v>46185</v>
      </c>
      <c r="C220" s="34" t="s">
        <v>1296</v>
      </c>
      <c r="D220" s="34">
        <v>6</v>
      </c>
      <c r="E220" s="34">
        <f t="shared" si="15"/>
        <v>1170</v>
      </c>
      <c r="F220" s="155" t="s">
        <v>618</v>
      </c>
      <c r="G220" s="39" t="s">
        <v>1288</v>
      </c>
      <c r="H220" s="35">
        <f>H219-E220</f>
        <v>7800</v>
      </c>
      <c r="I220" s="35"/>
      <c r="J220" s="35"/>
      <c r="K220" s="34">
        <v>260610010</v>
      </c>
      <c r="L220" s="34"/>
      <c r="M220" s="34">
        <f>M218-D220</f>
        <v>19</v>
      </c>
      <c r="N220" s="19">
        <v>46135</v>
      </c>
      <c r="O220" s="21">
        <f t="shared" si="14"/>
        <v>46499</v>
      </c>
    </row>
    <row r="221" spans="1:15" ht="20.149999999999999" hidden="1" customHeight="1" x14ac:dyDescent="0.25">
      <c r="A221" s="168">
        <v>46184</v>
      </c>
      <c r="B221" s="168">
        <v>46185</v>
      </c>
      <c r="C221" s="169" t="s">
        <v>961</v>
      </c>
      <c r="D221" s="169">
        <v>8</v>
      </c>
      <c r="E221" s="169">
        <f t="shared" si="15"/>
        <v>1560</v>
      </c>
      <c r="F221" s="169" t="s">
        <v>1297</v>
      </c>
      <c r="G221" s="170" t="s">
        <v>1289</v>
      </c>
      <c r="H221" s="171"/>
      <c r="I221" s="171"/>
      <c r="J221" s="180" t="s">
        <v>1032</v>
      </c>
      <c r="K221" s="169"/>
      <c r="L221" s="169"/>
      <c r="M221" s="169"/>
      <c r="N221" s="172"/>
      <c r="O221" s="173"/>
    </row>
    <row r="222" spans="1:15" ht="20.149999999999999" hidden="1" customHeight="1" x14ac:dyDescent="0.2">
      <c r="A222" s="40">
        <v>46185</v>
      </c>
      <c r="B222" s="40">
        <v>46185</v>
      </c>
      <c r="C222" s="41" t="s">
        <v>1311</v>
      </c>
      <c r="D222" s="41">
        <v>12</v>
      </c>
      <c r="E222" s="41">
        <f t="shared" si="15"/>
        <v>2340</v>
      </c>
      <c r="F222" s="60" t="s">
        <v>26</v>
      </c>
      <c r="G222" s="60" t="s">
        <v>1316</v>
      </c>
      <c r="H222" s="42">
        <f>H215-E222</f>
        <v>31200</v>
      </c>
      <c r="I222" s="42"/>
      <c r="J222" s="42"/>
      <c r="K222" s="41">
        <v>260611004</v>
      </c>
      <c r="L222" s="41"/>
      <c r="M222" s="41">
        <f>M220-D222</f>
        <v>7</v>
      </c>
      <c r="N222" s="19">
        <v>46135</v>
      </c>
      <c r="O222" s="21">
        <f t="shared" si="14"/>
        <v>46499</v>
      </c>
    </row>
    <row r="223" spans="1:15" ht="20.149999999999999" hidden="1" customHeight="1" x14ac:dyDescent="0.25">
      <c r="A223" s="174">
        <v>46185</v>
      </c>
      <c r="B223" s="174">
        <v>46188</v>
      </c>
      <c r="C223" s="175" t="s">
        <v>947</v>
      </c>
      <c r="D223" s="175">
        <v>7</v>
      </c>
      <c r="E223" s="175">
        <f t="shared" si="15"/>
        <v>1365</v>
      </c>
      <c r="F223" s="181" t="s">
        <v>1330</v>
      </c>
      <c r="G223" s="176" t="s">
        <v>1317</v>
      </c>
      <c r="H223" s="177"/>
      <c r="I223" s="177"/>
      <c r="J223" s="182" t="s">
        <v>1332</v>
      </c>
      <c r="K223" s="175">
        <v>260611005</v>
      </c>
      <c r="L223" s="175"/>
      <c r="M223" s="175"/>
    </row>
    <row r="224" spans="1:15" ht="20.149999999999999" hidden="1" customHeight="1" x14ac:dyDescent="0.25">
      <c r="A224" s="174">
        <v>46185</v>
      </c>
      <c r="B224" s="174">
        <v>46188</v>
      </c>
      <c r="C224" s="175" t="s">
        <v>1312</v>
      </c>
      <c r="D224" s="175">
        <v>9</v>
      </c>
      <c r="E224" s="175">
        <f t="shared" si="15"/>
        <v>1755</v>
      </c>
      <c r="F224" s="181" t="s">
        <v>1331</v>
      </c>
      <c r="G224" s="176" t="s">
        <v>1182</v>
      </c>
      <c r="H224" s="177"/>
      <c r="I224" s="177"/>
      <c r="J224" s="182" t="s">
        <v>1332</v>
      </c>
      <c r="K224" s="175">
        <v>260611005</v>
      </c>
      <c r="L224" s="175"/>
      <c r="M224" s="175"/>
    </row>
    <row r="225" spans="1:15" ht="20.149999999999999" hidden="1" customHeight="1" x14ac:dyDescent="0.25">
      <c r="A225" s="90">
        <v>46188</v>
      </c>
      <c r="B225" s="90">
        <v>46188</v>
      </c>
      <c r="C225" s="91" t="s">
        <v>993</v>
      </c>
      <c r="D225" s="91">
        <v>16</v>
      </c>
      <c r="E225" s="91">
        <f>D225*195</f>
        <v>3120</v>
      </c>
      <c r="F225" s="183" t="s">
        <v>618</v>
      </c>
      <c r="G225" s="92" t="s">
        <v>1333</v>
      </c>
      <c r="H225" s="93">
        <f>H220-E225</f>
        <v>4680</v>
      </c>
      <c r="I225" s="93"/>
      <c r="J225" s="93"/>
      <c r="K225" s="91">
        <v>260612007</v>
      </c>
      <c r="L225" s="91"/>
      <c r="M225" s="91">
        <f>M138-D225</f>
        <v>21</v>
      </c>
      <c r="N225" s="19">
        <v>46137</v>
      </c>
      <c r="O225" s="21">
        <f>DATE(YEAR(N225)+1,MONTH(N225),DAY(N225))-1</f>
        <v>46501</v>
      </c>
    </row>
    <row r="226" spans="1:15" ht="20.149999999999999" hidden="1" customHeight="1" x14ac:dyDescent="0.2">
      <c r="A226" s="22">
        <v>46188</v>
      </c>
      <c r="B226" s="22">
        <v>46188</v>
      </c>
      <c r="C226" s="81" t="s">
        <v>993</v>
      </c>
      <c r="D226" s="23">
        <v>8</v>
      </c>
      <c r="E226" s="23">
        <f t="shared" si="15"/>
        <v>1560</v>
      </c>
      <c r="F226" s="38" t="s">
        <v>26</v>
      </c>
      <c r="G226" s="38" t="s">
        <v>1329</v>
      </c>
      <c r="H226" s="25">
        <f>H222-E226</f>
        <v>29640</v>
      </c>
      <c r="I226" s="25"/>
      <c r="J226" s="25"/>
      <c r="K226" s="23">
        <v>260612004</v>
      </c>
      <c r="L226" s="23"/>
      <c r="M226" s="23">
        <f>M225-D226</f>
        <v>13</v>
      </c>
      <c r="N226" s="19">
        <v>46137</v>
      </c>
      <c r="O226" s="21">
        <f t="shared" si="14"/>
        <v>46501</v>
      </c>
    </row>
    <row r="227" spans="1:15" ht="20.149999999999999" hidden="1" customHeight="1" x14ac:dyDescent="0.25">
      <c r="A227" s="33">
        <v>46188</v>
      </c>
      <c r="B227" s="33">
        <v>46189</v>
      </c>
      <c r="C227" s="34" t="s">
        <v>1326</v>
      </c>
      <c r="D227" s="34">
        <v>4</v>
      </c>
      <c r="E227" s="34">
        <f t="shared" si="15"/>
        <v>780</v>
      </c>
      <c r="F227" s="155" t="s">
        <v>615</v>
      </c>
      <c r="G227" s="39" t="s">
        <v>1328</v>
      </c>
      <c r="H227" s="35">
        <f>H218-E227</f>
        <v>12640</v>
      </c>
      <c r="I227" s="63" t="s">
        <v>22</v>
      </c>
      <c r="J227" s="35"/>
      <c r="K227" s="34">
        <v>260612005</v>
      </c>
      <c r="L227" s="34">
        <v>42</v>
      </c>
      <c r="M227" s="34">
        <f>L227-D227</f>
        <v>38</v>
      </c>
      <c r="N227" s="19">
        <v>46174</v>
      </c>
      <c r="O227" s="21">
        <f t="shared" si="14"/>
        <v>46538</v>
      </c>
    </row>
    <row r="228" spans="1:15" ht="20.149999999999999" hidden="1" customHeight="1" x14ac:dyDescent="0.25">
      <c r="A228" s="33">
        <v>46188</v>
      </c>
      <c r="B228" s="33">
        <v>46189</v>
      </c>
      <c r="C228" s="34" t="s">
        <v>1318</v>
      </c>
      <c r="D228" s="34">
        <v>4</v>
      </c>
      <c r="E228" s="34">
        <f t="shared" si="15"/>
        <v>780</v>
      </c>
      <c r="F228" s="155" t="s">
        <v>615</v>
      </c>
      <c r="G228" s="39" t="s">
        <v>97</v>
      </c>
      <c r="H228" s="35">
        <f>H227-E228</f>
        <v>11860</v>
      </c>
      <c r="I228" s="63" t="s">
        <v>22</v>
      </c>
      <c r="J228" s="35"/>
      <c r="K228" s="34">
        <v>260612005</v>
      </c>
      <c r="L228" s="34">
        <v>41</v>
      </c>
      <c r="M228" s="34">
        <f>L228-D228</f>
        <v>37</v>
      </c>
      <c r="N228" s="19">
        <v>46176</v>
      </c>
      <c r="O228" s="21">
        <f t="shared" si="14"/>
        <v>46540</v>
      </c>
    </row>
    <row r="229" spans="1:15" ht="20.149999999999999" hidden="1" customHeight="1" x14ac:dyDescent="0.25">
      <c r="A229" s="33">
        <v>46188</v>
      </c>
      <c r="B229" s="33">
        <v>46189</v>
      </c>
      <c r="C229" s="34" t="s">
        <v>1319</v>
      </c>
      <c r="D229" s="34">
        <v>4</v>
      </c>
      <c r="E229" s="34">
        <f t="shared" si="15"/>
        <v>780</v>
      </c>
      <c r="F229" s="155" t="s">
        <v>615</v>
      </c>
      <c r="G229" s="39" t="s">
        <v>97</v>
      </c>
      <c r="H229" s="35">
        <f>H228-E229</f>
        <v>11080</v>
      </c>
      <c r="I229" s="63" t="s">
        <v>22</v>
      </c>
      <c r="J229" s="35"/>
      <c r="K229" s="34">
        <v>260612005</v>
      </c>
      <c r="L229" s="34">
        <v>41</v>
      </c>
      <c r="M229" s="34">
        <f>L229-D229</f>
        <v>37</v>
      </c>
      <c r="N229" s="19">
        <v>46178</v>
      </c>
      <c r="O229" s="21">
        <f t="shared" si="14"/>
        <v>46542</v>
      </c>
    </row>
    <row r="230" spans="1:15" ht="20.149999999999999" hidden="1" customHeight="1" x14ac:dyDescent="0.25">
      <c r="A230" s="29">
        <v>46188</v>
      </c>
      <c r="B230" s="29">
        <v>46189</v>
      </c>
      <c r="C230" s="30" t="s">
        <v>961</v>
      </c>
      <c r="D230" s="30">
        <v>8</v>
      </c>
      <c r="E230" s="30">
        <f t="shared" si="15"/>
        <v>1560</v>
      </c>
      <c r="F230" s="30" t="s">
        <v>860</v>
      </c>
      <c r="G230" s="37" t="s">
        <v>427</v>
      </c>
      <c r="H230" s="32">
        <f>H214-E230</f>
        <v>2340</v>
      </c>
      <c r="I230" s="32"/>
      <c r="J230" s="32"/>
      <c r="K230" s="30">
        <v>260612006</v>
      </c>
      <c r="L230" s="30"/>
      <c r="M230" s="30">
        <f>M219-D230</f>
        <v>0</v>
      </c>
      <c r="N230" s="19">
        <v>46134</v>
      </c>
      <c r="O230" s="21">
        <f t="shared" si="14"/>
        <v>46498</v>
      </c>
    </row>
    <row r="231" spans="1:15" ht="20.149999999999999" hidden="1" customHeight="1" x14ac:dyDescent="0.2">
      <c r="A231" s="40">
        <v>46189</v>
      </c>
      <c r="B231" s="40">
        <v>46189</v>
      </c>
      <c r="C231" s="41" t="s">
        <v>1344</v>
      </c>
      <c r="D231" s="41">
        <v>8</v>
      </c>
      <c r="E231" s="41">
        <f>D231*195</f>
        <v>1560</v>
      </c>
      <c r="F231" s="60" t="s">
        <v>26</v>
      </c>
      <c r="G231" s="60" t="s">
        <v>1339</v>
      </c>
      <c r="H231" s="42">
        <f>H226-E231</f>
        <v>28080</v>
      </c>
      <c r="I231" s="42"/>
      <c r="J231" s="42"/>
      <c r="K231" s="41">
        <v>260615005</v>
      </c>
      <c r="L231" s="41"/>
      <c r="M231" s="41">
        <f>M226-D231</f>
        <v>5</v>
      </c>
      <c r="N231" s="19">
        <v>46137</v>
      </c>
      <c r="O231" s="21">
        <f>DATE(YEAR(N231)+1,MONTH(N231),DAY(N231))-1</f>
        <v>46501</v>
      </c>
    </row>
    <row r="232" spans="1:15" ht="20.149999999999999" hidden="1" customHeight="1" x14ac:dyDescent="0.2">
      <c r="A232" s="40">
        <v>46189</v>
      </c>
      <c r="B232" s="40">
        <v>46189</v>
      </c>
      <c r="C232" s="41" t="s">
        <v>994</v>
      </c>
      <c r="D232" s="60">
        <v>4</v>
      </c>
      <c r="E232" s="41">
        <f>D232*195</f>
        <v>780</v>
      </c>
      <c r="F232" s="60" t="s">
        <v>26</v>
      </c>
      <c r="G232" s="60" t="s">
        <v>1339</v>
      </c>
      <c r="H232" s="42">
        <f>H231-E232</f>
        <v>27300</v>
      </c>
      <c r="I232" s="42"/>
      <c r="J232" s="42"/>
      <c r="K232" s="41">
        <v>260615005</v>
      </c>
      <c r="L232" s="41"/>
      <c r="M232" s="41">
        <f>M139-D232</f>
        <v>32</v>
      </c>
      <c r="N232" s="19">
        <v>46138</v>
      </c>
      <c r="O232" s="21">
        <f>DATE(YEAR(N232)+1,MONTH(N232),DAY(N232))-1</f>
        <v>46502</v>
      </c>
    </row>
    <row r="233" spans="1:15" ht="20.149999999999999" hidden="1" customHeight="1" x14ac:dyDescent="0.25">
      <c r="A233" s="26">
        <v>46189</v>
      </c>
      <c r="B233" s="26">
        <v>46190</v>
      </c>
      <c r="C233" s="27" t="s">
        <v>1347</v>
      </c>
      <c r="D233" s="27">
        <v>12</v>
      </c>
      <c r="E233" s="27">
        <f>D233*195</f>
        <v>2340</v>
      </c>
      <c r="F233" s="153" t="s">
        <v>618</v>
      </c>
      <c r="G233" s="36" t="s">
        <v>1340</v>
      </c>
      <c r="H233" s="28">
        <f>H225-E233</f>
        <v>2340</v>
      </c>
      <c r="I233" s="28"/>
      <c r="J233" s="28"/>
      <c r="K233" s="27">
        <v>260615006</v>
      </c>
      <c r="L233" s="27"/>
      <c r="M233" s="27">
        <f>M176-D233</f>
        <v>25</v>
      </c>
      <c r="N233" s="19">
        <v>46157</v>
      </c>
      <c r="O233" s="21">
        <f>DATE(YEAR(N233)+1,MONTH(N233),DAY(N233))-1</f>
        <v>46521</v>
      </c>
    </row>
    <row r="234" spans="1:15" ht="20.149999999999999" hidden="1" customHeight="1" x14ac:dyDescent="0.25">
      <c r="A234" s="22">
        <v>46190</v>
      </c>
      <c r="B234" s="22">
        <v>46191</v>
      </c>
      <c r="C234" s="81" t="s">
        <v>1120</v>
      </c>
      <c r="D234" s="23">
        <v>4</v>
      </c>
      <c r="E234" s="23">
        <f t="shared" ref="E234:E297" si="16">D234*195</f>
        <v>780</v>
      </c>
      <c r="F234" s="154" t="s">
        <v>615</v>
      </c>
      <c r="G234" s="38" t="s">
        <v>1361</v>
      </c>
      <c r="H234" s="25">
        <f>H229-E234</f>
        <v>10300</v>
      </c>
      <c r="I234" s="25"/>
      <c r="J234" s="25"/>
      <c r="K234" s="23">
        <v>260616009</v>
      </c>
      <c r="L234" s="23"/>
      <c r="M234" s="23">
        <f>M233-D234</f>
        <v>21</v>
      </c>
      <c r="N234" s="19">
        <v>46157</v>
      </c>
      <c r="O234" s="21">
        <f t="shared" ref="O234:O297" si="17">DATE(YEAR(N234)+1,MONTH(N234),DAY(N234))-1</f>
        <v>46521</v>
      </c>
    </row>
    <row r="235" spans="1:15" ht="20.149999999999999" hidden="1" customHeight="1" x14ac:dyDescent="0.25">
      <c r="A235" s="22">
        <v>46190</v>
      </c>
      <c r="B235" s="22">
        <v>46191</v>
      </c>
      <c r="C235" s="23" t="s">
        <v>1354</v>
      </c>
      <c r="D235" s="23">
        <v>4</v>
      </c>
      <c r="E235" s="23">
        <f t="shared" si="16"/>
        <v>780</v>
      </c>
      <c r="F235" s="154" t="s">
        <v>615</v>
      </c>
      <c r="G235" s="38" t="s">
        <v>97</v>
      </c>
      <c r="H235" s="25">
        <f>H234-E235</f>
        <v>9520</v>
      </c>
      <c r="I235" s="43" t="s">
        <v>22</v>
      </c>
      <c r="J235" s="25"/>
      <c r="K235" s="23">
        <v>260616009</v>
      </c>
      <c r="L235" s="23">
        <f>41-4</f>
        <v>37</v>
      </c>
      <c r="M235" s="23">
        <f>L235-D235</f>
        <v>33</v>
      </c>
      <c r="N235" s="19">
        <v>46181</v>
      </c>
      <c r="O235" s="21">
        <f t="shared" si="17"/>
        <v>46545</v>
      </c>
    </row>
    <row r="236" spans="1:15" ht="20.149999999999999" hidden="1" customHeight="1" x14ac:dyDescent="0.25">
      <c r="A236" s="33">
        <v>46190</v>
      </c>
      <c r="B236" s="33">
        <v>46191</v>
      </c>
      <c r="C236" s="34" t="s">
        <v>947</v>
      </c>
      <c r="D236" s="34">
        <v>7</v>
      </c>
      <c r="E236" s="34">
        <f t="shared" si="16"/>
        <v>1365</v>
      </c>
      <c r="F236" s="34" t="s">
        <v>860</v>
      </c>
      <c r="G236" s="39" t="s">
        <v>1360</v>
      </c>
      <c r="H236" s="35">
        <f>H230-E236</f>
        <v>975</v>
      </c>
      <c r="I236" s="35"/>
      <c r="J236" s="35"/>
      <c r="K236" s="34">
        <v>260616010</v>
      </c>
      <c r="L236" s="34"/>
      <c r="M236" s="34">
        <f>M222-D236</f>
        <v>0</v>
      </c>
      <c r="N236" s="19">
        <v>46135</v>
      </c>
      <c r="O236" s="21">
        <f t="shared" si="17"/>
        <v>46499</v>
      </c>
    </row>
    <row r="237" spans="1:15" ht="20.149999999999999" hidden="1" customHeight="1" x14ac:dyDescent="0.25">
      <c r="A237" s="33">
        <v>46190</v>
      </c>
      <c r="B237" s="33">
        <v>46191</v>
      </c>
      <c r="C237" s="34" t="s">
        <v>1355</v>
      </c>
      <c r="D237" s="34">
        <v>5</v>
      </c>
      <c r="E237" s="34">
        <f t="shared" si="16"/>
        <v>975</v>
      </c>
      <c r="F237" s="34" t="s">
        <v>860</v>
      </c>
      <c r="G237" s="39" t="s">
        <v>1349</v>
      </c>
      <c r="H237" s="35">
        <f>H236-E237</f>
        <v>0</v>
      </c>
      <c r="I237" s="35"/>
      <c r="J237" s="35"/>
      <c r="K237" s="34">
        <v>260616010</v>
      </c>
      <c r="L237" s="34"/>
      <c r="M237" s="34">
        <f>M231-D237</f>
        <v>0</v>
      </c>
      <c r="N237" s="19">
        <v>46137</v>
      </c>
      <c r="O237" s="21">
        <f t="shared" si="17"/>
        <v>46501</v>
      </c>
    </row>
    <row r="238" spans="1:15" ht="20.149999999999999" hidden="1" customHeight="1" x14ac:dyDescent="0.2">
      <c r="A238" s="29">
        <v>46191</v>
      </c>
      <c r="B238" s="29">
        <v>46191</v>
      </c>
      <c r="C238" s="30" t="s">
        <v>1367</v>
      </c>
      <c r="D238" s="30">
        <v>16</v>
      </c>
      <c r="E238" s="30">
        <f t="shared" si="16"/>
        <v>3120</v>
      </c>
      <c r="F238" s="37" t="s">
        <v>26</v>
      </c>
      <c r="G238" s="37" t="s">
        <v>1279</v>
      </c>
      <c r="H238" s="32">
        <f>H232-E238</f>
        <v>24180</v>
      </c>
      <c r="I238" s="32"/>
      <c r="J238" s="32"/>
      <c r="K238" s="30">
        <v>260617007</v>
      </c>
      <c r="L238" s="30"/>
      <c r="M238" s="30">
        <f>M232-D238</f>
        <v>16</v>
      </c>
      <c r="N238" s="19">
        <v>46138</v>
      </c>
      <c r="O238" s="21">
        <f t="shared" si="17"/>
        <v>46502</v>
      </c>
    </row>
    <row r="239" spans="1:15" ht="20.149999999999999" hidden="1" customHeight="1" x14ac:dyDescent="0.25">
      <c r="A239" s="40">
        <v>46191</v>
      </c>
      <c r="B239" s="129">
        <v>46192</v>
      </c>
      <c r="C239" s="41" t="s">
        <v>1120</v>
      </c>
      <c r="D239" s="41">
        <v>12</v>
      </c>
      <c r="E239" s="41">
        <f t="shared" si="16"/>
        <v>2340</v>
      </c>
      <c r="F239" s="152" t="s">
        <v>618</v>
      </c>
      <c r="G239" s="60" t="s">
        <v>1182</v>
      </c>
      <c r="H239" s="42">
        <f>H233-E239</f>
        <v>0</v>
      </c>
      <c r="I239" s="42"/>
      <c r="J239" s="42"/>
      <c r="K239" s="41">
        <v>260617008</v>
      </c>
      <c r="L239" s="41"/>
      <c r="M239" s="41">
        <f>M234-D239</f>
        <v>9</v>
      </c>
      <c r="N239" s="19">
        <v>46157</v>
      </c>
      <c r="O239" s="21">
        <f t="shared" si="17"/>
        <v>46521</v>
      </c>
    </row>
    <row r="240" spans="1:15" ht="20.149999999999999" hidden="1" customHeight="1" x14ac:dyDescent="0.25">
      <c r="A240" s="40">
        <v>46191</v>
      </c>
      <c r="B240" s="129">
        <v>46192</v>
      </c>
      <c r="C240" s="41" t="s">
        <v>1120</v>
      </c>
      <c r="D240" s="41">
        <v>4</v>
      </c>
      <c r="E240" s="41">
        <f t="shared" si="16"/>
        <v>780</v>
      </c>
      <c r="F240" s="152" t="s">
        <v>618</v>
      </c>
      <c r="G240" s="146" t="s">
        <v>1362</v>
      </c>
      <c r="H240" s="42">
        <f>46800-E240</f>
        <v>46020</v>
      </c>
      <c r="I240" s="42"/>
      <c r="J240" s="42"/>
      <c r="K240" s="41" t="s">
        <v>1368</v>
      </c>
      <c r="L240" s="41"/>
      <c r="M240" s="41">
        <f>M239-D240</f>
        <v>5</v>
      </c>
      <c r="N240" s="19">
        <v>46157</v>
      </c>
      <c r="O240" s="21">
        <f t="shared" si="17"/>
        <v>46521</v>
      </c>
    </row>
    <row r="241" spans="1:15" ht="20.149999999999999" hidden="1" customHeight="1" x14ac:dyDescent="0.25">
      <c r="A241" s="26">
        <v>46191</v>
      </c>
      <c r="B241" s="26">
        <v>46195</v>
      </c>
      <c r="C241" s="27" t="s">
        <v>1120</v>
      </c>
      <c r="D241" s="27">
        <v>1</v>
      </c>
      <c r="E241" s="27">
        <f t="shared" si="16"/>
        <v>195</v>
      </c>
      <c r="F241" s="153" t="s">
        <v>618</v>
      </c>
      <c r="G241" s="36" t="s">
        <v>1362</v>
      </c>
      <c r="H241" s="28">
        <f>H240-E241</f>
        <v>45825</v>
      </c>
      <c r="I241" s="28"/>
      <c r="J241" s="28"/>
      <c r="K241" s="27">
        <v>260617009</v>
      </c>
      <c r="L241" s="27"/>
      <c r="M241" s="27">
        <f>M240-D241</f>
        <v>4</v>
      </c>
      <c r="N241" s="19">
        <v>46157</v>
      </c>
      <c r="O241" s="21">
        <f t="shared" si="17"/>
        <v>46521</v>
      </c>
    </row>
    <row r="242" spans="1:15" ht="20.149999999999999" hidden="1" customHeight="1" x14ac:dyDescent="0.25">
      <c r="A242" s="26">
        <v>46191</v>
      </c>
      <c r="B242" s="26">
        <v>46195</v>
      </c>
      <c r="C242" s="27" t="s">
        <v>1207</v>
      </c>
      <c r="D242" s="27">
        <v>15</v>
      </c>
      <c r="E242" s="27">
        <f t="shared" si="16"/>
        <v>2925</v>
      </c>
      <c r="F242" s="153" t="s">
        <v>618</v>
      </c>
      <c r="G242" s="36" t="s">
        <v>1362</v>
      </c>
      <c r="H242" s="28">
        <f>H241-E242</f>
        <v>42900</v>
      </c>
      <c r="I242" s="28"/>
      <c r="J242" s="28"/>
      <c r="K242" s="27">
        <v>260617009</v>
      </c>
      <c r="L242" s="27"/>
      <c r="M242" s="27">
        <f>M193-D242</f>
        <v>23</v>
      </c>
      <c r="N242" s="19">
        <v>46160</v>
      </c>
      <c r="O242" s="21">
        <f t="shared" si="17"/>
        <v>46524</v>
      </c>
    </row>
    <row r="243" spans="1:15" ht="20.149999999999999" hidden="1" customHeight="1" x14ac:dyDescent="0.2">
      <c r="A243" s="22">
        <v>46191</v>
      </c>
      <c r="B243" s="22">
        <v>46195</v>
      </c>
      <c r="C243" s="23" t="s">
        <v>1369</v>
      </c>
      <c r="D243" s="23">
        <v>4</v>
      </c>
      <c r="E243" s="23">
        <f t="shared" si="16"/>
        <v>780</v>
      </c>
      <c r="F243" s="38" t="s">
        <v>31</v>
      </c>
      <c r="G243" s="38" t="s">
        <v>1371</v>
      </c>
      <c r="H243" s="25">
        <f>H184-E243</f>
        <v>92980</v>
      </c>
      <c r="I243" s="25"/>
      <c r="J243" s="25"/>
      <c r="K243" s="23">
        <v>260617011</v>
      </c>
      <c r="L243" s="23"/>
      <c r="M243" s="23">
        <f>M114-D243</f>
        <v>0</v>
      </c>
      <c r="N243" s="19">
        <v>46090</v>
      </c>
      <c r="O243" s="21">
        <f t="shared" si="17"/>
        <v>46454</v>
      </c>
    </row>
    <row r="244" spans="1:15" ht="20.149999999999999" hidden="1" customHeight="1" x14ac:dyDescent="0.2">
      <c r="A244" s="22">
        <v>46191</v>
      </c>
      <c r="B244" s="22">
        <v>46195</v>
      </c>
      <c r="C244" s="23" t="s">
        <v>1370</v>
      </c>
      <c r="D244" s="23">
        <v>4</v>
      </c>
      <c r="E244" s="23">
        <f t="shared" si="16"/>
        <v>780</v>
      </c>
      <c r="F244" s="38" t="s">
        <v>31</v>
      </c>
      <c r="G244" s="38" t="s">
        <v>1372</v>
      </c>
      <c r="H244" s="25">
        <f>H243-E244</f>
        <v>92200</v>
      </c>
      <c r="I244" s="25"/>
      <c r="J244" s="25"/>
      <c r="K244" s="23">
        <v>260617011</v>
      </c>
      <c r="L244" s="23"/>
      <c r="M244" s="23">
        <f>M116-D244</f>
        <v>0</v>
      </c>
      <c r="N244" s="19">
        <v>46092</v>
      </c>
      <c r="O244" s="21">
        <f t="shared" si="17"/>
        <v>46456</v>
      </c>
    </row>
    <row r="245" spans="1:15" ht="20.149999999999999" hidden="1" customHeight="1" x14ac:dyDescent="0.2">
      <c r="A245" s="33">
        <v>46195</v>
      </c>
      <c r="B245" s="33">
        <v>46195</v>
      </c>
      <c r="C245" s="34" t="s">
        <v>1380</v>
      </c>
      <c r="D245" s="34">
        <v>4</v>
      </c>
      <c r="E245" s="34">
        <f t="shared" si="16"/>
        <v>780</v>
      </c>
      <c r="F245" s="39" t="s">
        <v>26</v>
      </c>
      <c r="G245" s="39" t="s">
        <v>1390</v>
      </c>
      <c r="H245" s="35">
        <f>H238-E245</f>
        <v>23400</v>
      </c>
      <c r="I245" s="35"/>
      <c r="J245" s="35"/>
      <c r="K245" s="34">
        <v>260618007</v>
      </c>
      <c r="L245" s="34"/>
      <c r="M245" s="34">
        <f>M238-D245</f>
        <v>12</v>
      </c>
      <c r="N245" s="19">
        <v>46138</v>
      </c>
      <c r="O245" s="21">
        <f t="shared" si="17"/>
        <v>46502</v>
      </c>
    </row>
    <row r="246" spans="1:15" ht="20.149999999999999" hidden="1" customHeight="1" x14ac:dyDescent="0.2">
      <c r="A246" s="33">
        <v>46195</v>
      </c>
      <c r="B246" s="33">
        <v>46195</v>
      </c>
      <c r="C246" s="34" t="s">
        <v>1381</v>
      </c>
      <c r="D246" s="34">
        <v>4</v>
      </c>
      <c r="E246" s="34">
        <f t="shared" si="16"/>
        <v>780</v>
      </c>
      <c r="F246" s="39" t="s">
        <v>26</v>
      </c>
      <c r="G246" s="39" t="s">
        <v>1279</v>
      </c>
      <c r="H246" s="35">
        <f>H245-E246</f>
        <v>22620</v>
      </c>
      <c r="I246" s="35"/>
      <c r="J246" s="35"/>
      <c r="K246" s="34">
        <v>260618007</v>
      </c>
      <c r="L246" s="34"/>
      <c r="M246" s="34">
        <f>M140-D246</f>
        <v>33</v>
      </c>
      <c r="N246" s="19">
        <v>46139</v>
      </c>
      <c r="O246" s="21">
        <f t="shared" si="17"/>
        <v>46503</v>
      </c>
    </row>
    <row r="247" spans="1:15" ht="20.149999999999999" hidden="1" customHeight="1" x14ac:dyDescent="0.25">
      <c r="A247" s="40">
        <v>46195</v>
      </c>
      <c r="B247" s="40">
        <v>46196</v>
      </c>
      <c r="C247" s="41" t="s">
        <v>1382</v>
      </c>
      <c r="D247" s="41">
        <v>4</v>
      </c>
      <c r="E247" s="41">
        <f t="shared" si="16"/>
        <v>780</v>
      </c>
      <c r="F247" s="152" t="s">
        <v>615</v>
      </c>
      <c r="G247" s="60" t="s">
        <v>1391</v>
      </c>
      <c r="H247" s="42">
        <f>H235-E247</f>
        <v>8740</v>
      </c>
      <c r="I247" s="42"/>
      <c r="J247" s="42"/>
      <c r="K247" s="41">
        <v>260618008</v>
      </c>
      <c r="L247" s="41"/>
      <c r="M247" s="41">
        <f>M241-D247</f>
        <v>0</v>
      </c>
      <c r="N247" s="19">
        <v>46157</v>
      </c>
      <c r="O247" s="21">
        <f t="shared" si="17"/>
        <v>46521</v>
      </c>
    </row>
    <row r="248" spans="1:15" ht="20.149999999999999" hidden="1" customHeight="1" x14ac:dyDescent="0.25">
      <c r="A248" s="40">
        <v>46195</v>
      </c>
      <c r="B248" s="40">
        <v>46196</v>
      </c>
      <c r="C248" s="41" t="s">
        <v>1383</v>
      </c>
      <c r="D248" s="41">
        <v>12</v>
      </c>
      <c r="E248" s="41">
        <f t="shared" si="16"/>
        <v>2340</v>
      </c>
      <c r="F248" s="152" t="s">
        <v>615</v>
      </c>
      <c r="G248" s="60" t="s">
        <v>97</v>
      </c>
      <c r="H248" s="42">
        <f>H247-E248</f>
        <v>6400</v>
      </c>
      <c r="I248" s="42"/>
      <c r="J248" s="42"/>
      <c r="K248" s="41">
        <v>260618008</v>
      </c>
      <c r="L248" s="41"/>
      <c r="M248" s="41">
        <f>M242-D248</f>
        <v>11</v>
      </c>
      <c r="N248" s="19">
        <v>46160</v>
      </c>
      <c r="O248" s="21">
        <f t="shared" si="17"/>
        <v>46524</v>
      </c>
    </row>
    <row r="249" spans="1:15" ht="20.149999999999999" hidden="1" customHeight="1" x14ac:dyDescent="0.25">
      <c r="A249" s="29">
        <v>46195</v>
      </c>
      <c r="B249" s="29">
        <v>46196</v>
      </c>
      <c r="C249" s="30" t="s">
        <v>1384</v>
      </c>
      <c r="D249" s="30">
        <v>12</v>
      </c>
      <c r="E249" s="30">
        <f t="shared" si="16"/>
        <v>2340</v>
      </c>
      <c r="F249" s="30" t="s">
        <v>860</v>
      </c>
      <c r="G249" s="161" t="s">
        <v>1392</v>
      </c>
      <c r="H249" s="32">
        <f>30000-E249</f>
        <v>27660</v>
      </c>
      <c r="I249" s="32"/>
      <c r="J249" s="32"/>
      <c r="K249" s="30">
        <v>260618009</v>
      </c>
      <c r="L249" s="30"/>
      <c r="M249" s="30">
        <f>M245-D249</f>
        <v>0</v>
      </c>
      <c r="N249" s="19">
        <v>46138</v>
      </c>
      <c r="O249" s="21">
        <f t="shared" si="17"/>
        <v>46502</v>
      </c>
    </row>
    <row r="250" spans="1:15" ht="20.149999999999999" hidden="1" customHeight="1" x14ac:dyDescent="0.2">
      <c r="A250" s="26">
        <v>46196</v>
      </c>
      <c r="B250" s="26">
        <v>46196</v>
      </c>
      <c r="C250" s="27" t="s">
        <v>1400</v>
      </c>
      <c r="D250" s="27">
        <v>12</v>
      </c>
      <c r="E250" s="27">
        <f t="shared" si="16"/>
        <v>2340</v>
      </c>
      <c r="F250" s="36" t="s">
        <v>26</v>
      </c>
      <c r="G250" s="36" t="s">
        <v>1279</v>
      </c>
      <c r="H250" s="28">
        <f>H246-E250</f>
        <v>20280</v>
      </c>
      <c r="I250" s="28"/>
      <c r="J250" s="28"/>
      <c r="K250" s="27">
        <v>260622008</v>
      </c>
      <c r="L250" s="27"/>
      <c r="M250" s="27">
        <f>M246-D250</f>
        <v>21</v>
      </c>
      <c r="N250" s="19">
        <v>46139</v>
      </c>
      <c r="O250" s="21">
        <f t="shared" si="17"/>
        <v>46503</v>
      </c>
    </row>
    <row r="251" spans="1:15" ht="20.149999999999999" hidden="1" customHeight="1" x14ac:dyDescent="0.25">
      <c r="A251" s="22">
        <v>46196</v>
      </c>
      <c r="B251" s="22">
        <v>46197</v>
      </c>
      <c r="C251" s="23" t="s">
        <v>1207</v>
      </c>
      <c r="D251" s="23">
        <v>11</v>
      </c>
      <c r="E251" s="23">
        <f t="shared" si="16"/>
        <v>2145</v>
      </c>
      <c r="F251" s="154" t="s">
        <v>618</v>
      </c>
      <c r="G251" s="38" t="s">
        <v>1404</v>
      </c>
      <c r="H251" s="25">
        <f>H242-E251</f>
        <v>40755</v>
      </c>
      <c r="I251" s="25"/>
      <c r="J251" s="25"/>
      <c r="K251" s="23">
        <v>260622009</v>
      </c>
      <c r="L251" s="23"/>
      <c r="M251" s="23">
        <f>M248-D251</f>
        <v>0</v>
      </c>
      <c r="N251" s="19">
        <v>46160</v>
      </c>
      <c r="O251" s="21">
        <f t="shared" si="17"/>
        <v>46524</v>
      </c>
    </row>
    <row r="252" spans="1:15" ht="20.149999999999999" hidden="1" customHeight="1" x14ac:dyDescent="0.25">
      <c r="A252" s="22">
        <v>46196</v>
      </c>
      <c r="B252" s="22">
        <v>46197</v>
      </c>
      <c r="C252" s="23" t="s">
        <v>1401</v>
      </c>
      <c r="D252" s="23">
        <v>5</v>
      </c>
      <c r="E252" s="23">
        <f t="shared" si="16"/>
        <v>975</v>
      </c>
      <c r="F252" s="154" t="s">
        <v>618</v>
      </c>
      <c r="G252" s="38" t="s">
        <v>1362</v>
      </c>
      <c r="H252" s="25">
        <f>H251-E252</f>
        <v>39780</v>
      </c>
      <c r="I252" s="25"/>
      <c r="J252" s="25"/>
      <c r="K252" s="23">
        <v>260622009</v>
      </c>
      <c r="L252" s="23"/>
      <c r="M252" s="23">
        <f>M194-D252</f>
        <v>32</v>
      </c>
      <c r="N252" s="19">
        <v>46162</v>
      </c>
      <c r="O252" s="21">
        <f t="shared" si="17"/>
        <v>46526</v>
      </c>
    </row>
    <row r="253" spans="1:15" ht="20.149999999999999" hidden="1" customHeight="1" x14ac:dyDescent="0.25">
      <c r="A253" s="33">
        <v>46198</v>
      </c>
      <c r="B253" s="33">
        <v>46199</v>
      </c>
      <c r="C253" s="34" t="s">
        <v>1418</v>
      </c>
      <c r="D253" s="34">
        <v>8</v>
      </c>
      <c r="E253" s="34">
        <f t="shared" si="16"/>
        <v>1560</v>
      </c>
      <c r="F253" s="155" t="s">
        <v>615</v>
      </c>
      <c r="G253" s="39" t="s">
        <v>1425</v>
      </c>
      <c r="H253" s="35">
        <f>H248-E253</f>
        <v>4840</v>
      </c>
      <c r="I253" s="35"/>
      <c r="J253" s="35"/>
      <c r="K253" s="34">
        <v>260624008</v>
      </c>
      <c r="L253" s="34"/>
      <c r="M253" s="34">
        <f>M252-D253</f>
        <v>24</v>
      </c>
      <c r="N253" s="19">
        <v>46162</v>
      </c>
      <c r="O253" s="21">
        <f t="shared" si="17"/>
        <v>46526</v>
      </c>
    </row>
    <row r="254" spans="1:15" ht="20.149999999999999" hidden="1" customHeight="1" x14ac:dyDescent="0.25">
      <c r="A254" s="33">
        <v>46198</v>
      </c>
      <c r="B254" s="33">
        <v>46199</v>
      </c>
      <c r="C254" s="34" t="s">
        <v>1419</v>
      </c>
      <c r="D254" s="34">
        <v>4</v>
      </c>
      <c r="E254" s="34">
        <f t="shared" si="16"/>
        <v>780</v>
      </c>
      <c r="F254" s="155" t="s">
        <v>615</v>
      </c>
      <c r="G254" s="39" t="s">
        <v>97</v>
      </c>
      <c r="H254" s="35">
        <f>H253-E254</f>
        <v>4060</v>
      </c>
      <c r="I254" s="63" t="s">
        <v>22</v>
      </c>
      <c r="J254" s="35"/>
      <c r="K254" s="34">
        <v>260624008</v>
      </c>
      <c r="L254" s="34">
        <v>42</v>
      </c>
      <c r="M254" s="34">
        <f>L254-D254</f>
        <v>38</v>
      </c>
      <c r="N254" s="19">
        <v>46183</v>
      </c>
      <c r="O254" s="21">
        <f t="shared" si="17"/>
        <v>46547</v>
      </c>
    </row>
    <row r="255" spans="1:15" ht="20.149999999999999" hidden="1" customHeight="1" x14ac:dyDescent="0.25">
      <c r="A255" s="33">
        <v>46198</v>
      </c>
      <c r="B255" s="33">
        <v>46199</v>
      </c>
      <c r="C255" s="34" t="s">
        <v>1407</v>
      </c>
      <c r="D255" s="34">
        <v>4</v>
      </c>
      <c r="E255" s="34">
        <f t="shared" si="16"/>
        <v>780</v>
      </c>
      <c r="F255" s="155" t="s">
        <v>615</v>
      </c>
      <c r="G255" s="39" t="s">
        <v>97</v>
      </c>
      <c r="H255" s="35">
        <f>H254-E255</f>
        <v>3280</v>
      </c>
      <c r="I255" s="63" t="s">
        <v>22</v>
      </c>
      <c r="J255" s="35"/>
      <c r="K255" s="34">
        <v>260624008</v>
      </c>
      <c r="L255" s="34">
        <v>41</v>
      </c>
      <c r="M255" s="34">
        <f>L255-D255</f>
        <v>37</v>
      </c>
      <c r="N255" s="19">
        <v>46185</v>
      </c>
      <c r="O255" s="21">
        <f t="shared" si="17"/>
        <v>46549</v>
      </c>
    </row>
    <row r="256" spans="1:15" ht="20.149999999999999" hidden="1" customHeight="1" x14ac:dyDescent="0.25">
      <c r="A256" s="40">
        <v>46198</v>
      </c>
      <c r="B256" s="40">
        <v>46199</v>
      </c>
      <c r="C256" s="41" t="s">
        <v>1208</v>
      </c>
      <c r="D256" s="41">
        <v>16</v>
      </c>
      <c r="E256" s="41">
        <f t="shared" si="16"/>
        <v>3120</v>
      </c>
      <c r="F256" s="152" t="s">
        <v>618</v>
      </c>
      <c r="G256" s="60" t="s">
        <v>1426</v>
      </c>
      <c r="H256" s="42">
        <f>H252-E256</f>
        <v>36660</v>
      </c>
      <c r="I256" s="42"/>
      <c r="J256" s="42"/>
      <c r="K256" s="41">
        <v>260624009</v>
      </c>
      <c r="L256" s="41"/>
      <c r="M256" s="41">
        <f>M253-D256</f>
        <v>8</v>
      </c>
      <c r="N256" s="19">
        <v>46162</v>
      </c>
      <c r="O256" s="21">
        <f t="shared" si="17"/>
        <v>46526</v>
      </c>
    </row>
    <row r="257" spans="1:15" ht="20.149999999999999" hidden="1" customHeight="1" x14ac:dyDescent="0.25">
      <c r="A257" s="26">
        <v>46198</v>
      </c>
      <c r="B257" s="26">
        <v>46199</v>
      </c>
      <c r="C257" s="27" t="s">
        <v>1420</v>
      </c>
      <c r="D257" s="27">
        <v>12</v>
      </c>
      <c r="E257" s="27">
        <f t="shared" si="16"/>
        <v>2340</v>
      </c>
      <c r="F257" s="27" t="s">
        <v>860</v>
      </c>
      <c r="G257" s="36" t="s">
        <v>1427</v>
      </c>
      <c r="H257" s="28">
        <f>H249-E257</f>
        <v>25320</v>
      </c>
      <c r="I257" s="28"/>
      <c r="J257" s="28"/>
      <c r="K257" s="27">
        <v>260624010</v>
      </c>
      <c r="L257" s="27"/>
      <c r="M257" s="27">
        <f>M250-D257</f>
        <v>9</v>
      </c>
      <c r="N257" s="19">
        <v>46139</v>
      </c>
      <c r="O257" s="21">
        <f t="shared" si="17"/>
        <v>46503</v>
      </c>
    </row>
    <row r="258" spans="1:15" ht="20.149999999999999" hidden="1" customHeight="1" x14ac:dyDescent="0.2">
      <c r="A258" s="29">
        <v>46199</v>
      </c>
      <c r="B258" s="29">
        <v>46199</v>
      </c>
      <c r="C258" s="30" t="s">
        <v>1433</v>
      </c>
      <c r="D258" s="30">
        <v>9</v>
      </c>
      <c r="E258" s="30">
        <f t="shared" si="16"/>
        <v>1755</v>
      </c>
      <c r="F258" s="37" t="s">
        <v>26</v>
      </c>
      <c r="G258" s="37" t="s">
        <v>1436</v>
      </c>
      <c r="H258" s="32">
        <f>H250-E258</f>
        <v>18525</v>
      </c>
      <c r="I258" s="32"/>
      <c r="J258" s="32"/>
      <c r="K258" s="30">
        <v>260625005</v>
      </c>
      <c r="L258" s="30"/>
      <c r="M258" s="30">
        <f>M257-D258</f>
        <v>0</v>
      </c>
      <c r="N258" s="19">
        <v>46139</v>
      </c>
      <c r="O258" s="21">
        <f t="shared" si="17"/>
        <v>46503</v>
      </c>
    </row>
    <row r="259" spans="1:15" ht="20.149999999999999" hidden="1" customHeight="1" x14ac:dyDescent="0.2">
      <c r="A259" s="29">
        <v>46199</v>
      </c>
      <c r="B259" s="29">
        <v>46199</v>
      </c>
      <c r="C259" s="30" t="s">
        <v>1434</v>
      </c>
      <c r="D259" s="30">
        <v>7</v>
      </c>
      <c r="E259" s="30">
        <f t="shared" si="16"/>
        <v>1365</v>
      </c>
      <c r="F259" s="37" t="s">
        <v>26</v>
      </c>
      <c r="G259" s="37" t="s">
        <v>1429</v>
      </c>
      <c r="H259" s="32">
        <f>H258-E259</f>
        <v>17160</v>
      </c>
      <c r="I259" s="32"/>
      <c r="J259" s="32"/>
      <c r="K259" s="30">
        <v>260625005</v>
      </c>
      <c r="L259" s="30"/>
      <c r="M259" s="30">
        <f>M146-D259</f>
        <v>31</v>
      </c>
      <c r="N259" s="19">
        <v>46141</v>
      </c>
      <c r="O259" s="21">
        <f t="shared" si="17"/>
        <v>46505</v>
      </c>
    </row>
    <row r="260" spans="1:15" ht="20.149999999999999" hidden="1" customHeight="1" x14ac:dyDescent="0.25">
      <c r="A260" s="22">
        <v>46199</v>
      </c>
      <c r="B260" s="22">
        <v>46202</v>
      </c>
      <c r="C260" s="23" t="s">
        <v>1435</v>
      </c>
      <c r="D260" s="23">
        <v>8</v>
      </c>
      <c r="E260" s="23">
        <f t="shared" si="16"/>
        <v>1560</v>
      </c>
      <c r="F260" s="154" t="s">
        <v>618</v>
      </c>
      <c r="G260" s="38" t="s">
        <v>1362</v>
      </c>
      <c r="H260" s="25">
        <f>H256-E260</f>
        <v>35100</v>
      </c>
      <c r="I260" s="25"/>
      <c r="J260" s="25"/>
      <c r="K260" s="23">
        <v>260625006</v>
      </c>
      <c r="L260" s="23"/>
      <c r="M260" s="23">
        <f>M256-D260</f>
        <v>0</v>
      </c>
      <c r="N260" s="19">
        <v>46162</v>
      </c>
      <c r="O260" s="21">
        <f t="shared" si="17"/>
        <v>46526</v>
      </c>
    </row>
    <row r="261" spans="1:15" ht="20.149999999999999" hidden="1" customHeight="1" x14ac:dyDescent="0.25">
      <c r="A261" s="22">
        <v>46199</v>
      </c>
      <c r="B261" s="22">
        <v>46202</v>
      </c>
      <c r="C261" s="23" t="s">
        <v>1209</v>
      </c>
      <c r="D261" s="23">
        <v>8</v>
      </c>
      <c r="E261" s="23">
        <f t="shared" si="16"/>
        <v>1560</v>
      </c>
      <c r="F261" s="154" t="s">
        <v>618</v>
      </c>
      <c r="G261" s="38" t="s">
        <v>1430</v>
      </c>
      <c r="H261" s="25">
        <f>H260-E261</f>
        <v>33540</v>
      </c>
      <c r="I261" s="25"/>
      <c r="J261" s="25"/>
      <c r="K261" s="23">
        <v>260625006</v>
      </c>
      <c r="L261" s="23"/>
      <c r="M261" s="23">
        <f>M195-D261</f>
        <v>29</v>
      </c>
      <c r="N261" s="19">
        <v>46164</v>
      </c>
      <c r="O261" s="21">
        <f t="shared" si="17"/>
        <v>46528</v>
      </c>
    </row>
    <row r="262" spans="1:15" ht="20.149999999999999" hidden="1" customHeight="1" x14ac:dyDescent="0.25">
      <c r="A262" s="40">
        <v>46202</v>
      </c>
      <c r="B262" s="40">
        <v>46203</v>
      </c>
      <c r="C262" s="41" t="s">
        <v>1445</v>
      </c>
      <c r="D262" s="41">
        <v>4</v>
      </c>
      <c r="E262" s="41">
        <f t="shared" si="16"/>
        <v>780</v>
      </c>
      <c r="F262" s="152" t="s">
        <v>615</v>
      </c>
      <c r="G262" s="60" t="s">
        <v>1451</v>
      </c>
      <c r="H262" s="42">
        <f>H255-E262</f>
        <v>2500</v>
      </c>
      <c r="I262" s="121" t="s">
        <v>22</v>
      </c>
      <c r="J262" s="42"/>
      <c r="K262" s="41">
        <v>260626006</v>
      </c>
      <c r="L262" s="41">
        <v>41</v>
      </c>
      <c r="M262" s="41">
        <f>L262-D262</f>
        <v>37</v>
      </c>
      <c r="N262" s="19">
        <v>46188</v>
      </c>
      <c r="O262" s="21">
        <f t="shared" si="17"/>
        <v>46552</v>
      </c>
    </row>
    <row r="263" spans="1:15" ht="20.149999999999999" hidden="1" customHeight="1" x14ac:dyDescent="0.25">
      <c r="A263" s="40">
        <v>46202</v>
      </c>
      <c r="B263" s="40">
        <v>46203</v>
      </c>
      <c r="C263" s="41" t="s">
        <v>1446</v>
      </c>
      <c r="D263" s="41">
        <v>4</v>
      </c>
      <c r="E263" s="41">
        <f t="shared" si="16"/>
        <v>780</v>
      </c>
      <c r="F263" s="152" t="s">
        <v>615</v>
      </c>
      <c r="G263" s="60" t="s">
        <v>97</v>
      </c>
      <c r="H263" s="42">
        <f>H262-E263</f>
        <v>1720</v>
      </c>
      <c r="I263" s="121" t="s">
        <v>22</v>
      </c>
      <c r="J263" s="42"/>
      <c r="K263" s="41">
        <v>260626006</v>
      </c>
      <c r="L263" s="41">
        <v>42</v>
      </c>
      <c r="M263" s="41">
        <f>L263-D263</f>
        <v>38</v>
      </c>
      <c r="N263" s="19">
        <v>46190</v>
      </c>
      <c r="O263" s="21">
        <f t="shared" si="17"/>
        <v>46554</v>
      </c>
    </row>
    <row r="264" spans="1:15" ht="20.149999999999999" hidden="1" customHeight="1" x14ac:dyDescent="0.25">
      <c r="A264" s="40">
        <v>46202</v>
      </c>
      <c r="B264" s="40">
        <v>46203</v>
      </c>
      <c r="C264" s="41" t="s">
        <v>1447</v>
      </c>
      <c r="D264" s="41">
        <v>4</v>
      </c>
      <c r="E264" s="41">
        <f t="shared" si="16"/>
        <v>780</v>
      </c>
      <c r="F264" s="152" t="s">
        <v>615</v>
      </c>
      <c r="G264" s="60" t="s">
        <v>97</v>
      </c>
      <c r="H264" s="42">
        <f>H263-E264</f>
        <v>940</v>
      </c>
      <c r="I264" s="121" t="s">
        <v>22</v>
      </c>
      <c r="J264" s="42"/>
      <c r="K264" s="41">
        <v>260626006</v>
      </c>
      <c r="L264" s="41">
        <v>41</v>
      </c>
      <c r="M264" s="41">
        <f>L264-D264</f>
        <v>37</v>
      </c>
      <c r="N264" s="19">
        <v>46192</v>
      </c>
      <c r="O264" s="21">
        <f t="shared" si="17"/>
        <v>46556</v>
      </c>
    </row>
    <row r="265" spans="1:15" ht="20.149999999999999" hidden="1" customHeight="1" x14ac:dyDescent="0.25">
      <c r="A265" s="33">
        <v>46202</v>
      </c>
      <c r="B265" s="33">
        <v>46203</v>
      </c>
      <c r="C265" s="34" t="s">
        <v>1448</v>
      </c>
      <c r="D265" s="34">
        <v>12</v>
      </c>
      <c r="E265" s="34">
        <f t="shared" si="16"/>
        <v>2340</v>
      </c>
      <c r="F265" s="34" t="s">
        <v>860</v>
      </c>
      <c r="G265" s="39" t="s">
        <v>1452</v>
      </c>
      <c r="H265" s="35">
        <f>H257-E265</f>
        <v>22980</v>
      </c>
      <c r="I265" s="35"/>
      <c r="J265" s="35"/>
      <c r="K265" s="34">
        <v>260626007</v>
      </c>
      <c r="L265" s="34"/>
      <c r="M265" s="34">
        <f>M259-D265</f>
        <v>19</v>
      </c>
      <c r="N265" s="19">
        <v>46141</v>
      </c>
      <c r="O265" s="21">
        <f t="shared" si="17"/>
        <v>46505</v>
      </c>
    </row>
    <row r="266" spans="1:15" ht="20.149999999999999" hidden="1" customHeight="1" x14ac:dyDescent="0.2">
      <c r="A266" s="26">
        <v>46203</v>
      </c>
      <c r="B266" s="26">
        <v>46203</v>
      </c>
      <c r="C266" s="27" t="s">
        <v>1023</v>
      </c>
      <c r="D266" s="27">
        <v>19</v>
      </c>
      <c r="E266" s="27">
        <f t="shared" si="16"/>
        <v>3705</v>
      </c>
      <c r="F266" s="36" t="s">
        <v>26</v>
      </c>
      <c r="G266" s="36" t="s">
        <v>1279</v>
      </c>
      <c r="H266" s="28">
        <f>H259-E266</f>
        <v>13455</v>
      </c>
      <c r="I266" s="28"/>
      <c r="J266" s="28"/>
      <c r="K266" s="27">
        <v>260629003</v>
      </c>
      <c r="L266" s="27"/>
      <c r="M266" s="27">
        <f>M265-D266</f>
        <v>0</v>
      </c>
      <c r="N266" s="19">
        <v>46141</v>
      </c>
      <c r="O266" s="21">
        <f t="shared" si="17"/>
        <v>46505</v>
      </c>
    </row>
    <row r="267" spans="1:15" ht="20.149999999999999" hidden="1" customHeight="1" x14ac:dyDescent="0.2">
      <c r="A267" s="26">
        <v>46203</v>
      </c>
      <c r="B267" s="26">
        <v>46203</v>
      </c>
      <c r="C267" s="27" t="s">
        <v>1464</v>
      </c>
      <c r="D267" s="27">
        <v>1</v>
      </c>
      <c r="E267" s="27">
        <f t="shared" si="16"/>
        <v>195</v>
      </c>
      <c r="F267" s="36" t="s">
        <v>26</v>
      </c>
      <c r="G267" s="36" t="s">
        <v>1457</v>
      </c>
      <c r="H267" s="28">
        <f>H266-E267</f>
        <v>13260</v>
      </c>
      <c r="I267" s="28"/>
      <c r="J267" s="28"/>
      <c r="K267" s="27">
        <v>260629003</v>
      </c>
      <c r="L267" s="27"/>
      <c r="M267" s="27">
        <f>M147-D267</f>
        <v>36</v>
      </c>
      <c r="N267" s="19">
        <v>46143</v>
      </c>
      <c r="O267" s="21">
        <f t="shared" si="17"/>
        <v>46507</v>
      </c>
    </row>
    <row r="268" spans="1:15" ht="20.149999999999999" hidden="1" customHeight="1" x14ac:dyDescent="0.25">
      <c r="A268" s="29">
        <v>46203</v>
      </c>
      <c r="B268" s="29">
        <v>46204</v>
      </c>
      <c r="C268" s="30" t="s">
        <v>1465</v>
      </c>
      <c r="D268" s="30">
        <v>16</v>
      </c>
      <c r="E268" s="30">
        <f t="shared" si="16"/>
        <v>3120</v>
      </c>
      <c r="F268" s="156" t="s">
        <v>618</v>
      </c>
      <c r="G268" s="37" t="s">
        <v>1467</v>
      </c>
      <c r="H268" s="32">
        <f>H261-E268</f>
        <v>30420</v>
      </c>
      <c r="I268" s="32"/>
      <c r="J268" s="32"/>
      <c r="K268" s="30">
        <v>260629004</v>
      </c>
      <c r="L268" s="30"/>
      <c r="M268" s="30">
        <f>M261-D268</f>
        <v>13</v>
      </c>
      <c r="N268" s="19">
        <v>46164</v>
      </c>
      <c r="O268" s="21">
        <f t="shared" si="17"/>
        <v>46528</v>
      </c>
    </row>
    <row r="269" spans="1:15" ht="20.149999999999999" hidden="1" customHeight="1" x14ac:dyDescent="0.25">
      <c r="A269" s="22">
        <v>46205</v>
      </c>
      <c r="B269" s="22">
        <v>46206</v>
      </c>
      <c r="C269" s="23" t="s">
        <v>1209</v>
      </c>
      <c r="D269" s="23">
        <v>4</v>
      </c>
      <c r="E269" s="23">
        <f t="shared" si="16"/>
        <v>780</v>
      </c>
      <c r="F269" s="154" t="s">
        <v>615</v>
      </c>
      <c r="G269" s="38" t="s">
        <v>97</v>
      </c>
      <c r="H269" s="25">
        <f>H264-E269</f>
        <v>160</v>
      </c>
      <c r="I269" s="25"/>
      <c r="J269" s="25"/>
      <c r="K269" s="23">
        <v>260701008</v>
      </c>
      <c r="L269" s="23"/>
      <c r="M269" s="23">
        <f>M268-D269</f>
        <v>9</v>
      </c>
      <c r="N269" s="19">
        <v>46164</v>
      </c>
      <c r="O269" s="21">
        <f t="shared" si="17"/>
        <v>46528</v>
      </c>
    </row>
    <row r="270" spans="1:15" ht="20.149999999999999" hidden="1" customHeight="1" x14ac:dyDescent="0.25">
      <c r="A270" s="22">
        <v>46205</v>
      </c>
      <c r="B270" s="22">
        <v>46206</v>
      </c>
      <c r="C270" s="23" t="s">
        <v>1209</v>
      </c>
      <c r="D270" s="23">
        <v>9</v>
      </c>
      <c r="E270" s="23">
        <f t="shared" si="16"/>
        <v>1755</v>
      </c>
      <c r="F270" s="154" t="s">
        <v>615</v>
      </c>
      <c r="G270" s="148" t="s">
        <v>1482</v>
      </c>
      <c r="H270" s="25">
        <f>11700-E270</f>
        <v>9945</v>
      </c>
      <c r="I270" s="25"/>
      <c r="J270" s="25"/>
      <c r="K270" s="23" t="s">
        <v>1481</v>
      </c>
      <c r="L270" s="23"/>
      <c r="M270" s="23">
        <f>M269-D270</f>
        <v>0</v>
      </c>
      <c r="N270" s="19">
        <v>46164</v>
      </c>
      <c r="O270" s="21">
        <f t="shared" si="17"/>
        <v>46528</v>
      </c>
    </row>
    <row r="271" spans="1:15" ht="20.149999999999999" hidden="1" customHeight="1" x14ac:dyDescent="0.25">
      <c r="A271" s="22">
        <v>46205</v>
      </c>
      <c r="B271" s="22">
        <v>46206</v>
      </c>
      <c r="C271" s="23" t="s">
        <v>1269</v>
      </c>
      <c r="D271" s="23">
        <v>3</v>
      </c>
      <c r="E271" s="23">
        <f t="shared" si="16"/>
        <v>585</v>
      </c>
      <c r="F271" s="154" t="s">
        <v>615</v>
      </c>
      <c r="G271" s="148" t="s">
        <v>1470</v>
      </c>
      <c r="H271" s="25">
        <f>H270-E271</f>
        <v>9360</v>
      </c>
      <c r="I271" s="25"/>
      <c r="J271" s="25"/>
      <c r="K271" s="23" t="s">
        <v>1481</v>
      </c>
      <c r="L271" s="23"/>
      <c r="M271" s="23">
        <f>M211-D271</f>
        <v>35</v>
      </c>
      <c r="N271" s="19">
        <v>46167</v>
      </c>
      <c r="O271" s="21">
        <f t="shared" si="17"/>
        <v>46531</v>
      </c>
    </row>
    <row r="272" spans="1:15" ht="20.149999999999999" hidden="1" customHeight="1" x14ac:dyDescent="0.25">
      <c r="A272" s="33">
        <v>46205</v>
      </c>
      <c r="B272" s="33">
        <v>46206</v>
      </c>
      <c r="C272" s="34" t="s">
        <v>1269</v>
      </c>
      <c r="D272" s="34">
        <v>16</v>
      </c>
      <c r="E272" s="34">
        <f t="shared" si="16"/>
        <v>3120</v>
      </c>
      <c r="F272" s="155" t="s">
        <v>618</v>
      </c>
      <c r="G272" s="39" t="s">
        <v>1483</v>
      </c>
      <c r="H272" s="35">
        <f>H268-E272</f>
        <v>27300</v>
      </c>
      <c r="I272" s="35"/>
      <c r="J272" s="35"/>
      <c r="K272" s="34">
        <v>260701009</v>
      </c>
      <c r="L272" s="34"/>
      <c r="M272" s="34">
        <f>M271-D272</f>
        <v>19</v>
      </c>
      <c r="N272" s="19">
        <v>46167</v>
      </c>
      <c r="O272" s="21">
        <f t="shared" si="17"/>
        <v>46531</v>
      </c>
    </row>
    <row r="273" spans="1:338" ht="20.149999999999999" hidden="1" customHeight="1" x14ac:dyDescent="0.25">
      <c r="A273" s="40">
        <v>46205</v>
      </c>
      <c r="B273" s="40">
        <v>46206</v>
      </c>
      <c r="C273" s="41" t="s">
        <v>1024</v>
      </c>
      <c r="D273" s="41">
        <v>8</v>
      </c>
      <c r="E273" s="41">
        <f t="shared" si="16"/>
        <v>1560</v>
      </c>
      <c r="F273" s="41" t="s">
        <v>860</v>
      </c>
      <c r="G273" s="60" t="s">
        <v>1484</v>
      </c>
      <c r="H273" s="42">
        <f>H265-E273</f>
        <v>21420</v>
      </c>
      <c r="I273" s="42"/>
      <c r="J273" s="42"/>
      <c r="K273" s="41">
        <v>260701010</v>
      </c>
      <c r="L273" s="41"/>
      <c r="M273" s="41">
        <f>M267-D273</f>
        <v>28</v>
      </c>
      <c r="N273" s="19">
        <v>46143</v>
      </c>
      <c r="O273" s="21">
        <f t="shared" si="17"/>
        <v>46507</v>
      </c>
    </row>
    <row r="274" spans="1:338" ht="20.149999999999999" hidden="1" customHeight="1" x14ac:dyDescent="0.2">
      <c r="A274" s="29">
        <v>46206</v>
      </c>
      <c r="B274" s="29">
        <v>46206</v>
      </c>
      <c r="C274" s="30" t="s">
        <v>1491</v>
      </c>
      <c r="D274" s="126">
        <v>20</v>
      </c>
      <c r="E274" s="30">
        <f t="shared" si="16"/>
        <v>3900</v>
      </c>
      <c r="F274" s="37" t="s">
        <v>26</v>
      </c>
      <c r="G274" s="37" t="s">
        <v>1492</v>
      </c>
      <c r="H274" s="32">
        <f>H267-E274</f>
        <v>9360</v>
      </c>
      <c r="I274" s="32"/>
      <c r="J274" s="32"/>
      <c r="K274" s="30">
        <v>260702008</v>
      </c>
      <c r="L274" s="30"/>
      <c r="M274" s="30">
        <f>M273-D274</f>
        <v>8</v>
      </c>
      <c r="N274" s="19">
        <v>46143</v>
      </c>
      <c r="O274" s="21">
        <f t="shared" si="17"/>
        <v>46507</v>
      </c>
    </row>
    <row r="275" spans="1:338" ht="20.149999999999999" hidden="1" customHeight="1" x14ac:dyDescent="0.25">
      <c r="A275" s="26">
        <v>46206</v>
      </c>
      <c r="B275" s="26">
        <v>46209</v>
      </c>
      <c r="C275" s="27" t="s">
        <v>1269</v>
      </c>
      <c r="D275" s="27">
        <v>11</v>
      </c>
      <c r="E275" s="27">
        <f t="shared" si="16"/>
        <v>2145</v>
      </c>
      <c r="F275" s="153" t="s">
        <v>618</v>
      </c>
      <c r="G275" s="36" t="s">
        <v>1490</v>
      </c>
      <c r="H275" s="28">
        <f>H272-E275</f>
        <v>25155</v>
      </c>
      <c r="I275" s="28"/>
      <c r="J275" s="28"/>
      <c r="K275" s="27">
        <v>260702009</v>
      </c>
      <c r="L275" s="27"/>
      <c r="M275" s="27">
        <f>M272-D275</f>
        <v>8</v>
      </c>
      <c r="N275" s="19">
        <v>46167</v>
      </c>
      <c r="O275" s="21">
        <f t="shared" si="17"/>
        <v>46531</v>
      </c>
    </row>
    <row r="276" spans="1:338" ht="20.149999999999999" hidden="1" customHeight="1" x14ac:dyDescent="0.25">
      <c r="A276" s="26">
        <v>46206</v>
      </c>
      <c r="B276" s="26">
        <v>46209</v>
      </c>
      <c r="C276" s="27" t="s">
        <v>1260</v>
      </c>
      <c r="D276" s="27">
        <v>5</v>
      </c>
      <c r="E276" s="27">
        <f t="shared" si="16"/>
        <v>975</v>
      </c>
      <c r="F276" s="153" t="s">
        <v>618</v>
      </c>
      <c r="G276" s="36" t="s">
        <v>1404</v>
      </c>
      <c r="H276" s="28">
        <f>H275-E276</f>
        <v>24180</v>
      </c>
      <c r="I276" s="28"/>
      <c r="J276" s="28"/>
      <c r="K276" s="27">
        <v>260702009</v>
      </c>
      <c r="L276" s="27"/>
      <c r="M276" s="27">
        <f>M212-D276</f>
        <v>32</v>
      </c>
      <c r="N276" s="19">
        <v>46169</v>
      </c>
      <c r="O276" s="21">
        <f t="shared" si="17"/>
        <v>46533</v>
      </c>
    </row>
    <row r="277" spans="1:338" ht="20.149999999999999" hidden="1" customHeight="1" x14ac:dyDescent="0.25">
      <c r="A277" s="33">
        <v>46209</v>
      </c>
      <c r="B277" s="33">
        <v>46210</v>
      </c>
      <c r="C277" s="34" t="s">
        <v>1508</v>
      </c>
      <c r="D277" s="34">
        <v>4</v>
      </c>
      <c r="E277" s="34">
        <f t="shared" si="16"/>
        <v>780</v>
      </c>
      <c r="F277" s="155" t="s">
        <v>615</v>
      </c>
      <c r="G277" s="39" t="s">
        <v>1517</v>
      </c>
      <c r="H277" s="35">
        <f>H271-E277</f>
        <v>8580</v>
      </c>
      <c r="I277" s="63" t="s">
        <v>22</v>
      </c>
      <c r="J277" s="35"/>
      <c r="K277" s="34">
        <v>260703017</v>
      </c>
      <c r="L277" s="34">
        <f>41-4</f>
        <v>37</v>
      </c>
      <c r="M277" s="34">
        <f>L277-D277</f>
        <v>33</v>
      </c>
      <c r="N277" s="19">
        <v>46195</v>
      </c>
      <c r="O277" s="21">
        <f t="shared" si="17"/>
        <v>46559</v>
      </c>
    </row>
    <row r="278" spans="1:338" ht="20.149999999999999" hidden="1" customHeight="1" x14ac:dyDescent="0.25">
      <c r="A278" s="33">
        <v>46209</v>
      </c>
      <c r="B278" s="33">
        <v>46210</v>
      </c>
      <c r="C278" s="34" t="s">
        <v>1509</v>
      </c>
      <c r="D278" s="34">
        <v>4</v>
      </c>
      <c r="E278" s="34">
        <f t="shared" si="16"/>
        <v>780</v>
      </c>
      <c r="F278" s="155" t="s">
        <v>615</v>
      </c>
      <c r="G278" s="39" t="s">
        <v>1496</v>
      </c>
      <c r="H278" s="35">
        <f>H277-E278</f>
        <v>7800</v>
      </c>
      <c r="I278" s="63" t="s">
        <v>22</v>
      </c>
      <c r="J278" s="35"/>
      <c r="K278" s="34">
        <v>260703017</v>
      </c>
      <c r="L278" s="34">
        <v>41</v>
      </c>
      <c r="M278" s="34">
        <f>L278-D278</f>
        <v>37</v>
      </c>
      <c r="N278" s="19">
        <v>46197</v>
      </c>
      <c r="O278" s="21">
        <f t="shared" si="17"/>
        <v>46561</v>
      </c>
    </row>
    <row r="279" spans="1:338" ht="20.149999999999999" hidden="1" customHeight="1" x14ac:dyDescent="0.25">
      <c r="A279" s="33">
        <v>46209</v>
      </c>
      <c r="B279" s="33">
        <v>46210</v>
      </c>
      <c r="C279" s="34" t="s">
        <v>1510</v>
      </c>
      <c r="D279" s="34">
        <v>4</v>
      </c>
      <c r="E279" s="34">
        <f t="shared" si="16"/>
        <v>780</v>
      </c>
      <c r="F279" s="155" t="s">
        <v>615</v>
      </c>
      <c r="G279" s="39" t="s">
        <v>1497</v>
      </c>
      <c r="H279" s="35">
        <f>H278-E279</f>
        <v>7020</v>
      </c>
      <c r="I279" s="63" t="s">
        <v>22</v>
      </c>
      <c r="J279" s="35"/>
      <c r="K279" s="34">
        <v>260703017</v>
      </c>
      <c r="L279" s="34">
        <v>42</v>
      </c>
      <c r="M279" s="34">
        <f>L279-D279</f>
        <v>38</v>
      </c>
      <c r="N279" s="19">
        <v>46199</v>
      </c>
      <c r="O279" s="21">
        <f t="shared" si="17"/>
        <v>46563</v>
      </c>
    </row>
    <row r="280" spans="1:338" ht="20.149999999999999" hidden="1" customHeight="1" x14ac:dyDescent="0.25">
      <c r="A280" s="22">
        <v>46209</v>
      </c>
      <c r="B280" s="22">
        <v>46210</v>
      </c>
      <c r="C280" s="23" t="s">
        <v>1511</v>
      </c>
      <c r="D280" s="23">
        <v>8</v>
      </c>
      <c r="E280" s="23">
        <f t="shared" si="16"/>
        <v>1560</v>
      </c>
      <c r="F280" s="23" t="s">
        <v>860</v>
      </c>
      <c r="G280" s="38" t="s">
        <v>1518</v>
      </c>
      <c r="H280" s="25">
        <f>H273-E280</f>
        <v>19860</v>
      </c>
      <c r="I280" s="25"/>
      <c r="J280" s="25"/>
      <c r="K280" s="23">
        <v>260703018</v>
      </c>
      <c r="L280" s="23"/>
      <c r="M280" s="23">
        <f>M274-D280</f>
        <v>0</v>
      </c>
      <c r="N280" s="19">
        <v>46143</v>
      </c>
      <c r="O280" s="21">
        <f t="shared" si="17"/>
        <v>46507</v>
      </c>
    </row>
    <row r="281" spans="1:338" ht="20.149999999999999" hidden="1" customHeight="1" x14ac:dyDescent="0.25">
      <c r="A281" s="22">
        <v>46209</v>
      </c>
      <c r="B281" s="22">
        <v>46210</v>
      </c>
      <c r="C281" s="81" t="s">
        <v>1061</v>
      </c>
      <c r="D281" s="23">
        <v>4</v>
      </c>
      <c r="E281" s="23">
        <f t="shared" si="16"/>
        <v>780</v>
      </c>
      <c r="F281" s="23" t="s">
        <v>860</v>
      </c>
      <c r="G281" s="38" t="s">
        <v>1498</v>
      </c>
      <c r="H281" s="25">
        <f>H280-E281</f>
        <v>19080</v>
      </c>
      <c r="I281" s="25"/>
      <c r="J281" s="25"/>
      <c r="K281" s="23">
        <v>260703018</v>
      </c>
      <c r="L281" s="23"/>
      <c r="M281" s="23">
        <f>M160-D281</f>
        <v>34</v>
      </c>
      <c r="N281" s="19">
        <v>46148</v>
      </c>
      <c r="O281" s="21">
        <f t="shared" si="17"/>
        <v>46512</v>
      </c>
    </row>
    <row r="282" spans="1:338" ht="20.149999999999999" hidden="1" customHeight="1" x14ac:dyDescent="0.2">
      <c r="A282" s="40">
        <v>46210</v>
      </c>
      <c r="B282" s="40">
        <v>46210</v>
      </c>
      <c r="C282" s="41" t="s">
        <v>1521</v>
      </c>
      <c r="D282" s="41">
        <v>20</v>
      </c>
      <c r="E282" s="41">
        <f t="shared" si="16"/>
        <v>3900</v>
      </c>
      <c r="F282" s="60" t="s">
        <v>26</v>
      </c>
      <c r="G282" s="60" t="s">
        <v>1524</v>
      </c>
      <c r="H282" s="42">
        <f>H274-E282</f>
        <v>5460</v>
      </c>
      <c r="I282" s="42"/>
      <c r="J282" s="42"/>
      <c r="K282" s="41">
        <v>260706003</v>
      </c>
      <c r="L282" s="41"/>
      <c r="M282" s="41">
        <f>M281-D282</f>
        <v>14</v>
      </c>
      <c r="N282" s="19">
        <v>46148</v>
      </c>
      <c r="O282" s="21">
        <f t="shared" si="17"/>
        <v>46512</v>
      </c>
    </row>
    <row r="283" spans="1:338" ht="20.149999999999999" hidden="1" customHeight="1" x14ac:dyDescent="0.25">
      <c r="A283" s="29">
        <v>46210</v>
      </c>
      <c r="B283" s="29">
        <v>46211</v>
      </c>
      <c r="C283" s="30" t="s">
        <v>1260</v>
      </c>
      <c r="D283" s="30">
        <v>16</v>
      </c>
      <c r="E283" s="30">
        <f t="shared" si="16"/>
        <v>3120</v>
      </c>
      <c r="F283" s="156" t="s">
        <v>618</v>
      </c>
      <c r="G283" s="37" t="s">
        <v>1362</v>
      </c>
      <c r="H283" s="32">
        <f>H276-E283</f>
        <v>21060</v>
      </c>
      <c r="I283" s="32"/>
      <c r="J283" s="32"/>
      <c r="K283" s="30">
        <v>260706004</v>
      </c>
      <c r="L283" s="30"/>
      <c r="M283" s="30">
        <f>M276-D283</f>
        <v>16</v>
      </c>
      <c r="N283" s="19">
        <v>46169</v>
      </c>
      <c r="O283" s="21">
        <f t="shared" si="17"/>
        <v>46533</v>
      </c>
    </row>
    <row r="284" spans="1:338" s="151" customFormat="1" ht="20.149999999999999" hidden="1" customHeight="1" x14ac:dyDescent="0.2">
      <c r="A284" s="90">
        <v>46212</v>
      </c>
      <c r="B284" s="90">
        <v>46212</v>
      </c>
      <c r="C284" s="91" t="s">
        <v>1061</v>
      </c>
      <c r="D284" s="91">
        <v>6</v>
      </c>
      <c r="E284" s="91">
        <f t="shared" si="16"/>
        <v>1170</v>
      </c>
      <c r="F284" s="92" t="s">
        <v>26</v>
      </c>
      <c r="G284" s="92" t="s">
        <v>1552</v>
      </c>
      <c r="H284" s="93">
        <f>H282-E284</f>
        <v>4290</v>
      </c>
      <c r="I284" s="93"/>
      <c r="J284" s="93"/>
      <c r="K284" s="91">
        <v>260709001</v>
      </c>
      <c r="L284" s="91"/>
      <c r="M284" s="91">
        <f>M282-D284</f>
        <v>8</v>
      </c>
      <c r="N284" s="150">
        <v>46148</v>
      </c>
      <c r="O284" s="21">
        <f t="shared" si="17"/>
        <v>46512</v>
      </c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50"/>
      <c r="BE284" s="50"/>
      <c r="BF284" s="50"/>
      <c r="BG284" s="50"/>
      <c r="BH284" s="50"/>
      <c r="BI284" s="50"/>
      <c r="BJ284" s="50"/>
      <c r="BK284" s="50"/>
      <c r="BL284" s="50"/>
      <c r="BM284" s="50"/>
      <c r="BN284" s="50"/>
      <c r="BO284" s="50"/>
      <c r="BP284" s="50"/>
      <c r="BQ284" s="50"/>
      <c r="BR284" s="50"/>
      <c r="BS284" s="50"/>
      <c r="BT284" s="50"/>
      <c r="BU284" s="50"/>
      <c r="BV284" s="50"/>
      <c r="BW284" s="50"/>
      <c r="BX284" s="50"/>
      <c r="BY284" s="50"/>
      <c r="BZ284" s="50"/>
      <c r="CA284" s="50"/>
      <c r="CB284" s="50"/>
      <c r="CC284" s="50"/>
      <c r="CD284" s="50"/>
      <c r="CE284" s="50"/>
      <c r="CF284" s="50"/>
      <c r="CG284" s="50"/>
      <c r="CH284" s="50"/>
      <c r="CI284" s="50"/>
      <c r="CJ284" s="50"/>
      <c r="CK284" s="50"/>
      <c r="CL284" s="50"/>
      <c r="CM284" s="50"/>
      <c r="CN284" s="50"/>
      <c r="CO284" s="50"/>
      <c r="CP284" s="50"/>
      <c r="CQ284" s="50"/>
      <c r="CR284" s="50"/>
      <c r="CS284" s="50"/>
      <c r="CT284" s="50"/>
      <c r="CU284" s="50"/>
      <c r="CV284" s="50"/>
      <c r="CW284" s="50"/>
      <c r="CX284" s="50"/>
      <c r="CY284" s="50"/>
      <c r="CZ284" s="50"/>
      <c r="DA284" s="50"/>
      <c r="DB284" s="50"/>
      <c r="DC284" s="50"/>
      <c r="DD284" s="50"/>
      <c r="DE284" s="50"/>
      <c r="DF284" s="50"/>
      <c r="DG284" s="50"/>
      <c r="DH284" s="50"/>
      <c r="DI284" s="50"/>
      <c r="DJ284" s="50"/>
      <c r="DK284" s="50"/>
      <c r="DL284" s="50"/>
      <c r="DM284" s="50"/>
      <c r="DN284" s="50"/>
      <c r="DO284" s="50"/>
      <c r="DP284" s="50"/>
      <c r="DQ284" s="50"/>
      <c r="DR284" s="50"/>
      <c r="DS284" s="50"/>
      <c r="DT284" s="50"/>
      <c r="DU284" s="50"/>
      <c r="DV284" s="50"/>
      <c r="DW284" s="50"/>
      <c r="DX284" s="50"/>
      <c r="DY284" s="50"/>
      <c r="DZ284" s="50"/>
      <c r="EA284" s="50"/>
      <c r="EB284" s="50"/>
      <c r="EC284" s="50"/>
      <c r="ED284" s="50"/>
      <c r="EE284" s="50"/>
      <c r="EF284" s="50"/>
      <c r="EG284" s="50"/>
      <c r="EH284" s="50"/>
      <c r="EI284" s="50"/>
      <c r="EJ284" s="50"/>
      <c r="EK284" s="50"/>
      <c r="EL284" s="50"/>
      <c r="EM284" s="50"/>
      <c r="EN284" s="50"/>
      <c r="EO284" s="50"/>
      <c r="EP284" s="50"/>
      <c r="EQ284" s="50"/>
      <c r="ER284" s="50"/>
      <c r="ES284" s="50"/>
      <c r="ET284" s="50"/>
      <c r="EU284" s="50"/>
      <c r="EV284" s="50"/>
      <c r="EW284" s="50"/>
      <c r="EX284" s="50"/>
      <c r="EY284" s="50"/>
      <c r="EZ284" s="50"/>
      <c r="FA284" s="50"/>
      <c r="FB284" s="50"/>
      <c r="FC284" s="50"/>
      <c r="FD284" s="50"/>
      <c r="FE284" s="50"/>
      <c r="FF284" s="50"/>
      <c r="FG284" s="50"/>
      <c r="FH284" s="50"/>
      <c r="FI284" s="50"/>
      <c r="FJ284" s="50"/>
      <c r="FK284" s="50"/>
      <c r="FL284" s="50"/>
      <c r="FM284" s="50"/>
      <c r="FN284" s="50"/>
      <c r="FO284" s="50"/>
      <c r="FP284" s="50"/>
      <c r="FQ284" s="50"/>
      <c r="FR284" s="50"/>
      <c r="FS284" s="50"/>
      <c r="FT284" s="50"/>
      <c r="FU284" s="50"/>
      <c r="FV284" s="50"/>
      <c r="FW284" s="50"/>
      <c r="FX284" s="50"/>
      <c r="FY284" s="50"/>
      <c r="FZ284" s="50"/>
      <c r="GA284" s="50"/>
      <c r="GB284" s="50"/>
      <c r="GC284" s="50"/>
      <c r="GD284" s="50"/>
      <c r="GE284" s="50"/>
      <c r="GF284" s="50"/>
      <c r="GG284" s="50"/>
      <c r="GH284" s="50"/>
      <c r="GI284" s="50"/>
      <c r="GJ284" s="50"/>
      <c r="GK284" s="50"/>
      <c r="GL284" s="50"/>
      <c r="GM284" s="50"/>
      <c r="GN284" s="50"/>
      <c r="GO284" s="50"/>
      <c r="GP284" s="50"/>
      <c r="GQ284" s="50"/>
      <c r="GR284" s="50"/>
      <c r="GS284" s="50"/>
      <c r="GT284" s="50"/>
      <c r="GU284" s="50"/>
      <c r="GV284" s="50"/>
      <c r="GW284" s="50"/>
      <c r="GX284" s="50"/>
      <c r="GY284" s="50"/>
      <c r="GZ284" s="50"/>
      <c r="HA284" s="50"/>
      <c r="HB284" s="50"/>
      <c r="HC284" s="50"/>
      <c r="HD284" s="50"/>
      <c r="HE284" s="50"/>
      <c r="HF284" s="50"/>
      <c r="HG284" s="50"/>
      <c r="HH284" s="50"/>
      <c r="HI284" s="50"/>
      <c r="HJ284" s="50"/>
      <c r="HK284" s="50"/>
      <c r="HL284" s="50"/>
      <c r="HM284" s="50"/>
      <c r="HN284" s="50"/>
      <c r="HO284" s="50"/>
      <c r="HP284" s="50"/>
      <c r="HQ284" s="50"/>
      <c r="HR284" s="50"/>
      <c r="HS284" s="50"/>
      <c r="HT284" s="50"/>
      <c r="HU284" s="50"/>
      <c r="HV284" s="50"/>
      <c r="HW284" s="50"/>
      <c r="HX284" s="50"/>
      <c r="HY284" s="50"/>
      <c r="HZ284" s="50"/>
      <c r="IA284" s="50"/>
      <c r="IB284" s="50"/>
      <c r="IC284" s="50"/>
      <c r="ID284" s="50"/>
      <c r="IE284" s="50"/>
      <c r="IF284" s="50"/>
      <c r="IG284" s="50"/>
      <c r="IH284" s="50"/>
      <c r="II284" s="50"/>
      <c r="IJ284" s="50"/>
      <c r="IK284" s="50"/>
      <c r="IL284" s="50"/>
      <c r="IM284" s="50"/>
      <c r="IN284" s="50"/>
      <c r="IO284" s="50"/>
      <c r="IP284" s="50"/>
      <c r="IQ284" s="50"/>
      <c r="IR284" s="50"/>
      <c r="IS284" s="50"/>
      <c r="IT284" s="50"/>
      <c r="IU284" s="50"/>
      <c r="IV284" s="50"/>
      <c r="IW284" s="50"/>
      <c r="IX284" s="50"/>
      <c r="IY284" s="50"/>
      <c r="IZ284" s="50"/>
      <c r="JA284" s="50"/>
      <c r="JB284" s="50"/>
      <c r="JC284" s="50"/>
      <c r="JD284" s="50"/>
      <c r="JE284" s="50"/>
      <c r="JF284" s="50"/>
      <c r="JG284" s="50"/>
      <c r="JH284" s="50"/>
      <c r="JI284" s="50"/>
      <c r="JJ284" s="50"/>
      <c r="JK284" s="50"/>
      <c r="JL284" s="50"/>
      <c r="JM284" s="50"/>
      <c r="JN284" s="50"/>
      <c r="JO284" s="50"/>
      <c r="JP284" s="50"/>
      <c r="JQ284" s="50"/>
      <c r="JR284" s="50"/>
      <c r="JS284" s="50"/>
      <c r="JT284" s="50"/>
      <c r="JU284" s="50"/>
      <c r="JV284" s="50"/>
      <c r="JW284" s="50"/>
      <c r="JX284" s="50"/>
      <c r="JY284" s="50"/>
      <c r="JZ284" s="50"/>
      <c r="KA284" s="50"/>
      <c r="KB284" s="50"/>
      <c r="KC284" s="50"/>
      <c r="KD284" s="50"/>
      <c r="KE284" s="50"/>
      <c r="KF284" s="50"/>
      <c r="KG284" s="50"/>
      <c r="KH284" s="50"/>
      <c r="KI284" s="50"/>
      <c r="KJ284" s="50"/>
      <c r="KK284" s="50"/>
      <c r="KL284" s="50"/>
      <c r="KM284" s="50"/>
      <c r="KN284" s="50"/>
      <c r="KO284" s="50"/>
      <c r="KP284" s="50"/>
      <c r="KQ284" s="50"/>
      <c r="KR284" s="50"/>
      <c r="KS284" s="50"/>
      <c r="KT284" s="50"/>
      <c r="KU284" s="50"/>
      <c r="KV284" s="50"/>
      <c r="KW284" s="50"/>
      <c r="KX284" s="50"/>
      <c r="KY284" s="50"/>
      <c r="KZ284" s="50"/>
      <c r="LA284" s="50"/>
      <c r="LB284" s="50"/>
      <c r="LC284" s="50"/>
      <c r="LD284" s="50"/>
      <c r="LE284" s="50"/>
      <c r="LF284" s="50"/>
      <c r="LG284" s="50"/>
      <c r="LH284" s="50"/>
      <c r="LI284" s="50"/>
      <c r="LJ284" s="50"/>
      <c r="LK284" s="50"/>
      <c r="LL284" s="50"/>
      <c r="LM284" s="50"/>
      <c r="LN284" s="50"/>
      <c r="LO284" s="50"/>
      <c r="LP284" s="50"/>
      <c r="LQ284" s="50"/>
      <c r="LR284" s="50"/>
      <c r="LS284" s="50"/>
      <c r="LT284" s="50"/>
      <c r="LU284" s="50"/>
      <c r="LV284" s="50"/>
      <c r="LW284" s="50"/>
      <c r="LX284" s="50"/>
      <c r="LY284" s="50"/>
      <c r="LZ284" s="50"/>
    </row>
    <row r="285" spans="1:338" s="151" customFormat="1" ht="20.149999999999999" hidden="1" customHeight="1" x14ac:dyDescent="0.2">
      <c r="A285" s="90">
        <v>46212</v>
      </c>
      <c r="B285" s="90">
        <v>46212</v>
      </c>
      <c r="C285" s="91" t="s">
        <v>1551</v>
      </c>
      <c r="D285" s="91">
        <v>6</v>
      </c>
      <c r="E285" s="91">
        <f t="shared" si="16"/>
        <v>1170</v>
      </c>
      <c r="F285" s="92" t="s">
        <v>26</v>
      </c>
      <c r="G285" s="92" t="s">
        <v>1279</v>
      </c>
      <c r="H285" s="93">
        <f>H284-E285</f>
        <v>3120</v>
      </c>
      <c r="I285" s="93"/>
      <c r="J285" s="93"/>
      <c r="K285" s="91">
        <v>260709001</v>
      </c>
      <c r="L285" s="91"/>
      <c r="M285" s="91">
        <f>M161-D285</f>
        <v>31</v>
      </c>
      <c r="N285" s="150">
        <v>46150</v>
      </c>
      <c r="O285" s="21">
        <f t="shared" si="17"/>
        <v>46514</v>
      </c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50"/>
      <c r="BE285" s="50"/>
      <c r="BF285" s="50"/>
      <c r="BG285" s="50"/>
      <c r="BH285" s="50"/>
      <c r="BI285" s="50"/>
      <c r="BJ285" s="50"/>
      <c r="BK285" s="50"/>
      <c r="BL285" s="50"/>
      <c r="BM285" s="50"/>
      <c r="BN285" s="50"/>
      <c r="BO285" s="50"/>
      <c r="BP285" s="50"/>
      <c r="BQ285" s="50"/>
      <c r="BR285" s="50"/>
      <c r="BS285" s="50"/>
      <c r="BT285" s="50"/>
      <c r="BU285" s="50"/>
      <c r="BV285" s="50"/>
      <c r="BW285" s="50"/>
      <c r="BX285" s="50"/>
      <c r="BY285" s="50"/>
      <c r="BZ285" s="50"/>
      <c r="CA285" s="50"/>
      <c r="CB285" s="50"/>
      <c r="CC285" s="50"/>
      <c r="CD285" s="50"/>
      <c r="CE285" s="50"/>
      <c r="CF285" s="50"/>
      <c r="CG285" s="50"/>
      <c r="CH285" s="50"/>
      <c r="CI285" s="50"/>
      <c r="CJ285" s="50"/>
      <c r="CK285" s="50"/>
      <c r="CL285" s="50"/>
      <c r="CM285" s="50"/>
      <c r="CN285" s="50"/>
      <c r="CO285" s="50"/>
      <c r="CP285" s="50"/>
      <c r="CQ285" s="50"/>
      <c r="CR285" s="50"/>
      <c r="CS285" s="50"/>
      <c r="CT285" s="50"/>
      <c r="CU285" s="50"/>
      <c r="CV285" s="50"/>
      <c r="CW285" s="50"/>
      <c r="CX285" s="50"/>
      <c r="CY285" s="50"/>
      <c r="CZ285" s="50"/>
      <c r="DA285" s="50"/>
      <c r="DB285" s="50"/>
      <c r="DC285" s="50"/>
      <c r="DD285" s="50"/>
      <c r="DE285" s="50"/>
      <c r="DF285" s="50"/>
      <c r="DG285" s="50"/>
      <c r="DH285" s="50"/>
      <c r="DI285" s="50"/>
      <c r="DJ285" s="50"/>
      <c r="DK285" s="50"/>
      <c r="DL285" s="50"/>
      <c r="DM285" s="50"/>
      <c r="DN285" s="50"/>
      <c r="DO285" s="50"/>
      <c r="DP285" s="50"/>
      <c r="DQ285" s="50"/>
      <c r="DR285" s="50"/>
      <c r="DS285" s="50"/>
      <c r="DT285" s="50"/>
      <c r="DU285" s="50"/>
      <c r="DV285" s="50"/>
      <c r="DW285" s="50"/>
      <c r="DX285" s="50"/>
      <c r="DY285" s="50"/>
      <c r="DZ285" s="50"/>
      <c r="EA285" s="50"/>
      <c r="EB285" s="50"/>
      <c r="EC285" s="50"/>
      <c r="ED285" s="50"/>
      <c r="EE285" s="50"/>
      <c r="EF285" s="50"/>
      <c r="EG285" s="50"/>
      <c r="EH285" s="50"/>
      <c r="EI285" s="50"/>
      <c r="EJ285" s="50"/>
      <c r="EK285" s="50"/>
      <c r="EL285" s="50"/>
      <c r="EM285" s="50"/>
      <c r="EN285" s="50"/>
      <c r="EO285" s="50"/>
      <c r="EP285" s="50"/>
      <c r="EQ285" s="50"/>
      <c r="ER285" s="50"/>
      <c r="ES285" s="50"/>
      <c r="ET285" s="50"/>
      <c r="EU285" s="50"/>
      <c r="EV285" s="50"/>
      <c r="EW285" s="50"/>
      <c r="EX285" s="50"/>
      <c r="EY285" s="50"/>
      <c r="EZ285" s="50"/>
      <c r="FA285" s="50"/>
      <c r="FB285" s="50"/>
      <c r="FC285" s="50"/>
      <c r="FD285" s="50"/>
      <c r="FE285" s="50"/>
      <c r="FF285" s="50"/>
      <c r="FG285" s="50"/>
      <c r="FH285" s="50"/>
      <c r="FI285" s="50"/>
      <c r="FJ285" s="50"/>
      <c r="FK285" s="50"/>
      <c r="FL285" s="50"/>
      <c r="FM285" s="50"/>
      <c r="FN285" s="50"/>
      <c r="FO285" s="50"/>
      <c r="FP285" s="50"/>
      <c r="FQ285" s="50"/>
      <c r="FR285" s="50"/>
      <c r="FS285" s="50"/>
      <c r="FT285" s="50"/>
      <c r="FU285" s="50"/>
      <c r="FV285" s="50"/>
      <c r="FW285" s="50"/>
      <c r="FX285" s="50"/>
      <c r="FY285" s="50"/>
      <c r="FZ285" s="50"/>
      <c r="GA285" s="50"/>
      <c r="GB285" s="50"/>
      <c r="GC285" s="50"/>
      <c r="GD285" s="50"/>
      <c r="GE285" s="50"/>
      <c r="GF285" s="50"/>
      <c r="GG285" s="50"/>
      <c r="GH285" s="50"/>
      <c r="GI285" s="50"/>
      <c r="GJ285" s="50"/>
      <c r="GK285" s="50"/>
      <c r="GL285" s="50"/>
      <c r="GM285" s="50"/>
      <c r="GN285" s="50"/>
      <c r="GO285" s="50"/>
      <c r="GP285" s="50"/>
      <c r="GQ285" s="50"/>
      <c r="GR285" s="50"/>
      <c r="GS285" s="50"/>
      <c r="GT285" s="50"/>
      <c r="GU285" s="50"/>
      <c r="GV285" s="50"/>
      <c r="GW285" s="50"/>
      <c r="GX285" s="50"/>
      <c r="GY285" s="50"/>
      <c r="GZ285" s="50"/>
      <c r="HA285" s="50"/>
      <c r="HB285" s="50"/>
      <c r="HC285" s="50"/>
      <c r="HD285" s="50"/>
      <c r="HE285" s="50"/>
      <c r="HF285" s="50"/>
      <c r="HG285" s="50"/>
      <c r="HH285" s="50"/>
      <c r="HI285" s="50"/>
      <c r="HJ285" s="50"/>
      <c r="HK285" s="50"/>
      <c r="HL285" s="50"/>
      <c r="HM285" s="50"/>
      <c r="HN285" s="50"/>
      <c r="HO285" s="50"/>
      <c r="HP285" s="50"/>
      <c r="HQ285" s="50"/>
      <c r="HR285" s="50"/>
      <c r="HS285" s="50"/>
      <c r="HT285" s="50"/>
      <c r="HU285" s="50"/>
      <c r="HV285" s="50"/>
      <c r="HW285" s="50"/>
      <c r="HX285" s="50"/>
      <c r="HY285" s="50"/>
      <c r="HZ285" s="50"/>
      <c r="IA285" s="50"/>
      <c r="IB285" s="50"/>
      <c r="IC285" s="50"/>
      <c r="ID285" s="50"/>
      <c r="IE285" s="50"/>
      <c r="IF285" s="50"/>
      <c r="IG285" s="50"/>
      <c r="IH285" s="50"/>
      <c r="II285" s="50"/>
      <c r="IJ285" s="50"/>
      <c r="IK285" s="50"/>
      <c r="IL285" s="50"/>
      <c r="IM285" s="50"/>
      <c r="IN285" s="50"/>
      <c r="IO285" s="50"/>
      <c r="IP285" s="50"/>
      <c r="IQ285" s="50"/>
      <c r="IR285" s="50"/>
      <c r="IS285" s="50"/>
      <c r="IT285" s="50"/>
      <c r="IU285" s="50"/>
      <c r="IV285" s="50"/>
      <c r="IW285" s="50"/>
      <c r="IX285" s="50"/>
      <c r="IY285" s="50"/>
      <c r="IZ285" s="50"/>
      <c r="JA285" s="50"/>
      <c r="JB285" s="50"/>
      <c r="JC285" s="50"/>
      <c r="JD285" s="50"/>
      <c r="JE285" s="50"/>
      <c r="JF285" s="50"/>
      <c r="JG285" s="50"/>
      <c r="JH285" s="50"/>
      <c r="JI285" s="50"/>
      <c r="JJ285" s="50"/>
      <c r="JK285" s="50"/>
      <c r="JL285" s="50"/>
      <c r="JM285" s="50"/>
      <c r="JN285" s="50"/>
      <c r="JO285" s="50"/>
      <c r="JP285" s="50"/>
      <c r="JQ285" s="50"/>
      <c r="JR285" s="50"/>
      <c r="JS285" s="50"/>
      <c r="JT285" s="50"/>
      <c r="JU285" s="50"/>
      <c r="JV285" s="50"/>
      <c r="JW285" s="50"/>
      <c r="JX285" s="50"/>
      <c r="JY285" s="50"/>
      <c r="JZ285" s="50"/>
      <c r="KA285" s="50"/>
      <c r="KB285" s="50"/>
      <c r="KC285" s="50"/>
      <c r="KD285" s="50"/>
      <c r="KE285" s="50"/>
      <c r="KF285" s="50"/>
      <c r="KG285" s="50"/>
      <c r="KH285" s="50"/>
      <c r="KI285" s="50"/>
      <c r="KJ285" s="50"/>
      <c r="KK285" s="50"/>
      <c r="KL285" s="50"/>
      <c r="KM285" s="50"/>
      <c r="KN285" s="50"/>
      <c r="KO285" s="50"/>
      <c r="KP285" s="50"/>
      <c r="KQ285" s="50"/>
      <c r="KR285" s="50"/>
      <c r="KS285" s="50"/>
      <c r="KT285" s="50"/>
      <c r="KU285" s="50"/>
      <c r="KV285" s="50"/>
      <c r="KW285" s="50"/>
      <c r="KX285" s="50"/>
      <c r="KY285" s="50"/>
      <c r="KZ285" s="50"/>
      <c r="LA285" s="50"/>
      <c r="LB285" s="50"/>
      <c r="LC285" s="50"/>
      <c r="LD285" s="50"/>
      <c r="LE285" s="50"/>
      <c r="LF285" s="50"/>
      <c r="LG285" s="50"/>
      <c r="LH285" s="50"/>
      <c r="LI285" s="50"/>
      <c r="LJ285" s="50"/>
      <c r="LK285" s="50"/>
      <c r="LL285" s="50"/>
      <c r="LM285" s="50"/>
      <c r="LN285" s="50"/>
      <c r="LO285" s="50"/>
      <c r="LP285" s="50"/>
      <c r="LQ285" s="50"/>
      <c r="LR285" s="50"/>
      <c r="LS285" s="50"/>
      <c r="LT285" s="50"/>
      <c r="LU285" s="50"/>
      <c r="LV285" s="50"/>
      <c r="LW285" s="50"/>
      <c r="LX285" s="50"/>
      <c r="LY285" s="50"/>
      <c r="LZ285" s="50"/>
    </row>
    <row r="286" spans="1:338" ht="20.149999999999999" hidden="1" customHeight="1" x14ac:dyDescent="0.25">
      <c r="A286" s="26">
        <v>46212</v>
      </c>
      <c r="B286" s="26">
        <v>46213</v>
      </c>
      <c r="C286" s="27" t="s">
        <v>1269</v>
      </c>
      <c r="D286" s="27">
        <v>8</v>
      </c>
      <c r="E286" s="27">
        <f t="shared" si="16"/>
        <v>1560</v>
      </c>
      <c r="F286" s="153" t="s">
        <v>615</v>
      </c>
      <c r="G286" s="36" t="s">
        <v>1547</v>
      </c>
      <c r="H286" s="28">
        <f>H279-E286</f>
        <v>5460</v>
      </c>
      <c r="I286" s="28"/>
      <c r="J286" s="28"/>
      <c r="K286" s="27">
        <v>260708009</v>
      </c>
      <c r="L286" s="27"/>
      <c r="M286" s="27">
        <f>M275-D286</f>
        <v>0</v>
      </c>
      <c r="N286" s="19">
        <v>46167</v>
      </c>
      <c r="O286" s="21">
        <f t="shared" si="17"/>
        <v>46531</v>
      </c>
    </row>
    <row r="287" spans="1:338" ht="20.149999999999999" hidden="1" customHeight="1" x14ac:dyDescent="0.25">
      <c r="A287" s="26">
        <v>46212</v>
      </c>
      <c r="B287" s="26">
        <v>46213</v>
      </c>
      <c r="C287" s="27" t="s">
        <v>1538</v>
      </c>
      <c r="D287" s="27">
        <v>8</v>
      </c>
      <c r="E287" s="27">
        <f t="shared" si="16"/>
        <v>1560</v>
      </c>
      <c r="F287" s="153" t="s">
        <v>615</v>
      </c>
      <c r="G287" s="36" t="s">
        <v>1470</v>
      </c>
      <c r="H287" s="28">
        <f>H286-E287</f>
        <v>3900</v>
      </c>
      <c r="I287" s="28"/>
      <c r="J287" s="28"/>
      <c r="K287" s="27">
        <v>260708009</v>
      </c>
      <c r="L287" s="27"/>
      <c r="M287" s="27">
        <f>M283-D287</f>
        <v>8</v>
      </c>
      <c r="N287" s="19">
        <v>46169</v>
      </c>
      <c r="O287" s="21">
        <f t="shared" si="17"/>
        <v>46533</v>
      </c>
    </row>
    <row r="288" spans="1:338" ht="20.149999999999999" hidden="1" customHeight="1" x14ac:dyDescent="0.25">
      <c r="A288" s="22">
        <v>46212</v>
      </c>
      <c r="B288" s="22">
        <v>46213</v>
      </c>
      <c r="C288" s="23" t="s">
        <v>1539</v>
      </c>
      <c r="D288" s="23">
        <v>8</v>
      </c>
      <c r="E288" s="23">
        <f t="shared" si="16"/>
        <v>1560</v>
      </c>
      <c r="F288" s="154" t="s">
        <v>618</v>
      </c>
      <c r="G288" s="38" t="s">
        <v>1362</v>
      </c>
      <c r="H288" s="25">
        <f>H283-E288</f>
        <v>19500</v>
      </c>
      <c r="I288" s="25"/>
      <c r="J288" s="25"/>
      <c r="K288" s="23">
        <v>260708010</v>
      </c>
      <c r="L288" s="23"/>
      <c r="M288" s="23">
        <f>M287-D288</f>
        <v>0</v>
      </c>
      <c r="N288" s="19">
        <v>46169</v>
      </c>
      <c r="O288" s="21">
        <f t="shared" si="17"/>
        <v>46533</v>
      </c>
    </row>
    <row r="289" spans="1:15" ht="20.149999999999999" hidden="1" customHeight="1" x14ac:dyDescent="0.25">
      <c r="A289" s="22">
        <v>46212</v>
      </c>
      <c r="B289" s="22">
        <v>46213</v>
      </c>
      <c r="C289" s="23" t="s">
        <v>1540</v>
      </c>
      <c r="D289" s="23">
        <v>12</v>
      </c>
      <c r="E289" s="23">
        <f t="shared" si="16"/>
        <v>2340</v>
      </c>
      <c r="F289" s="154" t="s">
        <v>618</v>
      </c>
      <c r="G289" s="38" t="s">
        <v>1362</v>
      </c>
      <c r="H289" s="25">
        <f>H288-E289</f>
        <v>17160</v>
      </c>
      <c r="I289" s="25"/>
      <c r="J289" s="25"/>
      <c r="K289" s="23">
        <v>260708010</v>
      </c>
      <c r="L289" s="23"/>
      <c r="M289" s="23">
        <f>M213-D289</f>
        <v>25</v>
      </c>
      <c r="N289" s="19">
        <v>46171</v>
      </c>
      <c r="O289" s="21">
        <f t="shared" si="17"/>
        <v>46535</v>
      </c>
    </row>
    <row r="290" spans="1:15" ht="20.149999999999999" hidden="1" customHeight="1" x14ac:dyDescent="0.25">
      <c r="A290" s="33">
        <v>46212</v>
      </c>
      <c r="B290" s="33">
        <v>46213</v>
      </c>
      <c r="C290" s="34" t="s">
        <v>1061</v>
      </c>
      <c r="D290" s="34">
        <v>8</v>
      </c>
      <c r="E290" s="34">
        <f t="shared" si="16"/>
        <v>1560</v>
      </c>
      <c r="F290" s="34" t="s">
        <v>860</v>
      </c>
      <c r="G290" s="39" t="s">
        <v>1548</v>
      </c>
      <c r="H290" s="35">
        <f>H281-E290</f>
        <v>17520</v>
      </c>
      <c r="I290" s="35"/>
      <c r="J290" s="35"/>
      <c r="K290" s="34">
        <v>260708011</v>
      </c>
      <c r="L290" s="34"/>
      <c r="M290" s="34">
        <f>M284-D290</f>
        <v>0</v>
      </c>
      <c r="N290" s="19">
        <v>46148</v>
      </c>
      <c r="O290" s="21">
        <f t="shared" si="17"/>
        <v>46512</v>
      </c>
    </row>
    <row r="291" spans="1:15" ht="20.149999999999999" hidden="1" customHeight="1" x14ac:dyDescent="0.25">
      <c r="A291" s="40">
        <v>46213</v>
      </c>
      <c r="B291" s="40">
        <v>46216</v>
      </c>
      <c r="C291" s="41" t="s">
        <v>1261</v>
      </c>
      <c r="D291" s="41">
        <v>16</v>
      </c>
      <c r="E291" s="41">
        <f t="shared" si="16"/>
        <v>3120</v>
      </c>
      <c r="F291" s="152" t="s">
        <v>618</v>
      </c>
      <c r="G291" s="60" t="s">
        <v>1554</v>
      </c>
      <c r="H291" s="42">
        <f>H289-E291</f>
        <v>14040</v>
      </c>
      <c r="I291" s="42"/>
      <c r="J291" s="42"/>
      <c r="K291" s="41">
        <v>260709003</v>
      </c>
      <c r="L291" s="41"/>
      <c r="M291" s="41">
        <f>M289-D291</f>
        <v>9</v>
      </c>
      <c r="N291" s="19">
        <v>46171</v>
      </c>
      <c r="O291" s="21">
        <f t="shared" si="17"/>
        <v>46535</v>
      </c>
    </row>
    <row r="292" spans="1:15" ht="20.149999999999999" hidden="1" customHeight="1" x14ac:dyDescent="0.2">
      <c r="A292" s="26">
        <v>46216</v>
      </c>
      <c r="B292" s="26">
        <v>46216</v>
      </c>
      <c r="C292" s="27" t="s">
        <v>1044</v>
      </c>
      <c r="D292" s="27">
        <v>8</v>
      </c>
      <c r="E292" s="27">
        <f t="shared" si="16"/>
        <v>1560</v>
      </c>
      <c r="F292" s="36" t="s">
        <v>26</v>
      </c>
      <c r="G292" s="36" t="s">
        <v>1565</v>
      </c>
      <c r="H292" s="28">
        <f>H285-E292</f>
        <v>1560</v>
      </c>
      <c r="I292" s="28"/>
      <c r="J292" s="28"/>
      <c r="K292" s="27">
        <v>260710008</v>
      </c>
      <c r="L292" s="27"/>
      <c r="M292" s="27">
        <f>M285-D292</f>
        <v>23</v>
      </c>
      <c r="N292" s="19">
        <v>46150</v>
      </c>
      <c r="O292" s="21">
        <f t="shared" si="17"/>
        <v>46514</v>
      </c>
    </row>
    <row r="293" spans="1:15" ht="20.149999999999999" hidden="1" customHeight="1" x14ac:dyDescent="0.25">
      <c r="A293" s="29">
        <v>46216</v>
      </c>
      <c r="B293" s="29">
        <v>46217</v>
      </c>
      <c r="C293" s="30" t="s">
        <v>1261</v>
      </c>
      <c r="D293" s="30">
        <v>9</v>
      </c>
      <c r="E293" s="30">
        <f t="shared" si="16"/>
        <v>1755</v>
      </c>
      <c r="F293" s="156" t="s">
        <v>615</v>
      </c>
      <c r="G293" s="37" t="s">
        <v>1566</v>
      </c>
      <c r="H293" s="32">
        <f>H287-E293</f>
        <v>2145</v>
      </c>
      <c r="I293" s="32"/>
      <c r="J293" s="32"/>
      <c r="K293" s="30">
        <v>260710009</v>
      </c>
      <c r="L293" s="30"/>
      <c r="M293" s="30">
        <f>M291-D293</f>
        <v>0</v>
      </c>
      <c r="N293" s="19">
        <v>46171</v>
      </c>
      <c r="O293" s="21">
        <f t="shared" si="17"/>
        <v>46535</v>
      </c>
    </row>
    <row r="294" spans="1:15" ht="20.149999999999999" hidden="1" customHeight="1" x14ac:dyDescent="0.25">
      <c r="A294" s="29">
        <v>46216</v>
      </c>
      <c r="B294" s="29">
        <v>46217</v>
      </c>
      <c r="C294" s="30" t="s">
        <v>1561</v>
      </c>
      <c r="D294" s="30">
        <v>3</v>
      </c>
      <c r="E294" s="30">
        <f t="shared" si="16"/>
        <v>585</v>
      </c>
      <c r="F294" s="156" t="s">
        <v>615</v>
      </c>
      <c r="G294" s="37" t="s">
        <v>1470</v>
      </c>
      <c r="H294" s="32">
        <f>H293-E294</f>
        <v>1560</v>
      </c>
      <c r="I294" s="32"/>
      <c r="J294" s="32"/>
      <c r="K294" s="30">
        <v>260710009</v>
      </c>
      <c r="L294" s="30"/>
      <c r="M294" s="30">
        <f>M227-D294</f>
        <v>35</v>
      </c>
      <c r="N294" s="19">
        <v>46174</v>
      </c>
      <c r="O294" s="21">
        <f t="shared" si="17"/>
        <v>46538</v>
      </c>
    </row>
    <row r="295" spans="1:15" ht="20.149999999999999" hidden="1" customHeight="1" x14ac:dyDescent="0.25">
      <c r="A295" s="22">
        <v>46216</v>
      </c>
      <c r="B295" s="22">
        <v>46217</v>
      </c>
      <c r="C295" s="23" t="s">
        <v>1562</v>
      </c>
      <c r="D295" s="23">
        <v>12</v>
      </c>
      <c r="E295" s="23">
        <f t="shared" si="16"/>
        <v>2340</v>
      </c>
      <c r="F295" s="23" t="s">
        <v>860</v>
      </c>
      <c r="G295" s="38" t="s">
        <v>1567</v>
      </c>
      <c r="H295" s="25">
        <f>H290-E295</f>
        <v>15180</v>
      </c>
      <c r="I295" s="25"/>
      <c r="J295" s="25"/>
      <c r="K295" s="23">
        <v>260710010</v>
      </c>
      <c r="L295" s="23"/>
      <c r="M295" s="23">
        <f>M292-D295</f>
        <v>11</v>
      </c>
      <c r="N295" s="19">
        <v>46150</v>
      </c>
      <c r="O295" s="21">
        <f t="shared" si="17"/>
        <v>46514</v>
      </c>
    </row>
    <row r="296" spans="1:15" ht="20.149999999999999" hidden="1" customHeight="1" x14ac:dyDescent="0.2">
      <c r="A296" s="33">
        <v>46217</v>
      </c>
      <c r="B296" s="33">
        <v>46217</v>
      </c>
      <c r="C296" s="34" t="s">
        <v>1044</v>
      </c>
      <c r="D296" s="34">
        <v>8</v>
      </c>
      <c r="E296" s="34">
        <f t="shared" si="16"/>
        <v>1560</v>
      </c>
      <c r="F296" s="39" t="s">
        <v>26</v>
      </c>
      <c r="G296" s="34" t="s">
        <v>1577</v>
      </c>
      <c r="H296" s="35">
        <f>H292-E296</f>
        <v>0</v>
      </c>
      <c r="I296" s="35"/>
      <c r="J296" s="35"/>
      <c r="K296" s="34">
        <v>260713005</v>
      </c>
      <c r="L296" s="34"/>
      <c r="M296" s="34">
        <f>M295-D296</f>
        <v>3</v>
      </c>
      <c r="N296" s="19">
        <v>46150</v>
      </c>
      <c r="O296" s="21">
        <f t="shared" si="17"/>
        <v>46514</v>
      </c>
    </row>
    <row r="297" spans="1:15" ht="20.149999999999999" hidden="1" customHeight="1" x14ac:dyDescent="0.2">
      <c r="A297" s="33">
        <v>46217</v>
      </c>
      <c r="B297" s="33">
        <v>46217</v>
      </c>
      <c r="C297" s="34" t="s">
        <v>1044</v>
      </c>
      <c r="D297" s="34">
        <v>3</v>
      </c>
      <c r="E297" s="34">
        <f t="shared" si="16"/>
        <v>585</v>
      </c>
      <c r="F297" s="39" t="s">
        <v>26</v>
      </c>
      <c r="G297" s="145" t="s">
        <v>1578</v>
      </c>
      <c r="H297" s="35">
        <f>3900-E297</f>
        <v>3315</v>
      </c>
      <c r="I297" s="35"/>
      <c r="J297" s="35"/>
      <c r="K297" s="34" t="s">
        <v>1576</v>
      </c>
      <c r="L297" s="34"/>
      <c r="M297" s="34">
        <f>M296-D297</f>
        <v>0</v>
      </c>
      <c r="N297" s="19">
        <v>46150</v>
      </c>
      <c r="O297" s="21">
        <f t="shared" si="17"/>
        <v>46514</v>
      </c>
    </row>
    <row r="298" spans="1:15" ht="20.149999999999999" hidden="1" customHeight="1" x14ac:dyDescent="0.2">
      <c r="A298" s="33">
        <v>46217</v>
      </c>
      <c r="B298" s="33">
        <v>46217</v>
      </c>
      <c r="C298" s="34" t="s">
        <v>1133</v>
      </c>
      <c r="D298" s="34">
        <v>1</v>
      </c>
      <c r="E298" s="34">
        <f t="shared" ref="E298:E312" si="18">D298*195</f>
        <v>195</v>
      </c>
      <c r="F298" s="39" t="s">
        <v>26</v>
      </c>
      <c r="G298" s="145" t="s">
        <v>1570</v>
      </c>
      <c r="H298" s="35">
        <f>H297-E298</f>
        <v>3120</v>
      </c>
      <c r="I298" s="35"/>
      <c r="J298" s="35"/>
      <c r="K298" s="34" t="s">
        <v>1576</v>
      </c>
      <c r="L298" s="34"/>
      <c r="M298" s="34">
        <f>M174-D298</f>
        <v>37</v>
      </c>
      <c r="N298" s="19">
        <v>46153</v>
      </c>
      <c r="O298" s="21">
        <f t="shared" ref="O298:O311" si="19">DATE(YEAR(N298)+1,MONTH(N298),DAY(N298))-1</f>
        <v>46517</v>
      </c>
    </row>
    <row r="299" spans="1:15" ht="20.149999999999999" hidden="1" customHeight="1" x14ac:dyDescent="0.25">
      <c r="A299" s="26">
        <v>46217</v>
      </c>
      <c r="B299" s="26">
        <v>46218</v>
      </c>
      <c r="C299" s="27" t="s">
        <v>1573</v>
      </c>
      <c r="D299" s="27">
        <v>16</v>
      </c>
      <c r="E299" s="27">
        <f t="shared" si="18"/>
        <v>3120</v>
      </c>
      <c r="F299" s="153" t="s">
        <v>618</v>
      </c>
      <c r="G299" s="36" t="s">
        <v>1579</v>
      </c>
      <c r="H299" s="28">
        <f>H291-E299</f>
        <v>10920</v>
      </c>
      <c r="I299" s="28"/>
      <c r="J299" s="28"/>
      <c r="K299" s="27">
        <v>260713006</v>
      </c>
      <c r="L299" s="27"/>
      <c r="M299" s="27">
        <f>M294-D299</f>
        <v>19</v>
      </c>
      <c r="N299" s="19">
        <v>46174</v>
      </c>
      <c r="O299" s="21">
        <f t="shared" si="19"/>
        <v>46538</v>
      </c>
    </row>
    <row r="300" spans="1:15" ht="20.149999999999999" hidden="1" customHeight="1" x14ac:dyDescent="0.25">
      <c r="A300" s="40">
        <v>46219</v>
      </c>
      <c r="B300" s="40">
        <v>46220</v>
      </c>
      <c r="C300" s="41" t="s">
        <v>1591</v>
      </c>
      <c r="D300" s="41">
        <v>4</v>
      </c>
      <c r="E300" s="41">
        <f t="shared" si="18"/>
        <v>780</v>
      </c>
      <c r="F300" s="152" t="s">
        <v>615</v>
      </c>
      <c r="G300" s="60" t="s">
        <v>1470</v>
      </c>
      <c r="H300" s="42">
        <f>H294-E300</f>
        <v>780</v>
      </c>
      <c r="I300" s="121" t="s">
        <v>22</v>
      </c>
      <c r="J300" s="42"/>
      <c r="K300" s="41">
        <v>260715007</v>
      </c>
      <c r="L300" s="41">
        <v>41</v>
      </c>
      <c r="M300" s="41">
        <f>L300-D300</f>
        <v>37</v>
      </c>
      <c r="N300" s="19">
        <v>46202</v>
      </c>
      <c r="O300" s="21">
        <f t="shared" si="19"/>
        <v>46566</v>
      </c>
    </row>
    <row r="301" spans="1:15" ht="20.149999999999999" hidden="1" customHeight="1" x14ac:dyDescent="0.25">
      <c r="A301" s="40">
        <v>46219</v>
      </c>
      <c r="B301" s="40">
        <v>46220</v>
      </c>
      <c r="C301" s="41" t="s">
        <v>1603</v>
      </c>
      <c r="D301" s="41">
        <v>4</v>
      </c>
      <c r="E301" s="41">
        <f t="shared" si="18"/>
        <v>780</v>
      </c>
      <c r="F301" s="152" t="s">
        <v>615</v>
      </c>
      <c r="G301" s="60" t="s">
        <v>1596</v>
      </c>
      <c r="H301" s="42">
        <f>H300-E301</f>
        <v>0</v>
      </c>
      <c r="I301" s="121" t="s">
        <v>22</v>
      </c>
      <c r="J301" s="42"/>
      <c r="K301" s="41">
        <v>260715007</v>
      </c>
      <c r="L301" s="41">
        <v>41</v>
      </c>
      <c r="M301" s="41">
        <f>L301-D301</f>
        <v>37</v>
      </c>
      <c r="N301" s="19">
        <v>46204</v>
      </c>
      <c r="O301" s="21">
        <f t="shared" si="19"/>
        <v>46568</v>
      </c>
    </row>
    <row r="302" spans="1:15" ht="20.149999999999999" hidden="1" customHeight="1" x14ac:dyDescent="0.25">
      <c r="A302" s="40">
        <v>46219</v>
      </c>
      <c r="B302" s="40">
        <v>46220</v>
      </c>
      <c r="C302" s="41" t="s">
        <v>1604</v>
      </c>
      <c r="D302" s="41">
        <v>4</v>
      </c>
      <c r="E302" s="41">
        <f t="shared" si="18"/>
        <v>780</v>
      </c>
      <c r="F302" s="152" t="s">
        <v>615</v>
      </c>
      <c r="G302" s="146" t="s">
        <v>1610</v>
      </c>
      <c r="H302" s="42">
        <f>3900-E302</f>
        <v>3120</v>
      </c>
      <c r="I302" s="121" t="s">
        <v>22</v>
      </c>
      <c r="J302" s="42" t="s">
        <v>1916</v>
      </c>
      <c r="K302" s="41" t="s">
        <v>1609</v>
      </c>
      <c r="L302" s="41">
        <f>42-8</f>
        <v>34</v>
      </c>
      <c r="M302" s="41">
        <f>L302-D302</f>
        <v>30</v>
      </c>
      <c r="N302" s="19">
        <v>46205</v>
      </c>
      <c r="O302" s="21">
        <f t="shared" si="19"/>
        <v>46569</v>
      </c>
    </row>
    <row r="303" spans="1:15" ht="20.149999999999999" hidden="1" customHeight="1" x14ac:dyDescent="0.25">
      <c r="A303" s="29">
        <v>46219</v>
      </c>
      <c r="B303" s="29">
        <v>46220</v>
      </c>
      <c r="C303" s="30" t="s">
        <v>1605</v>
      </c>
      <c r="D303" s="30">
        <v>15</v>
      </c>
      <c r="E303" s="30">
        <f t="shared" si="18"/>
        <v>2925</v>
      </c>
      <c r="F303" s="156" t="s">
        <v>618</v>
      </c>
      <c r="G303" s="37" t="s">
        <v>1611</v>
      </c>
      <c r="H303" s="32">
        <f>H299-E303</f>
        <v>7995</v>
      </c>
      <c r="I303" s="32"/>
      <c r="J303" s="32"/>
      <c r="K303" s="30">
        <v>260715008</v>
      </c>
      <c r="L303" s="30"/>
      <c r="M303" s="30">
        <f>M299-D303</f>
        <v>4</v>
      </c>
      <c r="N303" s="19">
        <v>46174</v>
      </c>
      <c r="O303" s="21">
        <f t="shared" si="19"/>
        <v>46538</v>
      </c>
    </row>
    <row r="304" spans="1:15" ht="20.149999999999999" hidden="1" customHeight="1" x14ac:dyDescent="0.25">
      <c r="A304" s="29">
        <v>46219</v>
      </c>
      <c r="B304" s="29">
        <v>46220</v>
      </c>
      <c r="C304" s="30" t="s">
        <v>1606</v>
      </c>
      <c r="D304" s="30">
        <v>1</v>
      </c>
      <c r="E304" s="30">
        <f t="shared" si="18"/>
        <v>195</v>
      </c>
      <c r="F304" s="156" t="s">
        <v>618</v>
      </c>
      <c r="G304" s="37" t="s">
        <v>1597</v>
      </c>
      <c r="H304" s="32">
        <f>H303-E304</f>
        <v>7800</v>
      </c>
      <c r="I304" s="32"/>
      <c r="J304" s="32"/>
      <c r="K304" s="30">
        <v>260715008</v>
      </c>
      <c r="L304" s="30"/>
      <c r="M304" s="30">
        <f>M228-D304</f>
        <v>36</v>
      </c>
      <c r="N304" s="19">
        <v>46176</v>
      </c>
      <c r="O304" s="21">
        <f t="shared" si="19"/>
        <v>46540</v>
      </c>
    </row>
    <row r="305" spans="1:15" ht="20.149999999999999" hidden="1" customHeight="1" x14ac:dyDescent="0.25">
      <c r="A305" s="26">
        <v>46219</v>
      </c>
      <c r="B305" s="26">
        <v>46220</v>
      </c>
      <c r="C305" s="27" t="s">
        <v>1133</v>
      </c>
      <c r="D305" s="27">
        <v>12</v>
      </c>
      <c r="E305" s="27">
        <f t="shared" si="18"/>
        <v>2340</v>
      </c>
      <c r="F305" s="27" t="s">
        <v>860</v>
      </c>
      <c r="G305" s="36" t="s">
        <v>1612</v>
      </c>
      <c r="H305" s="28">
        <f>H295-E305</f>
        <v>12840</v>
      </c>
      <c r="I305" s="28"/>
      <c r="J305" s="28"/>
      <c r="K305" s="27">
        <v>260715009</v>
      </c>
      <c r="L305" s="27"/>
      <c r="M305" s="27">
        <f>M298-D305</f>
        <v>25</v>
      </c>
      <c r="N305" s="19">
        <v>46153</v>
      </c>
      <c r="O305" s="21">
        <f t="shared" si="19"/>
        <v>46517</v>
      </c>
    </row>
    <row r="306" spans="1:15" ht="20.149999999999999" hidden="1" customHeight="1" x14ac:dyDescent="0.2">
      <c r="A306" s="22">
        <v>46220</v>
      </c>
      <c r="B306" s="22">
        <v>46220</v>
      </c>
      <c r="C306" s="23" t="s">
        <v>1618</v>
      </c>
      <c r="D306" s="75">
        <v>16</v>
      </c>
      <c r="E306" s="23">
        <f t="shared" si="18"/>
        <v>3120</v>
      </c>
      <c r="F306" s="38" t="s">
        <v>26</v>
      </c>
      <c r="G306" s="38" t="s">
        <v>1619</v>
      </c>
      <c r="H306" s="25">
        <f>H298-E306</f>
        <v>0</v>
      </c>
      <c r="I306" s="25"/>
      <c r="J306" s="25"/>
      <c r="K306" s="23" t="s">
        <v>1620</v>
      </c>
      <c r="L306" s="23"/>
      <c r="M306" s="23">
        <f>M305-D306</f>
        <v>9</v>
      </c>
      <c r="N306" s="19">
        <v>46153</v>
      </c>
      <c r="O306" s="21">
        <f t="shared" si="19"/>
        <v>46517</v>
      </c>
    </row>
    <row r="307" spans="1:15" ht="20.149999999999999" hidden="1" customHeight="1" x14ac:dyDescent="0.25">
      <c r="A307" s="33">
        <v>46220</v>
      </c>
      <c r="B307" s="33">
        <v>46223</v>
      </c>
      <c r="C307" s="34" t="s">
        <v>1615</v>
      </c>
      <c r="D307" s="34">
        <v>16</v>
      </c>
      <c r="E307" s="34">
        <f t="shared" si="18"/>
        <v>3120</v>
      </c>
      <c r="F307" s="155" t="s">
        <v>618</v>
      </c>
      <c r="G307" s="39" t="s">
        <v>1362</v>
      </c>
      <c r="H307" s="35">
        <f>H304-E307</f>
        <v>4680</v>
      </c>
      <c r="I307" s="35"/>
      <c r="J307" s="35"/>
      <c r="K307" s="34">
        <v>260716004</v>
      </c>
      <c r="L307" s="34"/>
      <c r="M307" s="34">
        <f>M304-D307</f>
        <v>20</v>
      </c>
      <c r="N307" s="19">
        <v>46176</v>
      </c>
      <c r="O307" s="21">
        <f t="shared" si="19"/>
        <v>46540</v>
      </c>
    </row>
    <row r="308" spans="1:15" ht="20.149999999999999" hidden="1" customHeight="1" x14ac:dyDescent="0.25">
      <c r="A308" s="29">
        <v>46223</v>
      </c>
      <c r="B308" s="29">
        <v>46224</v>
      </c>
      <c r="C308" s="30" t="s">
        <v>1622</v>
      </c>
      <c r="D308" s="30">
        <v>4</v>
      </c>
      <c r="E308" s="30">
        <f t="shared" si="18"/>
        <v>780</v>
      </c>
      <c r="F308" s="156" t="s">
        <v>615</v>
      </c>
      <c r="G308" s="37" t="s">
        <v>1640</v>
      </c>
      <c r="H308" s="32">
        <f>H302-E308</f>
        <v>2340</v>
      </c>
      <c r="I308" s="70" t="s">
        <v>22</v>
      </c>
      <c r="J308" s="32"/>
      <c r="K308" s="30">
        <v>260717008</v>
      </c>
      <c r="L308" s="30">
        <v>42</v>
      </c>
      <c r="M308" s="30">
        <f>L308-D308</f>
        <v>38</v>
      </c>
      <c r="N308" s="19">
        <v>46206</v>
      </c>
      <c r="O308" s="21">
        <f t="shared" si="19"/>
        <v>46570</v>
      </c>
    </row>
    <row r="309" spans="1:15" ht="20.149999999999999" hidden="1" customHeight="1" x14ac:dyDescent="0.25">
      <c r="A309" s="29">
        <v>46223</v>
      </c>
      <c r="B309" s="29">
        <v>46224</v>
      </c>
      <c r="C309" s="30" t="s">
        <v>1623</v>
      </c>
      <c r="D309" s="30">
        <v>4</v>
      </c>
      <c r="E309" s="30">
        <f t="shared" si="18"/>
        <v>780</v>
      </c>
      <c r="F309" s="156" t="s">
        <v>615</v>
      </c>
      <c r="G309" s="37" t="s">
        <v>1626</v>
      </c>
      <c r="H309" s="32">
        <f>H308-E309</f>
        <v>1560</v>
      </c>
      <c r="I309" s="70" t="s">
        <v>22</v>
      </c>
      <c r="J309" s="32"/>
      <c r="K309" s="30">
        <v>260717008</v>
      </c>
      <c r="L309" s="30">
        <f>41</f>
        <v>41</v>
      </c>
      <c r="M309" s="30">
        <f>L309-D309</f>
        <v>37</v>
      </c>
      <c r="N309" s="19">
        <v>46209</v>
      </c>
      <c r="O309" s="21">
        <f t="shared" si="19"/>
        <v>46573</v>
      </c>
    </row>
    <row r="310" spans="1:15" ht="20.149999999999999" hidden="1" customHeight="1" x14ac:dyDescent="0.25">
      <c r="A310" s="40">
        <v>46223</v>
      </c>
      <c r="B310" s="40">
        <v>46224</v>
      </c>
      <c r="C310" s="41" t="s">
        <v>1633</v>
      </c>
      <c r="D310" s="41">
        <v>9</v>
      </c>
      <c r="E310" s="41">
        <f t="shared" si="18"/>
        <v>1755</v>
      </c>
      <c r="F310" s="41" t="s">
        <v>860</v>
      </c>
      <c r="G310" s="60" t="s">
        <v>1641</v>
      </c>
      <c r="H310" s="42">
        <f>H305-E310</f>
        <v>11085</v>
      </c>
      <c r="I310" s="42"/>
      <c r="J310" s="42"/>
      <c r="K310" s="41">
        <v>260717009</v>
      </c>
      <c r="L310" s="41"/>
      <c r="M310" s="41">
        <f>M306-D310</f>
        <v>0</v>
      </c>
      <c r="N310" s="19">
        <v>46153</v>
      </c>
      <c r="O310" s="21">
        <f t="shared" si="19"/>
        <v>46517</v>
      </c>
    </row>
    <row r="311" spans="1:15" ht="20.149999999999999" hidden="1" customHeight="1" x14ac:dyDescent="0.25">
      <c r="A311" s="40">
        <v>46223</v>
      </c>
      <c r="B311" s="40">
        <v>46224</v>
      </c>
      <c r="C311" s="41" t="s">
        <v>1634</v>
      </c>
      <c r="D311" s="41">
        <v>3</v>
      </c>
      <c r="E311" s="41">
        <f t="shared" si="18"/>
        <v>585</v>
      </c>
      <c r="F311" s="41" t="s">
        <v>860</v>
      </c>
      <c r="G311" s="60" t="s">
        <v>1627</v>
      </c>
      <c r="H311" s="42">
        <f>H310-E311</f>
        <v>10500</v>
      </c>
      <c r="I311" s="42"/>
      <c r="J311" s="42"/>
      <c r="K311" s="41">
        <v>260717009</v>
      </c>
      <c r="L311" s="41"/>
      <c r="M311" s="41">
        <f>M175-D311</f>
        <v>35</v>
      </c>
      <c r="N311" s="19">
        <v>46155</v>
      </c>
      <c r="O311" s="21">
        <f t="shared" si="19"/>
        <v>46519</v>
      </c>
    </row>
    <row r="312" spans="1:15" ht="20.149999999999999" hidden="1" customHeight="1" x14ac:dyDescent="0.2">
      <c r="A312" s="26">
        <v>46224</v>
      </c>
      <c r="B312" s="26">
        <v>46224</v>
      </c>
      <c r="C312" s="27" t="s">
        <v>1643</v>
      </c>
      <c r="D312" s="84">
        <v>20</v>
      </c>
      <c r="E312" s="27">
        <f t="shared" si="18"/>
        <v>3900</v>
      </c>
      <c r="F312" s="36" t="s">
        <v>26</v>
      </c>
      <c r="G312" s="149" t="s">
        <v>1645</v>
      </c>
      <c r="H312" s="28">
        <f>29640-E312</f>
        <v>25740</v>
      </c>
      <c r="I312" s="28"/>
      <c r="J312" s="28"/>
      <c r="K312" s="27" t="s">
        <v>1644</v>
      </c>
      <c r="L312" s="27"/>
      <c r="M312" s="27">
        <f>M311-D312</f>
        <v>15</v>
      </c>
      <c r="N312" s="19">
        <v>46155</v>
      </c>
      <c r="O312" s="21">
        <f t="shared" ref="O312:O375" si="20">DATE(YEAR(N312)+1,MONTH(N312),DAY(N312))-1</f>
        <v>46519</v>
      </c>
    </row>
    <row r="313" spans="1:15" ht="20.149999999999999" hidden="1" customHeight="1" x14ac:dyDescent="0.25">
      <c r="A313" s="29">
        <v>46224</v>
      </c>
      <c r="B313" s="29">
        <v>46225</v>
      </c>
      <c r="C313" s="30" t="s">
        <v>1318</v>
      </c>
      <c r="D313" s="30">
        <v>12</v>
      </c>
      <c r="E313" s="30">
        <f t="shared" ref="E313:E377" si="21">D313*195</f>
        <v>2340</v>
      </c>
      <c r="F313" s="156" t="s">
        <v>618</v>
      </c>
      <c r="G313" s="37" t="s">
        <v>1362</v>
      </c>
      <c r="H313" s="32">
        <f>H307-E313</f>
        <v>2340</v>
      </c>
      <c r="I313" s="32"/>
      <c r="J313" s="32"/>
      <c r="K313" s="30">
        <v>260720005</v>
      </c>
      <c r="L313" s="30"/>
      <c r="M313" s="30">
        <f>M307-D313</f>
        <v>8</v>
      </c>
      <c r="N313" s="19">
        <v>46176</v>
      </c>
      <c r="O313" s="21">
        <f t="shared" si="20"/>
        <v>46540</v>
      </c>
    </row>
    <row r="314" spans="1:15" ht="20.149999999999999" hidden="1" customHeight="1" x14ac:dyDescent="0.25">
      <c r="A314" s="29">
        <v>46224</v>
      </c>
      <c r="B314" s="29">
        <v>46225</v>
      </c>
      <c r="C314" s="30" t="s">
        <v>1642</v>
      </c>
      <c r="D314" s="30">
        <v>4</v>
      </c>
      <c r="E314" s="30">
        <f t="shared" si="21"/>
        <v>780</v>
      </c>
      <c r="F314" s="156" t="s">
        <v>618</v>
      </c>
      <c r="G314" s="37" t="s">
        <v>1362</v>
      </c>
      <c r="H314" s="32">
        <f>H313-E314</f>
        <v>1560</v>
      </c>
      <c r="I314" s="32"/>
      <c r="J314" s="32"/>
      <c r="K314" s="30">
        <v>260720005</v>
      </c>
      <c r="L314" s="30"/>
      <c r="M314" s="30">
        <f>M229-D314</f>
        <v>33</v>
      </c>
      <c r="N314" s="19">
        <v>46178</v>
      </c>
      <c r="O314" s="21">
        <f t="shared" si="20"/>
        <v>46542</v>
      </c>
    </row>
    <row r="315" spans="1:15" ht="20.149999999999999" hidden="1" customHeight="1" x14ac:dyDescent="0.25">
      <c r="A315" s="185">
        <v>46226</v>
      </c>
      <c r="B315" s="185">
        <v>46227</v>
      </c>
      <c r="C315" s="38" t="s">
        <v>1652</v>
      </c>
      <c r="D315" s="38">
        <v>4</v>
      </c>
      <c r="E315" s="38">
        <f t="shared" si="21"/>
        <v>780</v>
      </c>
      <c r="F315" s="186" t="s">
        <v>110</v>
      </c>
      <c r="G315" s="38" t="s">
        <v>1610</v>
      </c>
      <c r="H315" s="187">
        <f>H309-E315</f>
        <v>780</v>
      </c>
      <c r="I315" s="43" t="s">
        <v>22</v>
      </c>
      <c r="J315" s="187"/>
      <c r="K315" s="38">
        <v>260722007</v>
      </c>
      <c r="L315" s="38">
        <v>41</v>
      </c>
      <c r="M315" s="38">
        <f>L315-D315</f>
        <v>37</v>
      </c>
      <c r="N315" s="19">
        <v>46210</v>
      </c>
      <c r="O315" s="21">
        <f t="shared" si="20"/>
        <v>46574</v>
      </c>
    </row>
    <row r="316" spans="1:15" ht="20.149999999999999" hidden="1" customHeight="1" x14ac:dyDescent="0.25">
      <c r="A316" s="185">
        <v>46226</v>
      </c>
      <c r="B316" s="185">
        <v>46227</v>
      </c>
      <c r="C316" s="38" t="s">
        <v>1653</v>
      </c>
      <c r="D316" s="38">
        <v>4</v>
      </c>
      <c r="E316" s="38">
        <f t="shared" si="21"/>
        <v>780</v>
      </c>
      <c r="F316" s="186" t="s">
        <v>1654</v>
      </c>
      <c r="G316" s="38" t="s">
        <v>1610</v>
      </c>
      <c r="H316" s="187">
        <f>H315-E316</f>
        <v>0</v>
      </c>
      <c r="I316" s="43" t="s">
        <v>22</v>
      </c>
      <c r="J316" s="187"/>
      <c r="K316" s="38">
        <v>260722007</v>
      </c>
      <c r="L316" s="38">
        <v>42</v>
      </c>
      <c r="M316" s="38">
        <f>L316-D316</f>
        <v>38</v>
      </c>
      <c r="N316" s="19">
        <v>46211</v>
      </c>
      <c r="O316" s="21">
        <f t="shared" si="20"/>
        <v>46575</v>
      </c>
    </row>
    <row r="317" spans="1:15" ht="20.149999999999999" hidden="1" customHeight="1" x14ac:dyDescent="0.25">
      <c r="A317" s="185">
        <v>46226</v>
      </c>
      <c r="B317" s="185">
        <v>46227</v>
      </c>
      <c r="C317" s="23" t="s">
        <v>1655</v>
      </c>
      <c r="D317" s="23">
        <v>4</v>
      </c>
      <c r="E317" s="38">
        <f t="shared" si="21"/>
        <v>780</v>
      </c>
      <c r="F317" s="186" t="s">
        <v>110</v>
      </c>
      <c r="G317" s="148" t="s">
        <v>1668</v>
      </c>
      <c r="H317" s="25">
        <f>29640-E317</f>
        <v>28860</v>
      </c>
      <c r="I317" s="43" t="s">
        <v>22</v>
      </c>
      <c r="J317" s="25"/>
      <c r="K317" s="38" t="s">
        <v>1667</v>
      </c>
      <c r="L317" s="23">
        <v>41</v>
      </c>
      <c r="M317" s="23">
        <f>L317-D317</f>
        <v>37</v>
      </c>
      <c r="N317" s="19">
        <v>46212</v>
      </c>
      <c r="O317" s="21">
        <f t="shared" si="20"/>
        <v>46576</v>
      </c>
    </row>
    <row r="318" spans="1:15" ht="20.149999999999999" hidden="1" customHeight="1" x14ac:dyDescent="0.25">
      <c r="A318" s="33">
        <v>46226</v>
      </c>
      <c r="B318" s="33">
        <v>46227</v>
      </c>
      <c r="C318" s="34" t="s">
        <v>1661</v>
      </c>
      <c r="D318" s="34">
        <v>8</v>
      </c>
      <c r="E318" s="39">
        <f t="shared" si="21"/>
        <v>1560</v>
      </c>
      <c r="F318" s="155" t="s">
        <v>618</v>
      </c>
      <c r="G318" s="39" t="s">
        <v>1670</v>
      </c>
      <c r="H318" s="35">
        <f>H314-E318</f>
        <v>0</v>
      </c>
      <c r="I318" s="35"/>
      <c r="J318" s="35"/>
      <c r="K318" s="34">
        <v>260722008</v>
      </c>
      <c r="L318" s="34"/>
      <c r="M318" s="34">
        <f>M314-D318</f>
        <v>25</v>
      </c>
      <c r="N318" s="19">
        <v>46178</v>
      </c>
      <c r="O318" s="21">
        <f t="shared" si="20"/>
        <v>46542</v>
      </c>
    </row>
    <row r="319" spans="1:15" ht="20.149999999999999" hidden="1" customHeight="1" x14ac:dyDescent="0.25">
      <c r="A319" s="33">
        <v>46226</v>
      </c>
      <c r="B319" s="33">
        <v>46227</v>
      </c>
      <c r="C319" s="34" t="s">
        <v>1319</v>
      </c>
      <c r="D319" s="34">
        <v>8</v>
      </c>
      <c r="E319" s="39">
        <f t="shared" si="21"/>
        <v>1560</v>
      </c>
      <c r="F319" s="155" t="s">
        <v>618</v>
      </c>
      <c r="G319" s="145" t="s">
        <v>1657</v>
      </c>
      <c r="H319" s="35">
        <f>20000-E319</f>
        <v>18440</v>
      </c>
      <c r="I319" s="35"/>
      <c r="J319" s="35"/>
      <c r="K319" s="34" t="s">
        <v>1669</v>
      </c>
      <c r="L319" s="34"/>
      <c r="M319" s="34">
        <f>M318-D319</f>
        <v>17</v>
      </c>
      <c r="N319" s="19">
        <v>46178</v>
      </c>
      <c r="O319" s="21">
        <f t="shared" si="20"/>
        <v>46542</v>
      </c>
    </row>
    <row r="320" spans="1:15" ht="20.149999999999999" hidden="1" customHeight="1" x14ac:dyDescent="0.25">
      <c r="A320" s="26">
        <v>46226</v>
      </c>
      <c r="B320" s="26">
        <v>46227</v>
      </c>
      <c r="C320" s="27" t="s">
        <v>1662</v>
      </c>
      <c r="D320" s="27">
        <v>8</v>
      </c>
      <c r="E320" s="36">
        <f t="shared" si="21"/>
        <v>1560</v>
      </c>
      <c r="F320" s="27" t="s">
        <v>860</v>
      </c>
      <c r="G320" s="36" t="s">
        <v>1392</v>
      </c>
      <c r="H320" s="28">
        <f>H311-E320</f>
        <v>8940</v>
      </c>
      <c r="I320" s="28"/>
      <c r="J320" s="28"/>
      <c r="K320" s="27">
        <v>260722009</v>
      </c>
      <c r="L320" s="27"/>
      <c r="M320" s="27">
        <f>M312-D320</f>
        <v>7</v>
      </c>
      <c r="N320" s="19">
        <v>46155</v>
      </c>
      <c r="O320" s="21">
        <f t="shared" si="20"/>
        <v>46519</v>
      </c>
    </row>
    <row r="321" spans="1:15" ht="20.149999999999999" hidden="1" customHeight="1" x14ac:dyDescent="0.2">
      <c r="A321" s="40">
        <v>46227</v>
      </c>
      <c r="B321" s="40">
        <v>46227</v>
      </c>
      <c r="C321" s="41" t="s">
        <v>1134</v>
      </c>
      <c r="D321" s="41">
        <v>7</v>
      </c>
      <c r="E321" s="60">
        <f t="shared" si="21"/>
        <v>1365</v>
      </c>
      <c r="F321" s="60" t="s">
        <v>26</v>
      </c>
      <c r="G321" s="60" t="s">
        <v>1684</v>
      </c>
      <c r="H321" s="42">
        <f>H312-E321</f>
        <v>24375</v>
      </c>
      <c r="I321" s="42"/>
      <c r="J321" s="42"/>
      <c r="K321" s="41" t="s">
        <v>1683</v>
      </c>
      <c r="L321" s="41"/>
      <c r="M321" s="41">
        <f>M320-D321</f>
        <v>0</v>
      </c>
      <c r="N321" s="19">
        <v>46155</v>
      </c>
      <c r="O321" s="21">
        <f t="shared" si="20"/>
        <v>46519</v>
      </c>
    </row>
    <row r="322" spans="1:15" ht="20.149999999999999" hidden="1" customHeight="1" x14ac:dyDescent="0.2">
      <c r="A322" s="40">
        <v>46227</v>
      </c>
      <c r="B322" s="40">
        <v>46227</v>
      </c>
      <c r="C322" s="41" t="s">
        <v>1319</v>
      </c>
      <c r="D322" s="62">
        <v>9</v>
      </c>
      <c r="E322" s="60">
        <f t="shared" si="21"/>
        <v>1755</v>
      </c>
      <c r="F322" s="60" t="s">
        <v>26</v>
      </c>
      <c r="G322" s="60" t="s">
        <v>1672</v>
      </c>
      <c r="H322" s="42">
        <f>H321-E322</f>
        <v>22620</v>
      </c>
      <c r="I322" s="42"/>
      <c r="J322" s="42"/>
      <c r="K322" s="41" t="s">
        <v>1683</v>
      </c>
      <c r="L322" s="41"/>
      <c r="M322" s="41">
        <f>M319-D322</f>
        <v>8</v>
      </c>
      <c r="N322" s="19">
        <v>46178</v>
      </c>
      <c r="O322" s="21">
        <f t="shared" si="20"/>
        <v>46542</v>
      </c>
    </row>
    <row r="323" spans="1:15" ht="20.149999999999999" hidden="1" customHeight="1" x14ac:dyDescent="0.25">
      <c r="A323" s="29">
        <v>46227</v>
      </c>
      <c r="B323" s="29">
        <v>46230</v>
      </c>
      <c r="C323" s="30" t="s">
        <v>1678</v>
      </c>
      <c r="D323" s="30">
        <v>8</v>
      </c>
      <c r="E323" s="37">
        <f t="shared" si="21"/>
        <v>1560</v>
      </c>
      <c r="F323" s="156" t="s">
        <v>618</v>
      </c>
      <c r="G323" s="37" t="s">
        <v>1681</v>
      </c>
      <c r="H323" s="32">
        <f>H319-E323</f>
        <v>16880</v>
      </c>
      <c r="I323" s="32"/>
      <c r="J323" s="32"/>
      <c r="K323" s="30">
        <v>260723006</v>
      </c>
      <c r="L323" s="30"/>
      <c r="M323" s="30">
        <f>M322-D323</f>
        <v>0</v>
      </c>
      <c r="N323" s="19">
        <v>46178</v>
      </c>
      <c r="O323" s="21">
        <f t="shared" si="20"/>
        <v>46542</v>
      </c>
    </row>
    <row r="324" spans="1:15" ht="20.149999999999999" hidden="1" customHeight="1" x14ac:dyDescent="0.25">
      <c r="A324" s="29">
        <v>46227</v>
      </c>
      <c r="B324" s="29">
        <v>46230</v>
      </c>
      <c r="C324" s="30" t="s">
        <v>1679</v>
      </c>
      <c r="D324" s="30">
        <v>8</v>
      </c>
      <c r="E324" s="37">
        <f t="shared" si="21"/>
        <v>1560</v>
      </c>
      <c r="F324" s="156" t="s">
        <v>618</v>
      </c>
      <c r="G324" s="37" t="s">
        <v>1673</v>
      </c>
      <c r="H324" s="32">
        <f>H323-E324</f>
        <v>15320</v>
      </c>
      <c r="I324" s="32"/>
      <c r="J324" s="32"/>
      <c r="K324" s="30">
        <v>260723006</v>
      </c>
      <c r="L324" s="30"/>
      <c r="M324" s="30">
        <f>M235-D324</f>
        <v>25</v>
      </c>
      <c r="N324" s="19">
        <v>46181</v>
      </c>
      <c r="O324" s="21">
        <f t="shared" si="20"/>
        <v>46545</v>
      </c>
    </row>
    <row r="325" spans="1:15" ht="20.149999999999999" hidden="1" customHeight="1" x14ac:dyDescent="0.25">
      <c r="A325" s="33">
        <v>46230</v>
      </c>
      <c r="B325" s="33">
        <v>46231</v>
      </c>
      <c r="C325" s="34" t="s">
        <v>1689</v>
      </c>
      <c r="D325" s="34">
        <v>8</v>
      </c>
      <c r="E325" s="39">
        <f t="shared" si="21"/>
        <v>1560</v>
      </c>
      <c r="F325" s="188" t="s">
        <v>110</v>
      </c>
      <c r="G325" s="39" t="s">
        <v>1692</v>
      </c>
      <c r="H325" s="35">
        <f>H317-E325</f>
        <v>27300</v>
      </c>
      <c r="I325" s="35"/>
      <c r="J325" s="35"/>
      <c r="K325" s="34">
        <v>260724005</v>
      </c>
      <c r="L325" s="34"/>
      <c r="M325" s="34">
        <f>M324-D325</f>
        <v>17</v>
      </c>
      <c r="N325" s="19">
        <v>46181</v>
      </c>
      <c r="O325" s="21">
        <f t="shared" si="20"/>
        <v>46545</v>
      </c>
    </row>
    <row r="326" spans="1:15" ht="20.149999999999999" hidden="1" customHeight="1" x14ac:dyDescent="0.25">
      <c r="A326" s="33">
        <v>46230</v>
      </c>
      <c r="B326" s="33">
        <v>46231</v>
      </c>
      <c r="C326" s="34" t="s">
        <v>1685</v>
      </c>
      <c r="D326" s="34">
        <v>4</v>
      </c>
      <c r="E326" s="39">
        <f t="shared" si="21"/>
        <v>780</v>
      </c>
      <c r="F326" s="188" t="s">
        <v>110</v>
      </c>
      <c r="G326" s="39" t="s">
        <v>1668</v>
      </c>
      <c r="H326" s="35">
        <f>H325-E326</f>
        <v>26520</v>
      </c>
      <c r="I326" s="63" t="s">
        <v>22</v>
      </c>
      <c r="J326" s="35"/>
      <c r="K326" s="34">
        <v>260724005</v>
      </c>
      <c r="L326" s="34">
        <v>42</v>
      </c>
      <c r="M326" s="34">
        <f>L326-D326</f>
        <v>38</v>
      </c>
      <c r="N326" s="19">
        <v>46213</v>
      </c>
      <c r="O326" s="21">
        <f t="shared" si="20"/>
        <v>46577</v>
      </c>
    </row>
    <row r="327" spans="1:15" ht="20.149999999999999" hidden="1" customHeight="1" x14ac:dyDescent="0.25">
      <c r="A327" s="22">
        <v>46230</v>
      </c>
      <c r="B327" s="22">
        <v>46231</v>
      </c>
      <c r="C327" s="23" t="s">
        <v>1326</v>
      </c>
      <c r="D327" s="23">
        <v>4</v>
      </c>
      <c r="E327" s="23">
        <f t="shared" si="21"/>
        <v>780</v>
      </c>
      <c r="F327" s="23" t="s">
        <v>860</v>
      </c>
      <c r="G327" s="38" t="s">
        <v>1693</v>
      </c>
      <c r="H327" s="25">
        <f>H320-E327</f>
        <v>8160</v>
      </c>
      <c r="I327" s="25"/>
      <c r="J327" s="25"/>
      <c r="K327" s="23">
        <v>260724006</v>
      </c>
      <c r="L327" s="23"/>
      <c r="M327" s="23">
        <f>M303-D327</f>
        <v>0</v>
      </c>
      <c r="N327" s="19">
        <v>46174</v>
      </c>
      <c r="O327" s="21">
        <f t="shared" si="20"/>
        <v>46538</v>
      </c>
    </row>
    <row r="328" spans="1:15" ht="20.149999999999999" hidden="1" customHeight="1" x14ac:dyDescent="0.25">
      <c r="A328" s="22">
        <v>46230</v>
      </c>
      <c r="B328" s="22">
        <v>46231</v>
      </c>
      <c r="C328" s="23" t="s">
        <v>1690</v>
      </c>
      <c r="D328" s="23">
        <v>8</v>
      </c>
      <c r="E328" s="23">
        <f t="shared" si="21"/>
        <v>1560</v>
      </c>
      <c r="F328" s="23" t="s">
        <v>860</v>
      </c>
      <c r="G328" s="38" t="s">
        <v>1686</v>
      </c>
      <c r="H328" s="25">
        <f>H327-E328</f>
        <v>6600</v>
      </c>
      <c r="I328" s="25"/>
      <c r="J328" s="25"/>
      <c r="K328" s="23">
        <v>260724006</v>
      </c>
      <c r="L328" s="23"/>
      <c r="M328" s="23">
        <f>M313-D328</f>
        <v>0</v>
      </c>
      <c r="N328" s="19">
        <v>46176</v>
      </c>
      <c r="O328" s="21">
        <f t="shared" si="20"/>
        <v>46540</v>
      </c>
    </row>
    <row r="329" spans="1:15" ht="20.149999999999999" hidden="1" customHeight="1" x14ac:dyDescent="0.2">
      <c r="A329" s="26">
        <v>46231</v>
      </c>
      <c r="B329" s="26">
        <v>46231</v>
      </c>
      <c r="C329" s="27" t="s">
        <v>1697</v>
      </c>
      <c r="D329" s="27">
        <v>17</v>
      </c>
      <c r="E329" s="27">
        <f t="shared" si="21"/>
        <v>3315</v>
      </c>
      <c r="F329" s="36" t="s">
        <v>26</v>
      </c>
      <c r="G329" s="36" t="s">
        <v>1645</v>
      </c>
      <c r="H329" s="28">
        <f>H322-E329</f>
        <v>19305</v>
      </c>
      <c r="I329" s="28"/>
      <c r="J329" s="28"/>
      <c r="K329" s="27">
        <v>260727003</v>
      </c>
      <c r="L329" s="27"/>
      <c r="M329" s="27">
        <f>M325-D329</f>
        <v>0</v>
      </c>
      <c r="N329" s="19">
        <v>46181</v>
      </c>
      <c r="O329" s="21">
        <f t="shared" si="20"/>
        <v>46545</v>
      </c>
    </row>
    <row r="330" spans="1:15" ht="20.149999999999999" hidden="1" customHeight="1" x14ac:dyDescent="0.2">
      <c r="A330" s="26">
        <v>46231</v>
      </c>
      <c r="B330" s="26">
        <v>46231</v>
      </c>
      <c r="C330" s="27" t="s">
        <v>1698</v>
      </c>
      <c r="D330" s="27">
        <v>3</v>
      </c>
      <c r="E330" s="27">
        <f t="shared" si="21"/>
        <v>585</v>
      </c>
      <c r="F330" s="36" t="s">
        <v>26</v>
      </c>
      <c r="G330" s="36" t="s">
        <v>1695</v>
      </c>
      <c r="H330" s="28">
        <f>H329-E330</f>
        <v>18720</v>
      </c>
      <c r="I330" s="28"/>
      <c r="J330" s="28"/>
      <c r="K330" s="27">
        <v>260727003</v>
      </c>
      <c r="L330" s="27"/>
      <c r="M330" s="27">
        <f>M254-D330</f>
        <v>35</v>
      </c>
      <c r="N330" s="19">
        <v>46183</v>
      </c>
      <c r="O330" s="21">
        <f t="shared" si="20"/>
        <v>46547</v>
      </c>
    </row>
    <row r="331" spans="1:15" ht="20.149999999999999" hidden="1" customHeight="1" x14ac:dyDescent="0.25">
      <c r="A331" s="40">
        <v>46231</v>
      </c>
      <c r="B331" s="40">
        <v>46232</v>
      </c>
      <c r="C331" s="41" t="s">
        <v>1699</v>
      </c>
      <c r="D331" s="41">
        <v>12</v>
      </c>
      <c r="E331" s="41">
        <f t="shared" si="21"/>
        <v>2340</v>
      </c>
      <c r="F331" s="152" t="s">
        <v>618</v>
      </c>
      <c r="G331" s="60" t="s">
        <v>1700</v>
      </c>
      <c r="H331" s="42">
        <f>H324-E331</f>
        <v>12980</v>
      </c>
      <c r="I331" s="42"/>
      <c r="J331" s="42"/>
      <c r="K331" s="41">
        <v>260727004</v>
      </c>
      <c r="L331" s="41"/>
      <c r="M331" s="41">
        <f>M330-D331</f>
        <v>23</v>
      </c>
      <c r="N331" s="19">
        <v>46183</v>
      </c>
      <c r="O331" s="21">
        <f t="shared" si="20"/>
        <v>46547</v>
      </c>
    </row>
    <row r="332" spans="1:15" ht="20.149999999999999" hidden="1" customHeight="1" x14ac:dyDescent="0.25">
      <c r="A332" s="29">
        <v>46233</v>
      </c>
      <c r="B332" s="29">
        <v>46234</v>
      </c>
      <c r="C332" s="30" t="s">
        <v>1419</v>
      </c>
      <c r="D332" s="30">
        <v>4</v>
      </c>
      <c r="E332" s="30">
        <f t="shared" si="21"/>
        <v>780</v>
      </c>
      <c r="F332" s="189" t="s">
        <v>110</v>
      </c>
      <c r="G332" s="37" t="s">
        <v>1716</v>
      </c>
      <c r="H332" s="32">
        <f>H326-E332</f>
        <v>25740</v>
      </c>
      <c r="I332" s="32"/>
      <c r="J332" s="32"/>
      <c r="K332" s="30">
        <v>260729008</v>
      </c>
      <c r="L332" s="30"/>
      <c r="M332" s="30">
        <f>M331-D332</f>
        <v>19</v>
      </c>
      <c r="N332" s="19">
        <v>46183</v>
      </c>
      <c r="O332" s="21">
        <f t="shared" si="20"/>
        <v>46547</v>
      </c>
    </row>
    <row r="333" spans="1:15" ht="20.149999999999999" hidden="1" customHeight="1" x14ac:dyDescent="0.25">
      <c r="A333" s="29">
        <v>46233</v>
      </c>
      <c r="B333" s="29">
        <v>46234</v>
      </c>
      <c r="C333" s="30" t="s">
        <v>1703</v>
      </c>
      <c r="D333" s="30">
        <v>4</v>
      </c>
      <c r="E333" s="30">
        <f t="shared" si="21"/>
        <v>780</v>
      </c>
      <c r="F333" s="189" t="s">
        <v>110</v>
      </c>
      <c r="G333" s="37" t="s">
        <v>1668</v>
      </c>
      <c r="H333" s="32">
        <f>H332-E333</f>
        <v>24960</v>
      </c>
      <c r="I333" s="70" t="s">
        <v>22</v>
      </c>
      <c r="J333" s="32"/>
      <c r="K333" s="30">
        <v>260729008</v>
      </c>
      <c r="L333" s="30">
        <v>41</v>
      </c>
      <c r="M333" s="30">
        <f>L333-D333</f>
        <v>37</v>
      </c>
      <c r="N333" s="19">
        <v>46216</v>
      </c>
      <c r="O333" s="21">
        <f t="shared" si="20"/>
        <v>46580</v>
      </c>
    </row>
    <row r="334" spans="1:15" ht="20.149999999999999" hidden="1" customHeight="1" x14ac:dyDescent="0.25">
      <c r="A334" s="29">
        <v>46233</v>
      </c>
      <c r="B334" s="29">
        <v>46234</v>
      </c>
      <c r="C334" s="30" t="s">
        <v>1710</v>
      </c>
      <c r="D334" s="30">
        <v>4</v>
      </c>
      <c r="E334" s="30">
        <f t="shared" si="21"/>
        <v>780</v>
      </c>
      <c r="F334" s="189" t="s">
        <v>110</v>
      </c>
      <c r="G334" s="37" t="s">
        <v>1668</v>
      </c>
      <c r="H334" s="32">
        <f>H333-E334</f>
        <v>24180</v>
      </c>
      <c r="I334" s="70" t="s">
        <v>22</v>
      </c>
      <c r="J334" s="32"/>
      <c r="K334" s="30">
        <v>260729008</v>
      </c>
      <c r="L334" s="30">
        <v>41</v>
      </c>
      <c r="M334" s="30">
        <f>L334-D334</f>
        <v>37</v>
      </c>
      <c r="N334" s="19">
        <v>46217</v>
      </c>
      <c r="O334" s="21">
        <f t="shared" si="20"/>
        <v>46581</v>
      </c>
    </row>
    <row r="335" spans="1:15" ht="20.149999999999999" hidden="1" customHeight="1" x14ac:dyDescent="0.25">
      <c r="A335" s="22">
        <v>46233</v>
      </c>
      <c r="B335" s="22">
        <v>46234</v>
      </c>
      <c r="C335" s="23" t="s">
        <v>1419</v>
      </c>
      <c r="D335" s="23">
        <v>16</v>
      </c>
      <c r="E335" s="23">
        <f t="shared" si="21"/>
        <v>3120</v>
      </c>
      <c r="F335" s="154" t="s">
        <v>618</v>
      </c>
      <c r="G335" s="38" t="s">
        <v>1717</v>
      </c>
      <c r="H335" s="25">
        <f>H331-E335</f>
        <v>9860</v>
      </c>
      <c r="I335" s="25"/>
      <c r="J335" s="25"/>
      <c r="K335" s="23">
        <v>260729009</v>
      </c>
      <c r="L335" s="23"/>
      <c r="M335" s="23">
        <f>M332-D335</f>
        <v>3</v>
      </c>
      <c r="N335" s="19">
        <v>46183</v>
      </c>
      <c r="O335" s="21">
        <f t="shared" si="20"/>
        <v>46547</v>
      </c>
    </row>
    <row r="336" spans="1:15" ht="20.149999999999999" hidden="1" customHeight="1" x14ac:dyDescent="0.25">
      <c r="A336" s="33">
        <v>46233</v>
      </c>
      <c r="B336" s="33">
        <v>46234</v>
      </c>
      <c r="C336" s="34" t="s">
        <v>1711</v>
      </c>
      <c r="D336" s="34">
        <v>3</v>
      </c>
      <c r="E336" s="34">
        <f t="shared" si="21"/>
        <v>585</v>
      </c>
      <c r="F336" s="34" t="s">
        <v>860</v>
      </c>
      <c r="G336" s="39" t="s">
        <v>1718</v>
      </c>
      <c r="H336" s="35">
        <f>H328-E336</f>
        <v>6015</v>
      </c>
      <c r="I336" s="35"/>
      <c r="J336" s="35"/>
      <c r="K336" s="34">
        <v>260729010</v>
      </c>
      <c r="L336" s="34"/>
      <c r="M336" s="34">
        <f>M335-D336</f>
        <v>0</v>
      </c>
      <c r="N336" s="19">
        <v>46183</v>
      </c>
      <c r="O336" s="21">
        <f t="shared" si="20"/>
        <v>46547</v>
      </c>
    </row>
    <row r="337" spans="1:15" ht="20.149999999999999" hidden="1" customHeight="1" x14ac:dyDescent="0.25">
      <c r="A337" s="33">
        <v>46233</v>
      </c>
      <c r="B337" s="33">
        <v>46234</v>
      </c>
      <c r="C337" s="34" t="s">
        <v>1712</v>
      </c>
      <c r="D337" s="34">
        <v>9</v>
      </c>
      <c r="E337" s="34">
        <f t="shared" si="21"/>
        <v>1755</v>
      </c>
      <c r="F337" s="34" t="s">
        <v>860</v>
      </c>
      <c r="G337" s="39" t="s">
        <v>1705</v>
      </c>
      <c r="H337" s="35">
        <f>H336-E337</f>
        <v>4260</v>
      </c>
      <c r="I337" s="35"/>
      <c r="J337" s="35"/>
      <c r="K337" s="34">
        <v>260729010</v>
      </c>
      <c r="L337" s="34"/>
      <c r="M337" s="34">
        <f>M255-D337</f>
        <v>28</v>
      </c>
      <c r="N337" s="19">
        <v>46185</v>
      </c>
      <c r="O337" s="21">
        <f t="shared" si="20"/>
        <v>46549</v>
      </c>
    </row>
    <row r="338" spans="1:15" ht="20.149999999999999" hidden="1" customHeight="1" x14ac:dyDescent="0.2">
      <c r="A338" s="40">
        <v>46234</v>
      </c>
      <c r="B338" s="40">
        <v>46234</v>
      </c>
      <c r="C338" s="41" t="s">
        <v>1721</v>
      </c>
      <c r="D338" s="41">
        <v>16</v>
      </c>
      <c r="E338" s="41">
        <f t="shared" si="21"/>
        <v>3120</v>
      </c>
      <c r="F338" s="60" t="s">
        <v>26</v>
      </c>
      <c r="G338" s="60" t="s">
        <v>1726</v>
      </c>
      <c r="H338" s="42">
        <f>H330-E338</f>
        <v>15600</v>
      </c>
      <c r="I338" s="42"/>
      <c r="J338" s="42"/>
      <c r="K338" s="41">
        <v>260730006</v>
      </c>
      <c r="L338" s="41"/>
      <c r="M338" s="41">
        <f>M337-D338</f>
        <v>12</v>
      </c>
      <c r="N338" s="19">
        <v>46185</v>
      </c>
      <c r="O338" s="21">
        <f t="shared" si="20"/>
        <v>46549</v>
      </c>
    </row>
    <row r="339" spans="1:15" ht="20.149999999999999" hidden="1" customHeight="1" x14ac:dyDescent="0.25">
      <c r="A339" s="29">
        <v>46234</v>
      </c>
      <c r="B339" s="29">
        <v>46237</v>
      </c>
      <c r="C339" s="30" t="s">
        <v>1722</v>
      </c>
      <c r="D339" s="30">
        <v>16</v>
      </c>
      <c r="E339" s="30">
        <f t="shared" si="21"/>
        <v>3120</v>
      </c>
      <c r="F339" s="156" t="s">
        <v>618</v>
      </c>
      <c r="G339" s="37" t="s">
        <v>1727</v>
      </c>
      <c r="H339" s="32">
        <f>H335-E339</f>
        <v>6740</v>
      </c>
      <c r="I339" s="32"/>
      <c r="J339" s="32"/>
      <c r="K339" s="30">
        <v>260730007</v>
      </c>
      <c r="L339" s="30"/>
      <c r="M339" s="30">
        <f>M262-D339</f>
        <v>21</v>
      </c>
      <c r="N339" s="19">
        <v>46188</v>
      </c>
      <c r="O339" s="21">
        <f t="shared" si="20"/>
        <v>46552</v>
      </c>
    </row>
    <row r="340" spans="1:15" ht="20.149999999999999" hidden="1" customHeight="1" x14ac:dyDescent="0.25">
      <c r="A340" s="26">
        <v>46237</v>
      </c>
      <c r="B340" s="26">
        <v>46238</v>
      </c>
      <c r="C340" s="27" t="s">
        <v>1738</v>
      </c>
      <c r="D340" s="27">
        <v>4</v>
      </c>
      <c r="E340" s="27">
        <f t="shared" si="21"/>
        <v>780</v>
      </c>
      <c r="F340" s="191" t="s">
        <v>110</v>
      </c>
      <c r="G340" s="36" t="s">
        <v>1668</v>
      </c>
      <c r="H340" s="28">
        <f>H334-E340</f>
        <v>23400</v>
      </c>
      <c r="I340" s="61" t="s">
        <v>22</v>
      </c>
      <c r="J340" s="28"/>
      <c r="K340" s="27">
        <v>260731009</v>
      </c>
      <c r="L340" s="27">
        <v>42</v>
      </c>
      <c r="M340" s="27">
        <f>L340-D340</f>
        <v>38</v>
      </c>
      <c r="N340" s="19">
        <v>46218</v>
      </c>
      <c r="O340" s="21">
        <f t="shared" si="20"/>
        <v>46582</v>
      </c>
    </row>
    <row r="341" spans="1:15" ht="20.149999999999999" hidden="1" customHeight="1" x14ac:dyDescent="0.25">
      <c r="A341" s="26">
        <v>46237</v>
      </c>
      <c r="B341" s="26">
        <v>46238</v>
      </c>
      <c r="C341" s="27" t="s">
        <v>1739</v>
      </c>
      <c r="D341" s="27">
        <v>4</v>
      </c>
      <c r="E341" s="27">
        <f t="shared" si="21"/>
        <v>780</v>
      </c>
      <c r="F341" s="191" t="s">
        <v>110</v>
      </c>
      <c r="G341" s="36" t="s">
        <v>1668</v>
      </c>
      <c r="H341" s="28">
        <f>H340-E341</f>
        <v>22620</v>
      </c>
      <c r="I341" s="61" t="s">
        <v>22</v>
      </c>
      <c r="J341" s="28"/>
      <c r="K341" s="27">
        <v>260731009</v>
      </c>
      <c r="L341" s="27">
        <v>41</v>
      </c>
      <c r="M341" s="27">
        <f>L341-D341</f>
        <v>37</v>
      </c>
      <c r="N341" s="19">
        <v>46219</v>
      </c>
      <c r="O341" s="21">
        <f t="shared" si="20"/>
        <v>46583</v>
      </c>
    </row>
    <row r="342" spans="1:15" ht="20.149999999999999" hidden="1" customHeight="1" x14ac:dyDescent="0.25">
      <c r="A342" s="26">
        <v>46237</v>
      </c>
      <c r="B342" s="26">
        <v>46238</v>
      </c>
      <c r="C342" s="27" t="s">
        <v>1731</v>
      </c>
      <c r="D342" s="27">
        <v>4</v>
      </c>
      <c r="E342" s="27">
        <f t="shared" si="21"/>
        <v>780</v>
      </c>
      <c r="F342" s="191" t="s">
        <v>110</v>
      </c>
      <c r="G342" s="36" t="s">
        <v>1668</v>
      </c>
      <c r="H342" s="28">
        <f>H341-E342</f>
        <v>21840</v>
      </c>
      <c r="I342" s="61" t="s">
        <v>22</v>
      </c>
      <c r="J342" s="28"/>
      <c r="K342" s="27">
        <v>260731009</v>
      </c>
      <c r="L342" s="27">
        <v>42</v>
      </c>
      <c r="M342" s="27">
        <f>L342-D342</f>
        <v>38</v>
      </c>
      <c r="N342" s="19">
        <v>46220</v>
      </c>
      <c r="O342" s="21">
        <f t="shared" si="20"/>
        <v>46584</v>
      </c>
    </row>
    <row r="343" spans="1:15" ht="20.149999999999999" hidden="1" customHeight="1" x14ac:dyDescent="0.25">
      <c r="A343" s="26">
        <v>46237</v>
      </c>
      <c r="B343" s="26">
        <v>46238</v>
      </c>
      <c r="C343" s="27" t="s">
        <v>1732</v>
      </c>
      <c r="D343" s="27">
        <v>4</v>
      </c>
      <c r="E343" s="27">
        <f t="shared" si="21"/>
        <v>780</v>
      </c>
      <c r="F343" s="191" t="s">
        <v>110</v>
      </c>
      <c r="G343" s="36" t="s">
        <v>1668</v>
      </c>
      <c r="H343" s="28">
        <f>H342-E343</f>
        <v>21060</v>
      </c>
      <c r="I343" s="61" t="s">
        <v>22</v>
      </c>
      <c r="J343" s="28"/>
      <c r="K343" s="27">
        <v>260731009</v>
      </c>
      <c r="L343" s="27">
        <v>41</v>
      </c>
      <c r="M343" s="27">
        <f>L343-D343</f>
        <v>37</v>
      </c>
      <c r="N343" s="19">
        <v>46223</v>
      </c>
      <c r="O343" s="21">
        <f t="shared" si="20"/>
        <v>46587</v>
      </c>
    </row>
    <row r="344" spans="1:15" ht="20.149999999999999" hidden="1" customHeight="1" x14ac:dyDescent="0.25">
      <c r="A344" s="22">
        <v>46237</v>
      </c>
      <c r="B344" s="22">
        <v>46238</v>
      </c>
      <c r="C344" s="23" t="s">
        <v>1407</v>
      </c>
      <c r="D344" s="23">
        <v>12</v>
      </c>
      <c r="E344" s="23">
        <f t="shared" si="21"/>
        <v>2340</v>
      </c>
      <c r="F344" s="23" t="s">
        <v>860</v>
      </c>
      <c r="G344" s="38" t="s">
        <v>1743</v>
      </c>
      <c r="H344" s="25">
        <f>H337-E344</f>
        <v>1920</v>
      </c>
      <c r="I344" s="25"/>
      <c r="J344" s="25"/>
      <c r="K344" s="23">
        <v>260731010</v>
      </c>
      <c r="L344" s="23"/>
      <c r="M344" s="23">
        <f>M338-D344</f>
        <v>0</v>
      </c>
      <c r="N344" s="19">
        <v>46185</v>
      </c>
      <c r="O344" s="21">
        <f t="shared" si="20"/>
        <v>46549</v>
      </c>
    </row>
    <row r="345" spans="1:15" ht="20.149999999999999" hidden="1" customHeight="1" x14ac:dyDescent="0.2">
      <c r="A345" s="33">
        <v>46238</v>
      </c>
      <c r="B345" s="33">
        <v>46238</v>
      </c>
      <c r="C345" s="34" t="s">
        <v>1747</v>
      </c>
      <c r="D345" s="34">
        <v>20</v>
      </c>
      <c r="E345" s="34">
        <f t="shared" si="21"/>
        <v>3900</v>
      </c>
      <c r="F345" s="39" t="s">
        <v>26</v>
      </c>
      <c r="G345" s="39" t="s">
        <v>1750</v>
      </c>
      <c r="H345" s="35">
        <f>H338-E345</f>
        <v>11700</v>
      </c>
      <c r="I345" s="35"/>
      <c r="J345" s="35"/>
      <c r="K345" s="34">
        <v>260803004</v>
      </c>
      <c r="L345" s="34"/>
      <c r="M345" s="34">
        <f>M339-D345</f>
        <v>1</v>
      </c>
      <c r="N345" s="19">
        <v>46188</v>
      </c>
      <c r="O345" s="21">
        <f t="shared" si="20"/>
        <v>46552</v>
      </c>
    </row>
    <row r="346" spans="1:15" ht="20.149999999999999" hidden="1" customHeight="1" x14ac:dyDescent="0.25">
      <c r="A346" s="40">
        <v>46238</v>
      </c>
      <c r="B346" s="40">
        <v>46239</v>
      </c>
      <c r="C346" s="41" t="s">
        <v>1445</v>
      </c>
      <c r="D346" s="41">
        <v>1</v>
      </c>
      <c r="E346" s="41">
        <f t="shared" si="21"/>
        <v>195</v>
      </c>
      <c r="F346" s="152" t="s">
        <v>618</v>
      </c>
      <c r="G346" s="60" t="s">
        <v>1657</v>
      </c>
      <c r="H346" s="42">
        <f>H339-E346</f>
        <v>6545</v>
      </c>
      <c r="I346" s="42"/>
      <c r="J346" s="42"/>
      <c r="K346" s="41">
        <v>260803005</v>
      </c>
      <c r="L346" s="41"/>
      <c r="M346" s="41">
        <f>M345-D346</f>
        <v>0</v>
      </c>
      <c r="N346" s="19">
        <v>46188</v>
      </c>
      <c r="O346" s="21">
        <f t="shared" si="20"/>
        <v>46552</v>
      </c>
    </row>
    <row r="347" spans="1:15" ht="20.149999999999999" hidden="1" customHeight="1" x14ac:dyDescent="0.25">
      <c r="A347" s="40">
        <v>46238</v>
      </c>
      <c r="B347" s="40">
        <v>46239</v>
      </c>
      <c r="C347" s="41" t="s">
        <v>1748</v>
      </c>
      <c r="D347" s="41">
        <v>11</v>
      </c>
      <c r="E347" s="41">
        <f t="shared" si="21"/>
        <v>2145</v>
      </c>
      <c r="F347" s="152" t="s">
        <v>618</v>
      </c>
      <c r="G347" s="60" t="s">
        <v>1657</v>
      </c>
      <c r="H347" s="42">
        <f>H346-E347</f>
        <v>4400</v>
      </c>
      <c r="I347" s="42"/>
      <c r="J347" s="42"/>
      <c r="K347" s="41">
        <v>260803005</v>
      </c>
      <c r="L347" s="41"/>
      <c r="M347" s="41">
        <f>M263-D347</f>
        <v>27</v>
      </c>
      <c r="N347" s="19">
        <v>46190</v>
      </c>
      <c r="O347" s="21">
        <f t="shared" si="20"/>
        <v>46554</v>
      </c>
    </row>
    <row r="348" spans="1:15" ht="20.149999999999999" hidden="1" customHeight="1" x14ac:dyDescent="0.2">
      <c r="A348" s="26">
        <v>46239</v>
      </c>
      <c r="B348" s="26">
        <v>46240</v>
      </c>
      <c r="C348" s="27" t="s">
        <v>1762</v>
      </c>
      <c r="D348" s="27">
        <v>4</v>
      </c>
      <c r="E348" s="27">
        <f t="shared" si="21"/>
        <v>780</v>
      </c>
      <c r="F348" s="36" t="s">
        <v>31</v>
      </c>
      <c r="G348" s="36" t="s">
        <v>1180</v>
      </c>
      <c r="H348" s="28">
        <f>H244-E348</f>
        <v>91420</v>
      </c>
      <c r="I348" s="28"/>
      <c r="J348" s="28"/>
      <c r="K348" s="27">
        <v>260804005</v>
      </c>
      <c r="L348" s="27"/>
      <c r="M348" s="27">
        <f>M118-D348</f>
        <v>0</v>
      </c>
      <c r="N348" s="19">
        <v>46094</v>
      </c>
      <c r="O348" s="21">
        <f t="shared" si="20"/>
        <v>46458</v>
      </c>
    </row>
    <row r="349" spans="1:15" ht="20.149999999999999" hidden="1" customHeight="1" x14ac:dyDescent="0.2">
      <c r="A349" s="26">
        <v>46239</v>
      </c>
      <c r="B349" s="26">
        <v>46240</v>
      </c>
      <c r="C349" s="27" t="s">
        <v>1763</v>
      </c>
      <c r="D349" s="27">
        <v>4</v>
      </c>
      <c r="E349" s="27">
        <f t="shared" si="21"/>
        <v>780</v>
      </c>
      <c r="F349" s="36" t="s">
        <v>31</v>
      </c>
      <c r="G349" s="36" t="s">
        <v>1754</v>
      </c>
      <c r="H349" s="28">
        <f>H348-E349</f>
        <v>90640</v>
      </c>
      <c r="I349" s="28"/>
      <c r="J349" s="28"/>
      <c r="K349" s="27">
        <v>260804005</v>
      </c>
      <c r="L349" s="27"/>
      <c r="M349" s="27">
        <f>M120-D349</f>
        <v>0</v>
      </c>
      <c r="N349" s="19">
        <v>46096</v>
      </c>
      <c r="O349" s="21">
        <f t="shared" si="20"/>
        <v>46460</v>
      </c>
    </row>
    <row r="350" spans="1:15" ht="20.149999999999999" hidden="1" customHeight="1" x14ac:dyDescent="0.2">
      <c r="A350" s="26">
        <v>46239</v>
      </c>
      <c r="B350" s="26">
        <v>46240</v>
      </c>
      <c r="C350" s="27" t="s">
        <v>1764</v>
      </c>
      <c r="D350" s="27">
        <v>4</v>
      </c>
      <c r="E350" s="27">
        <f t="shared" si="21"/>
        <v>780</v>
      </c>
      <c r="F350" s="36" t="s">
        <v>31</v>
      </c>
      <c r="G350" s="36" t="s">
        <v>1755</v>
      </c>
      <c r="H350" s="28">
        <f>H349-E350</f>
        <v>89860</v>
      </c>
      <c r="I350" s="28"/>
      <c r="J350" s="28"/>
      <c r="K350" s="27">
        <v>260804005</v>
      </c>
      <c r="L350" s="27"/>
      <c r="M350" s="27">
        <f>M125-D350</f>
        <v>0</v>
      </c>
      <c r="N350" s="19">
        <v>46098</v>
      </c>
      <c r="O350" s="21">
        <f t="shared" si="20"/>
        <v>46462</v>
      </c>
    </row>
    <row r="351" spans="1:15" ht="20.149999999999999" hidden="1" customHeight="1" x14ac:dyDescent="0.2">
      <c r="A351" s="26">
        <v>46239</v>
      </c>
      <c r="B351" s="26">
        <v>46240</v>
      </c>
      <c r="C351" s="27" t="s">
        <v>1765</v>
      </c>
      <c r="D351" s="27">
        <v>4</v>
      </c>
      <c r="E351" s="27">
        <f t="shared" si="21"/>
        <v>780</v>
      </c>
      <c r="F351" s="36" t="s">
        <v>31</v>
      </c>
      <c r="G351" s="36" t="s">
        <v>1756</v>
      </c>
      <c r="H351" s="28">
        <f>H350-E351</f>
        <v>89080</v>
      </c>
      <c r="I351" s="28"/>
      <c r="J351" s="28"/>
      <c r="K351" s="27">
        <v>260804005</v>
      </c>
      <c r="L351" s="27"/>
      <c r="M351" s="27">
        <f>M131-D351</f>
        <v>0</v>
      </c>
      <c r="N351" s="19">
        <v>46100</v>
      </c>
      <c r="O351" s="21">
        <f t="shared" si="20"/>
        <v>46464</v>
      </c>
    </row>
    <row r="352" spans="1:15" ht="20.149999999999999" hidden="1" customHeight="1" x14ac:dyDescent="0.25">
      <c r="A352" s="29">
        <v>46240</v>
      </c>
      <c r="B352" s="29">
        <v>46241</v>
      </c>
      <c r="C352" s="30" t="s">
        <v>1770</v>
      </c>
      <c r="D352" s="30">
        <v>4</v>
      </c>
      <c r="E352" s="30">
        <f t="shared" si="21"/>
        <v>780</v>
      </c>
      <c r="F352" s="189" t="s">
        <v>110</v>
      </c>
      <c r="G352" s="37" t="s">
        <v>1784</v>
      </c>
      <c r="H352" s="32">
        <f>H343-E352</f>
        <v>20280</v>
      </c>
      <c r="I352" s="70" t="s">
        <v>22</v>
      </c>
      <c r="J352" s="32"/>
      <c r="K352" s="30">
        <v>260805005</v>
      </c>
      <c r="L352" s="30">
        <v>41</v>
      </c>
      <c r="M352" s="30">
        <f>L352-D352</f>
        <v>37</v>
      </c>
      <c r="N352" s="19">
        <v>46224</v>
      </c>
      <c r="O352" s="21">
        <f t="shared" si="20"/>
        <v>46588</v>
      </c>
    </row>
    <row r="353" spans="1:15" ht="20.149999999999999" hidden="1" customHeight="1" x14ac:dyDescent="0.25">
      <c r="A353" s="29">
        <v>46240</v>
      </c>
      <c r="B353" s="29">
        <v>46241</v>
      </c>
      <c r="C353" s="30" t="s">
        <v>1778</v>
      </c>
      <c r="D353" s="30">
        <v>4</v>
      </c>
      <c r="E353" s="30">
        <f t="shared" si="21"/>
        <v>780</v>
      </c>
      <c r="F353" s="189" t="s">
        <v>110</v>
      </c>
      <c r="G353" s="37" t="s">
        <v>1668</v>
      </c>
      <c r="H353" s="32">
        <f>H352-E353</f>
        <v>19500</v>
      </c>
      <c r="I353" s="70" t="s">
        <v>22</v>
      </c>
      <c r="J353" s="32"/>
      <c r="K353" s="30">
        <v>260805005</v>
      </c>
      <c r="L353" s="30">
        <v>42</v>
      </c>
      <c r="M353" s="30">
        <f>L353-D353</f>
        <v>38</v>
      </c>
      <c r="N353" s="19">
        <v>46225</v>
      </c>
      <c r="O353" s="21">
        <f t="shared" si="20"/>
        <v>46589</v>
      </c>
    </row>
    <row r="354" spans="1:15" ht="20.149999999999999" hidden="1" customHeight="1" x14ac:dyDescent="0.25">
      <c r="A354" s="29">
        <v>46240</v>
      </c>
      <c r="B354" s="29">
        <v>46241</v>
      </c>
      <c r="C354" s="30" t="s">
        <v>1771</v>
      </c>
      <c r="D354" s="30">
        <v>4</v>
      </c>
      <c r="E354" s="30">
        <f t="shared" si="21"/>
        <v>780</v>
      </c>
      <c r="F354" s="189" t="s">
        <v>110</v>
      </c>
      <c r="G354" s="37" t="s">
        <v>1668</v>
      </c>
      <c r="H354" s="32">
        <f>H353-E354</f>
        <v>18720</v>
      </c>
      <c r="I354" s="70" t="s">
        <v>22</v>
      </c>
      <c r="J354" s="32"/>
      <c r="K354" s="30">
        <v>260805005</v>
      </c>
      <c r="L354" s="30">
        <v>41</v>
      </c>
      <c r="M354" s="30">
        <f>L354-D354</f>
        <v>37</v>
      </c>
      <c r="N354" s="19">
        <v>46226</v>
      </c>
      <c r="O354" s="21">
        <f t="shared" si="20"/>
        <v>46590</v>
      </c>
    </row>
    <row r="355" spans="1:15" ht="20.149999999999999" hidden="1" customHeight="1" x14ac:dyDescent="0.25">
      <c r="A355" s="22">
        <v>46240</v>
      </c>
      <c r="B355" s="22">
        <v>46241</v>
      </c>
      <c r="C355" s="23" t="s">
        <v>1779</v>
      </c>
      <c r="D355" s="23">
        <v>3</v>
      </c>
      <c r="E355" s="23">
        <f t="shared" si="21"/>
        <v>585</v>
      </c>
      <c r="F355" s="154" t="s">
        <v>618</v>
      </c>
      <c r="G355" s="38" t="s">
        <v>1785</v>
      </c>
      <c r="H355" s="25">
        <f>H347-E355</f>
        <v>3815</v>
      </c>
      <c r="I355" s="25"/>
      <c r="J355" s="25"/>
      <c r="K355" s="23">
        <v>260805006</v>
      </c>
      <c r="L355" s="23"/>
      <c r="M355" s="23">
        <f>M347-D355</f>
        <v>24</v>
      </c>
      <c r="N355" s="19">
        <v>46190</v>
      </c>
      <c r="O355" s="21">
        <f t="shared" si="20"/>
        <v>46554</v>
      </c>
    </row>
    <row r="356" spans="1:15" ht="20.149999999999999" hidden="1" customHeight="1" x14ac:dyDescent="0.25">
      <c r="A356" s="22">
        <v>46240</v>
      </c>
      <c r="B356" s="22">
        <v>46241</v>
      </c>
      <c r="C356" s="23" t="s">
        <v>1780</v>
      </c>
      <c r="D356" s="23">
        <v>13</v>
      </c>
      <c r="E356" s="23">
        <f t="shared" si="21"/>
        <v>2535</v>
      </c>
      <c r="F356" s="154" t="s">
        <v>618</v>
      </c>
      <c r="G356" s="38" t="s">
        <v>1773</v>
      </c>
      <c r="H356" s="25">
        <f>H355-E356</f>
        <v>1280</v>
      </c>
      <c r="I356" s="25"/>
      <c r="J356" s="25"/>
      <c r="K356" s="23">
        <v>260805006</v>
      </c>
      <c r="L356" s="23"/>
      <c r="M356" s="23">
        <f>M264-D356</f>
        <v>24</v>
      </c>
      <c r="N356" s="19">
        <v>46192</v>
      </c>
      <c r="O356" s="21">
        <f t="shared" si="20"/>
        <v>46556</v>
      </c>
    </row>
    <row r="357" spans="1:15" ht="20.149999999999999" hidden="1" customHeight="1" x14ac:dyDescent="0.25">
      <c r="A357" s="33">
        <v>46240</v>
      </c>
      <c r="B357" s="33">
        <v>46241</v>
      </c>
      <c r="C357" s="34" t="s">
        <v>1781</v>
      </c>
      <c r="D357" s="34">
        <v>8</v>
      </c>
      <c r="E357" s="34">
        <f t="shared" si="21"/>
        <v>1560</v>
      </c>
      <c r="F357" s="34" t="s">
        <v>860</v>
      </c>
      <c r="G357" s="39" t="s">
        <v>1392</v>
      </c>
      <c r="H357" s="35">
        <f>H344-E357</f>
        <v>360</v>
      </c>
      <c r="I357" s="35"/>
      <c r="J357" s="35"/>
      <c r="K357" s="34">
        <v>260805007</v>
      </c>
      <c r="L357" s="34"/>
      <c r="M357" s="34">
        <f>M355-D357</f>
        <v>16</v>
      </c>
      <c r="N357" s="19">
        <v>46190</v>
      </c>
      <c r="O357" s="21">
        <f t="shared" si="20"/>
        <v>46554</v>
      </c>
    </row>
    <row r="358" spans="1:15" ht="20.149999999999999" hidden="1" customHeight="1" x14ac:dyDescent="0.2">
      <c r="A358" s="40">
        <v>46241</v>
      </c>
      <c r="B358" s="40">
        <v>46241</v>
      </c>
      <c r="C358" s="41" t="s">
        <v>1446</v>
      </c>
      <c r="D358" s="41">
        <v>16</v>
      </c>
      <c r="E358" s="41">
        <f t="shared" si="21"/>
        <v>3120</v>
      </c>
      <c r="F358" s="60" t="s">
        <v>26</v>
      </c>
      <c r="G358" s="60" t="s">
        <v>1789</v>
      </c>
      <c r="H358" s="42">
        <f>H345-E358</f>
        <v>8580</v>
      </c>
      <c r="I358" s="42"/>
      <c r="J358" s="42"/>
      <c r="K358" s="41">
        <v>260806009</v>
      </c>
      <c r="L358" s="41"/>
      <c r="M358" s="41">
        <f>M357-D358</f>
        <v>0</v>
      </c>
      <c r="N358" s="19">
        <v>46190</v>
      </c>
      <c r="O358" s="21">
        <f t="shared" si="20"/>
        <v>46554</v>
      </c>
    </row>
    <row r="359" spans="1:15" ht="20.149999999999999" hidden="1" customHeight="1" x14ac:dyDescent="0.25">
      <c r="A359" s="29">
        <v>46241</v>
      </c>
      <c r="B359" s="29">
        <v>46244</v>
      </c>
      <c r="C359" s="30" t="s">
        <v>1787</v>
      </c>
      <c r="D359" s="30">
        <v>4</v>
      </c>
      <c r="E359" s="30">
        <f t="shared" si="21"/>
        <v>780</v>
      </c>
      <c r="F359" s="156" t="s">
        <v>618</v>
      </c>
      <c r="G359" s="37" t="s">
        <v>1657</v>
      </c>
      <c r="H359" s="32">
        <f>H356-E359</f>
        <v>500</v>
      </c>
      <c r="I359" s="32"/>
      <c r="J359" s="32"/>
      <c r="K359" s="30">
        <v>260806010</v>
      </c>
      <c r="L359" s="30"/>
      <c r="M359" s="30">
        <f>M356-D359</f>
        <v>20</v>
      </c>
      <c r="N359" s="19">
        <v>46192</v>
      </c>
      <c r="O359" s="21">
        <f t="shared" si="20"/>
        <v>46556</v>
      </c>
    </row>
    <row r="360" spans="1:15" ht="20.149999999999999" hidden="1" customHeight="1" x14ac:dyDescent="0.25">
      <c r="A360" s="29">
        <v>46241</v>
      </c>
      <c r="B360" s="29">
        <v>46244</v>
      </c>
      <c r="C360" s="30" t="s">
        <v>1788</v>
      </c>
      <c r="D360" s="30">
        <v>12</v>
      </c>
      <c r="E360" s="30">
        <f t="shared" si="21"/>
        <v>2340</v>
      </c>
      <c r="F360" s="156" t="s">
        <v>618</v>
      </c>
      <c r="G360" s="161" t="s">
        <v>1791</v>
      </c>
      <c r="H360" s="32">
        <f>20280-E360</f>
        <v>17940</v>
      </c>
      <c r="I360" s="32"/>
      <c r="J360" s="32"/>
      <c r="K360" s="30" t="s">
        <v>1790</v>
      </c>
      <c r="L360" s="30"/>
      <c r="M360" s="30">
        <f>M277-D360</f>
        <v>21</v>
      </c>
      <c r="N360" s="19">
        <v>46195</v>
      </c>
      <c r="O360" s="21">
        <f t="shared" si="20"/>
        <v>46559</v>
      </c>
    </row>
    <row r="361" spans="1:15" ht="20.149999999999999" hidden="1" customHeight="1" x14ac:dyDescent="0.25">
      <c r="A361" s="26">
        <v>46244</v>
      </c>
      <c r="B361" s="26">
        <v>46245</v>
      </c>
      <c r="C361" s="27" t="s">
        <v>1797</v>
      </c>
      <c r="D361" s="27">
        <v>4</v>
      </c>
      <c r="E361" s="27">
        <f t="shared" si="21"/>
        <v>780</v>
      </c>
      <c r="F361" s="191" t="s">
        <v>110</v>
      </c>
      <c r="G361" s="36" t="s">
        <v>1810</v>
      </c>
      <c r="H361" s="28">
        <f>H354-E361</f>
        <v>17940</v>
      </c>
      <c r="I361" s="61" t="s">
        <v>22</v>
      </c>
      <c r="J361" s="28"/>
      <c r="K361" s="27">
        <v>260807007</v>
      </c>
      <c r="L361" s="27">
        <v>41</v>
      </c>
      <c r="M361" s="27">
        <f>L361-D361</f>
        <v>37</v>
      </c>
      <c r="N361" s="19">
        <v>46227</v>
      </c>
      <c r="O361" s="21">
        <f t="shared" si="20"/>
        <v>46591</v>
      </c>
    </row>
    <row r="362" spans="1:15" ht="20.149999999999999" hidden="1" customHeight="1" x14ac:dyDescent="0.25">
      <c r="A362" s="26">
        <v>46244</v>
      </c>
      <c r="B362" s="26">
        <v>46245</v>
      </c>
      <c r="C362" s="27" t="s">
        <v>1803</v>
      </c>
      <c r="D362" s="27">
        <v>4</v>
      </c>
      <c r="E362" s="27">
        <f t="shared" si="21"/>
        <v>780</v>
      </c>
      <c r="F362" s="191" t="s">
        <v>110</v>
      </c>
      <c r="G362" s="36" t="s">
        <v>1668</v>
      </c>
      <c r="H362" s="28">
        <f>H361-E362</f>
        <v>17160</v>
      </c>
      <c r="I362" s="61" t="s">
        <v>22</v>
      </c>
      <c r="J362" s="28"/>
      <c r="K362" s="27">
        <v>260807007</v>
      </c>
      <c r="L362" s="27">
        <v>42</v>
      </c>
      <c r="M362" s="27">
        <f>L362-D362</f>
        <v>38</v>
      </c>
      <c r="N362" s="19">
        <v>46228</v>
      </c>
      <c r="O362" s="21">
        <f t="shared" si="20"/>
        <v>46592</v>
      </c>
    </row>
    <row r="363" spans="1:15" ht="20.149999999999999" hidden="1" customHeight="1" x14ac:dyDescent="0.25">
      <c r="A363" s="26">
        <v>46244</v>
      </c>
      <c r="B363" s="26">
        <v>46245</v>
      </c>
      <c r="C363" s="27" t="s">
        <v>1798</v>
      </c>
      <c r="D363" s="27">
        <v>4</v>
      </c>
      <c r="E363" s="27">
        <f t="shared" si="21"/>
        <v>780</v>
      </c>
      <c r="F363" s="191" t="s">
        <v>110</v>
      </c>
      <c r="G363" s="36" t="s">
        <v>1668</v>
      </c>
      <c r="H363" s="28">
        <f>H362-E363</f>
        <v>16380</v>
      </c>
      <c r="I363" s="61" t="s">
        <v>22</v>
      </c>
      <c r="J363" s="28"/>
      <c r="K363" s="27">
        <v>260807007</v>
      </c>
      <c r="L363" s="27">
        <f>42-4</f>
        <v>38</v>
      </c>
      <c r="M363" s="27">
        <f>L363-D363</f>
        <v>34</v>
      </c>
      <c r="N363" s="19">
        <v>46230</v>
      </c>
      <c r="O363" s="21">
        <f t="shared" si="20"/>
        <v>46594</v>
      </c>
    </row>
    <row r="364" spans="1:15" ht="20.149999999999999" hidden="1" customHeight="1" x14ac:dyDescent="0.25">
      <c r="A364" s="22">
        <v>46244</v>
      </c>
      <c r="B364" s="22">
        <v>46245</v>
      </c>
      <c r="C364" s="23" t="s">
        <v>1804</v>
      </c>
      <c r="D364" s="23">
        <v>12</v>
      </c>
      <c r="E364" s="23">
        <f t="shared" si="21"/>
        <v>2340</v>
      </c>
      <c r="F364" s="23" t="s">
        <v>860</v>
      </c>
      <c r="G364" s="23" t="s">
        <v>1811</v>
      </c>
      <c r="H364" s="25">
        <f>40000-E364</f>
        <v>37660</v>
      </c>
      <c r="I364" s="25"/>
      <c r="J364" s="25"/>
      <c r="K364" s="23">
        <v>260807008</v>
      </c>
      <c r="L364" s="23"/>
      <c r="M364" s="23">
        <f>M359-D364</f>
        <v>8</v>
      </c>
      <c r="N364" s="19">
        <v>46192</v>
      </c>
      <c r="O364" s="21">
        <f t="shared" si="20"/>
        <v>46556</v>
      </c>
    </row>
    <row r="365" spans="1:15" ht="20.149999999999999" hidden="1" customHeight="1" x14ac:dyDescent="0.2">
      <c r="A365" s="33">
        <v>46245</v>
      </c>
      <c r="B365" s="33">
        <v>46245</v>
      </c>
      <c r="C365" s="34" t="s">
        <v>1818</v>
      </c>
      <c r="D365" s="34">
        <v>8</v>
      </c>
      <c r="E365" s="34">
        <f t="shared" si="21"/>
        <v>1560</v>
      </c>
      <c r="F365" s="39" t="s">
        <v>26</v>
      </c>
      <c r="G365" s="39" t="s">
        <v>1645</v>
      </c>
      <c r="H365" s="35">
        <f>H358-E365</f>
        <v>7020</v>
      </c>
      <c r="I365" s="35"/>
      <c r="J365" s="35"/>
      <c r="K365" s="34">
        <v>260810008</v>
      </c>
      <c r="L365" s="34"/>
      <c r="M365" s="34">
        <f>M364-D365</f>
        <v>0</v>
      </c>
      <c r="N365" s="19">
        <v>46192</v>
      </c>
      <c r="O365" s="21">
        <f t="shared" si="20"/>
        <v>46556</v>
      </c>
    </row>
    <row r="366" spans="1:15" ht="20.149999999999999" hidden="1" customHeight="1" x14ac:dyDescent="0.2">
      <c r="A366" s="33">
        <v>46245</v>
      </c>
      <c r="B366" s="33">
        <v>46245</v>
      </c>
      <c r="C366" s="34" t="s">
        <v>1508</v>
      </c>
      <c r="D366" s="34">
        <v>12</v>
      </c>
      <c r="E366" s="34">
        <f t="shared" si="21"/>
        <v>2340</v>
      </c>
      <c r="F366" s="39" t="s">
        <v>26</v>
      </c>
      <c r="G366" s="39" t="s">
        <v>1815</v>
      </c>
      <c r="H366" s="35">
        <f>H365-E366</f>
        <v>4680</v>
      </c>
      <c r="I366" s="35"/>
      <c r="J366" s="35"/>
      <c r="K366" s="34">
        <v>260810008</v>
      </c>
      <c r="L366" s="34"/>
      <c r="M366" s="34">
        <f>M360-D366</f>
        <v>9</v>
      </c>
      <c r="N366" s="19">
        <v>46195</v>
      </c>
      <c r="O366" s="21">
        <f t="shared" si="20"/>
        <v>46559</v>
      </c>
    </row>
    <row r="367" spans="1:15" ht="20.149999999999999" hidden="1" customHeight="1" x14ac:dyDescent="0.25">
      <c r="A367" s="40">
        <v>46245</v>
      </c>
      <c r="B367" s="40">
        <v>46246</v>
      </c>
      <c r="C367" s="41" t="s">
        <v>1819</v>
      </c>
      <c r="D367" s="41">
        <v>9</v>
      </c>
      <c r="E367" s="41">
        <f t="shared" si="21"/>
        <v>1755</v>
      </c>
      <c r="F367" s="152" t="s">
        <v>618</v>
      </c>
      <c r="G367" s="60" t="s">
        <v>1824</v>
      </c>
      <c r="H367" s="42">
        <f>H360-E367</f>
        <v>16185</v>
      </c>
      <c r="I367" s="42"/>
      <c r="J367" s="42"/>
      <c r="K367" s="41">
        <v>260810009</v>
      </c>
      <c r="L367" s="41"/>
      <c r="M367" s="41">
        <f>M366-D367</f>
        <v>0</v>
      </c>
      <c r="N367" s="19">
        <v>46195</v>
      </c>
      <c r="O367" s="21">
        <f t="shared" si="20"/>
        <v>46559</v>
      </c>
    </row>
    <row r="368" spans="1:15" ht="20.149999999999999" hidden="1" customHeight="1" x14ac:dyDescent="0.25">
      <c r="A368" s="40">
        <v>46245</v>
      </c>
      <c r="B368" s="40">
        <v>46246</v>
      </c>
      <c r="C368" s="41" t="s">
        <v>1820</v>
      </c>
      <c r="D368" s="41">
        <v>7</v>
      </c>
      <c r="E368" s="41">
        <f t="shared" si="21"/>
        <v>1365</v>
      </c>
      <c r="F368" s="152" t="s">
        <v>618</v>
      </c>
      <c r="G368" s="60" t="s">
        <v>1816</v>
      </c>
      <c r="H368" s="42">
        <f>H367-E368</f>
        <v>14820</v>
      </c>
      <c r="I368" s="42"/>
      <c r="J368" s="42"/>
      <c r="K368" s="41">
        <v>260810009</v>
      </c>
      <c r="L368" s="41"/>
      <c r="M368" s="41">
        <f>M278-D368</f>
        <v>30</v>
      </c>
      <c r="N368" s="19">
        <v>46197</v>
      </c>
      <c r="O368" s="21">
        <f t="shared" si="20"/>
        <v>46561</v>
      </c>
    </row>
    <row r="369" spans="1:15" ht="20.149999999999999" hidden="1" customHeight="1" x14ac:dyDescent="0.25">
      <c r="A369" s="29">
        <v>46247</v>
      </c>
      <c r="B369" s="29">
        <v>46248</v>
      </c>
      <c r="C369" s="30" t="s">
        <v>1838</v>
      </c>
      <c r="D369" s="30">
        <v>4</v>
      </c>
      <c r="E369" s="30">
        <f t="shared" si="21"/>
        <v>780</v>
      </c>
      <c r="F369" s="189" t="s">
        <v>110</v>
      </c>
      <c r="G369" s="37" t="s">
        <v>1842</v>
      </c>
      <c r="H369" s="32">
        <f>H363-E369</f>
        <v>15600</v>
      </c>
      <c r="I369" s="70" t="s">
        <v>22</v>
      </c>
      <c r="J369" s="32"/>
      <c r="K369" s="30">
        <v>260812007</v>
      </c>
      <c r="L369" s="30">
        <v>41</v>
      </c>
      <c r="M369" s="30">
        <f>L369-D369</f>
        <v>37</v>
      </c>
      <c r="N369" s="19">
        <v>46231</v>
      </c>
      <c r="O369" s="21">
        <f t="shared" si="20"/>
        <v>46595</v>
      </c>
    </row>
    <row r="370" spans="1:15" ht="20.149999999999999" hidden="1" customHeight="1" x14ac:dyDescent="0.25">
      <c r="A370" s="29">
        <v>46247</v>
      </c>
      <c r="B370" s="29">
        <v>46248</v>
      </c>
      <c r="C370" s="30" t="s">
        <v>1834</v>
      </c>
      <c r="D370" s="30">
        <v>4</v>
      </c>
      <c r="E370" s="30">
        <f t="shared" si="21"/>
        <v>780</v>
      </c>
      <c r="F370" s="189" t="s">
        <v>110</v>
      </c>
      <c r="G370" s="37" t="s">
        <v>1668</v>
      </c>
      <c r="H370" s="32">
        <f>H369-E370</f>
        <v>14820</v>
      </c>
      <c r="I370" s="70" t="s">
        <v>22</v>
      </c>
      <c r="J370" s="32"/>
      <c r="K370" s="30">
        <v>260812007</v>
      </c>
      <c r="L370" s="30">
        <v>41</v>
      </c>
      <c r="M370" s="30">
        <f>L370-D370</f>
        <v>37</v>
      </c>
      <c r="N370" s="19">
        <v>46232</v>
      </c>
      <c r="O370" s="21">
        <f t="shared" si="20"/>
        <v>46596</v>
      </c>
    </row>
    <row r="371" spans="1:15" ht="20.149999999999999" hidden="1" customHeight="1" x14ac:dyDescent="0.25">
      <c r="A371" s="29">
        <v>46247</v>
      </c>
      <c r="B371" s="29">
        <v>46248</v>
      </c>
      <c r="C371" s="30" t="s">
        <v>1835</v>
      </c>
      <c r="D371" s="30">
        <v>4</v>
      </c>
      <c r="E371" s="30">
        <f t="shared" si="21"/>
        <v>780</v>
      </c>
      <c r="F371" s="189" t="s">
        <v>110</v>
      </c>
      <c r="G371" s="37" t="s">
        <v>1668</v>
      </c>
      <c r="H371" s="32">
        <f>H370-E371</f>
        <v>14040</v>
      </c>
      <c r="I371" s="70" t="s">
        <v>22</v>
      </c>
      <c r="J371" s="32"/>
      <c r="K371" s="30">
        <v>260812007</v>
      </c>
      <c r="L371" s="30">
        <v>41</v>
      </c>
      <c r="M371" s="30">
        <f>L371-D371</f>
        <v>37</v>
      </c>
      <c r="N371" s="19">
        <v>46233</v>
      </c>
      <c r="O371" s="21">
        <f t="shared" si="20"/>
        <v>46597</v>
      </c>
    </row>
    <row r="372" spans="1:15" ht="20.149999999999999" hidden="1" customHeight="1" x14ac:dyDescent="0.25">
      <c r="A372" s="22">
        <v>46247</v>
      </c>
      <c r="B372" s="22">
        <v>46248</v>
      </c>
      <c r="C372" s="23" t="s">
        <v>1839</v>
      </c>
      <c r="D372" s="23">
        <v>16</v>
      </c>
      <c r="E372" s="23">
        <f t="shared" si="21"/>
        <v>3120</v>
      </c>
      <c r="F372" s="154" t="s">
        <v>618</v>
      </c>
      <c r="G372" s="38" t="s">
        <v>1843</v>
      </c>
      <c r="H372" s="25">
        <f>H368-E372</f>
        <v>11700</v>
      </c>
      <c r="I372" s="25"/>
      <c r="J372" s="25"/>
      <c r="K372" s="23">
        <v>260812008</v>
      </c>
      <c r="L372" s="23"/>
      <c r="M372" s="23">
        <f>M368-D372</f>
        <v>14</v>
      </c>
      <c r="N372" s="19">
        <v>46197</v>
      </c>
      <c r="O372" s="21">
        <f t="shared" si="20"/>
        <v>46561</v>
      </c>
    </row>
    <row r="373" spans="1:15" ht="20.149999999999999" hidden="1" customHeight="1" x14ac:dyDescent="0.25">
      <c r="A373" s="26">
        <v>46247</v>
      </c>
      <c r="B373" s="26">
        <v>46248</v>
      </c>
      <c r="C373" s="27" t="s">
        <v>1509</v>
      </c>
      <c r="D373" s="27">
        <v>12</v>
      </c>
      <c r="E373" s="27">
        <f t="shared" si="21"/>
        <v>2340</v>
      </c>
      <c r="F373" s="27" t="s">
        <v>860</v>
      </c>
      <c r="G373" s="27" t="s">
        <v>1811</v>
      </c>
      <c r="H373" s="28">
        <f>H364-E373</f>
        <v>35320</v>
      </c>
      <c r="I373" s="28"/>
      <c r="J373" s="28"/>
      <c r="K373" s="27">
        <v>260812009</v>
      </c>
      <c r="L373" s="27"/>
      <c r="M373" s="27">
        <f>M372-D373</f>
        <v>2</v>
      </c>
      <c r="N373" s="19">
        <v>46197</v>
      </c>
      <c r="O373" s="21">
        <f t="shared" si="20"/>
        <v>46561</v>
      </c>
    </row>
    <row r="374" spans="1:15" ht="20.149999999999999" hidden="1" customHeight="1" x14ac:dyDescent="0.2">
      <c r="A374" s="40">
        <v>46248</v>
      </c>
      <c r="B374" s="40">
        <v>46248</v>
      </c>
      <c r="C374" s="41" t="s">
        <v>1850</v>
      </c>
      <c r="D374" s="41">
        <v>2</v>
      </c>
      <c r="E374" s="41">
        <f t="shared" si="21"/>
        <v>390</v>
      </c>
      <c r="F374" s="60" t="s">
        <v>26</v>
      </c>
      <c r="G374" s="60" t="s">
        <v>1856</v>
      </c>
      <c r="H374" s="42">
        <f>H366-E374</f>
        <v>4290</v>
      </c>
      <c r="I374" s="42"/>
      <c r="J374" s="42"/>
      <c r="K374" s="41">
        <v>260813004</v>
      </c>
      <c r="L374" s="41"/>
      <c r="M374" s="41">
        <f>M373-D374</f>
        <v>0</v>
      </c>
      <c r="N374" s="19">
        <v>46197</v>
      </c>
      <c r="O374" s="21">
        <f t="shared" si="20"/>
        <v>46561</v>
      </c>
    </row>
    <row r="375" spans="1:15" ht="20.149999999999999" hidden="1" customHeight="1" x14ac:dyDescent="0.2">
      <c r="A375" s="40">
        <v>46248</v>
      </c>
      <c r="B375" s="40">
        <v>46248</v>
      </c>
      <c r="C375" s="41" t="s">
        <v>1851</v>
      </c>
      <c r="D375" s="41">
        <v>14</v>
      </c>
      <c r="E375" s="41">
        <f t="shared" si="21"/>
        <v>2730</v>
      </c>
      <c r="F375" s="60" t="s">
        <v>26</v>
      </c>
      <c r="G375" s="60" t="s">
        <v>1846</v>
      </c>
      <c r="H375" s="42">
        <f>H374-E375</f>
        <v>1560</v>
      </c>
      <c r="I375" s="42"/>
      <c r="J375" s="42"/>
      <c r="K375" s="41">
        <v>260813004</v>
      </c>
      <c r="L375" s="41"/>
      <c r="M375" s="41">
        <f>M279-D375</f>
        <v>24</v>
      </c>
      <c r="N375" s="19">
        <v>46199</v>
      </c>
      <c r="O375" s="21">
        <f t="shared" si="20"/>
        <v>46563</v>
      </c>
    </row>
    <row r="376" spans="1:15" ht="20.149999999999999" hidden="1" customHeight="1" x14ac:dyDescent="0.25">
      <c r="A376" s="33">
        <v>46248</v>
      </c>
      <c r="B376" s="33">
        <v>46251</v>
      </c>
      <c r="C376" s="34" t="s">
        <v>1852</v>
      </c>
      <c r="D376" s="34">
        <v>16</v>
      </c>
      <c r="E376" s="34">
        <f t="shared" si="21"/>
        <v>3120</v>
      </c>
      <c r="F376" s="155" t="s">
        <v>618</v>
      </c>
      <c r="G376" s="39" t="s">
        <v>1857</v>
      </c>
      <c r="H376" s="35">
        <f>H372-E376</f>
        <v>8580</v>
      </c>
      <c r="I376" s="35"/>
      <c r="J376" s="35"/>
      <c r="K376" s="34">
        <v>260813005</v>
      </c>
      <c r="L376" s="34"/>
      <c r="M376" s="34">
        <f>M375-D376</f>
        <v>8</v>
      </c>
      <c r="N376" s="19">
        <v>46199</v>
      </c>
      <c r="O376" s="21">
        <f t="shared" ref="O376:O381" si="22">DATE(YEAR(N376)+1,MONTH(N376),DAY(N376))-1</f>
        <v>46563</v>
      </c>
    </row>
    <row r="377" spans="1:15" ht="20.149999999999999" hidden="1" customHeight="1" x14ac:dyDescent="0.25">
      <c r="A377" s="26">
        <v>46251</v>
      </c>
      <c r="B377" s="26">
        <v>46252</v>
      </c>
      <c r="C377" s="27" t="s">
        <v>1858</v>
      </c>
      <c r="D377" s="27">
        <v>4</v>
      </c>
      <c r="E377" s="27">
        <f t="shared" si="21"/>
        <v>780</v>
      </c>
      <c r="F377" s="191" t="s">
        <v>110</v>
      </c>
      <c r="G377" s="36" t="s">
        <v>1873</v>
      </c>
      <c r="H377" s="28">
        <f>H371-E377</f>
        <v>13260</v>
      </c>
      <c r="I377" s="61" t="s">
        <v>22</v>
      </c>
      <c r="J377" s="28"/>
      <c r="K377" s="27">
        <v>260814005</v>
      </c>
      <c r="L377" s="27">
        <v>41</v>
      </c>
      <c r="M377" s="27">
        <f>L377-D377</f>
        <v>37</v>
      </c>
      <c r="N377" s="19">
        <v>46234</v>
      </c>
      <c r="O377" s="21">
        <f t="shared" si="22"/>
        <v>46598</v>
      </c>
    </row>
    <row r="378" spans="1:15" ht="20.149999999999999" hidden="1" customHeight="1" x14ac:dyDescent="0.25">
      <c r="A378" s="26">
        <v>46251</v>
      </c>
      <c r="B378" s="26">
        <v>46252</v>
      </c>
      <c r="C378" s="27" t="s">
        <v>1869</v>
      </c>
      <c r="D378" s="27">
        <v>4</v>
      </c>
      <c r="E378" s="27">
        <f t="shared" ref="E378:E442" si="23">D378*195</f>
        <v>780</v>
      </c>
      <c r="F378" s="191" t="s">
        <v>110</v>
      </c>
      <c r="G378" s="36" t="s">
        <v>1668</v>
      </c>
      <c r="H378" s="28">
        <f>H377-E378</f>
        <v>12480</v>
      </c>
      <c r="I378" s="61" t="s">
        <v>22</v>
      </c>
      <c r="J378" s="28"/>
      <c r="K378" s="27">
        <v>260814005</v>
      </c>
      <c r="L378" s="27">
        <v>41</v>
      </c>
      <c r="M378" s="27">
        <f>L378-D378</f>
        <v>37</v>
      </c>
      <c r="N378" s="19">
        <v>46235</v>
      </c>
      <c r="O378" s="21">
        <f t="shared" si="22"/>
        <v>46599</v>
      </c>
    </row>
    <row r="379" spans="1:15" ht="20.149999999999999" hidden="1" customHeight="1" x14ac:dyDescent="0.25">
      <c r="A379" s="26">
        <v>46251</v>
      </c>
      <c r="B379" s="26">
        <v>46252</v>
      </c>
      <c r="C379" s="27" t="s">
        <v>1859</v>
      </c>
      <c r="D379" s="27">
        <v>4</v>
      </c>
      <c r="E379" s="27">
        <f t="shared" si="23"/>
        <v>780</v>
      </c>
      <c r="F379" s="191" t="s">
        <v>110</v>
      </c>
      <c r="G379" s="192" t="s">
        <v>1876</v>
      </c>
      <c r="H379" s="28">
        <f>30420-E379</f>
        <v>29640</v>
      </c>
      <c r="I379" s="61" t="s">
        <v>22</v>
      </c>
      <c r="J379" s="147" t="s">
        <v>1886</v>
      </c>
      <c r="K379" s="27" t="s">
        <v>1877</v>
      </c>
      <c r="L379" s="27">
        <v>42</v>
      </c>
      <c r="M379" s="27">
        <f>L379-D379</f>
        <v>38</v>
      </c>
      <c r="N379" s="19">
        <v>46237</v>
      </c>
      <c r="O379" s="21">
        <f t="shared" si="22"/>
        <v>46601</v>
      </c>
    </row>
    <row r="380" spans="1:15" ht="20.149999999999999" hidden="1" customHeight="1" x14ac:dyDescent="0.25">
      <c r="A380" s="29">
        <v>46251</v>
      </c>
      <c r="B380" s="29">
        <v>46252</v>
      </c>
      <c r="C380" s="30" t="s">
        <v>1870</v>
      </c>
      <c r="D380" s="30">
        <v>8</v>
      </c>
      <c r="E380" s="30">
        <f t="shared" si="23"/>
        <v>1560</v>
      </c>
      <c r="F380" s="30" t="s">
        <v>860</v>
      </c>
      <c r="G380" s="30" t="s">
        <v>1874</v>
      </c>
      <c r="H380" s="32">
        <f>H373-E380</f>
        <v>33760</v>
      </c>
      <c r="I380" s="32"/>
      <c r="J380" s="32"/>
      <c r="K380" s="30">
        <v>260814006</v>
      </c>
      <c r="L380" s="30"/>
      <c r="M380" s="30">
        <f>M376-D380</f>
        <v>0</v>
      </c>
      <c r="N380" s="19">
        <v>46199</v>
      </c>
      <c r="O380" s="21">
        <f t="shared" si="22"/>
        <v>46563</v>
      </c>
    </row>
    <row r="381" spans="1:15" ht="20.149999999999999" hidden="1" customHeight="1" x14ac:dyDescent="0.25">
      <c r="A381" s="29">
        <v>46251</v>
      </c>
      <c r="B381" s="29">
        <v>46252</v>
      </c>
      <c r="C381" s="30" t="s">
        <v>1591</v>
      </c>
      <c r="D381" s="30">
        <v>4</v>
      </c>
      <c r="E381" s="30">
        <f t="shared" si="23"/>
        <v>780</v>
      </c>
      <c r="F381" s="30" t="s">
        <v>860</v>
      </c>
      <c r="G381" s="30" t="s">
        <v>1864</v>
      </c>
      <c r="H381" s="32">
        <f>H380-E381</f>
        <v>32980</v>
      </c>
      <c r="I381" s="32"/>
      <c r="J381" s="32"/>
      <c r="K381" s="30">
        <v>260814006</v>
      </c>
      <c r="L381" s="30"/>
      <c r="M381" s="30">
        <f>M300-D381</f>
        <v>33</v>
      </c>
      <c r="N381" s="19">
        <v>46202</v>
      </c>
      <c r="O381" s="21">
        <f t="shared" si="22"/>
        <v>46566</v>
      </c>
    </row>
    <row r="382" spans="1:15" ht="20.149999999999999" hidden="1" customHeight="1" x14ac:dyDescent="0.2">
      <c r="A382" s="22">
        <v>46252</v>
      </c>
      <c r="B382" s="22">
        <v>46252</v>
      </c>
      <c r="C382" s="23" t="s">
        <v>1591</v>
      </c>
      <c r="D382" s="23">
        <v>8</v>
      </c>
      <c r="E382" s="23">
        <f t="shared" si="23"/>
        <v>1560</v>
      </c>
      <c r="F382" s="38" t="s">
        <v>26</v>
      </c>
      <c r="G382" s="38" t="s">
        <v>1645</v>
      </c>
      <c r="H382" s="25">
        <f>H375-E382</f>
        <v>0</v>
      </c>
      <c r="I382" s="25"/>
      <c r="J382" s="25"/>
      <c r="K382" s="23">
        <v>260817005</v>
      </c>
      <c r="L382" s="23"/>
      <c r="M382" s="23">
        <f>M381-D382</f>
        <v>25</v>
      </c>
      <c r="N382" s="19">
        <v>46202</v>
      </c>
      <c r="O382" s="21">
        <f t="shared" ref="O382:O445" si="24">DATE(YEAR(N382)+1,MONTH(N382),DAY(N382))-1</f>
        <v>46566</v>
      </c>
    </row>
    <row r="383" spans="1:15" ht="20.149999999999999" hidden="1" customHeight="1" x14ac:dyDescent="0.2">
      <c r="A383" s="22">
        <v>46252</v>
      </c>
      <c r="B383" s="22">
        <v>46252</v>
      </c>
      <c r="C383" s="23" t="s">
        <v>1591</v>
      </c>
      <c r="D383" s="23">
        <v>12</v>
      </c>
      <c r="E383" s="23">
        <f>D383*195</f>
        <v>2340</v>
      </c>
      <c r="F383" s="38" t="s">
        <v>26</v>
      </c>
      <c r="G383" s="148" t="s">
        <v>1879</v>
      </c>
      <c r="H383" s="25">
        <f>13260-E383</f>
        <v>10920</v>
      </c>
      <c r="I383" s="25"/>
      <c r="J383" s="25"/>
      <c r="K383" s="23">
        <v>260817005</v>
      </c>
      <c r="L383" s="23"/>
      <c r="M383" s="23">
        <f>M382-D383</f>
        <v>13</v>
      </c>
      <c r="N383" s="19">
        <v>46202</v>
      </c>
      <c r="O383" s="21">
        <f t="shared" si="24"/>
        <v>46566</v>
      </c>
    </row>
    <row r="384" spans="1:15" ht="20.149999999999999" hidden="1" customHeight="1" x14ac:dyDescent="0.25">
      <c r="A384" s="40">
        <v>46252</v>
      </c>
      <c r="B384" s="40">
        <v>46253</v>
      </c>
      <c r="C384" s="41" t="s">
        <v>1591</v>
      </c>
      <c r="D384" s="41">
        <v>12</v>
      </c>
      <c r="E384" s="41">
        <f t="shared" si="23"/>
        <v>2340</v>
      </c>
      <c r="F384" s="152" t="s">
        <v>618</v>
      </c>
      <c r="G384" s="60" t="s">
        <v>1791</v>
      </c>
      <c r="H384" s="42">
        <f>H376-E384</f>
        <v>6240</v>
      </c>
      <c r="I384" s="42"/>
      <c r="J384" s="42"/>
      <c r="K384" s="41">
        <v>260817006</v>
      </c>
      <c r="L384" s="41"/>
      <c r="M384" s="41">
        <f>M383-D384</f>
        <v>1</v>
      </c>
      <c r="N384" s="19">
        <v>46202</v>
      </c>
      <c r="O384" s="21">
        <f t="shared" si="24"/>
        <v>46566</v>
      </c>
    </row>
    <row r="385" spans="1:15" ht="20.149999999999999" hidden="1" customHeight="1" x14ac:dyDescent="0.25">
      <c r="A385" s="33">
        <v>46254</v>
      </c>
      <c r="B385" s="33">
        <v>46255</v>
      </c>
      <c r="C385" s="34" t="s">
        <v>1898</v>
      </c>
      <c r="D385" s="34">
        <v>4</v>
      </c>
      <c r="E385" s="34">
        <f t="shared" si="23"/>
        <v>780</v>
      </c>
      <c r="F385" s="188" t="s">
        <v>110</v>
      </c>
      <c r="G385" s="193" t="s">
        <v>1909</v>
      </c>
      <c r="H385" s="35">
        <f>H379-E385</f>
        <v>28860</v>
      </c>
      <c r="I385" s="63" t="s">
        <v>22</v>
      </c>
      <c r="J385" s="195"/>
      <c r="K385" s="34">
        <v>260819007</v>
      </c>
      <c r="L385" s="34">
        <v>41</v>
      </c>
      <c r="M385" s="34">
        <f>L385-D385</f>
        <v>37</v>
      </c>
      <c r="N385" s="19">
        <v>46239</v>
      </c>
      <c r="O385" s="21">
        <f t="shared" si="24"/>
        <v>46603</v>
      </c>
    </row>
    <row r="386" spans="1:15" ht="20.149999999999999" hidden="1" customHeight="1" x14ac:dyDescent="0.25">
      <c r="A386" s="33">
        <v>46254</v>
      </c>
      <c r="B386" s="33">
        <v>46255</v>
      </c>
      <c r="C386" s="34" t="s">
        <v>1885</v>
      </c>
      <c r="D386" s="34">
        <v>4</v>
      </c>
      <c r="E386" s="34">
        <f t="shared" si="23"/>
        <v>780</v>
      </c>
      <c r="F386" s="188" t="s">
        <v>110</v>
      </c>
      <c r="G386" s="193" t="s">
        <v>1888</v>
      </c>
      <c r="H386" s="35">
        <f>H385-E386</f>
        <v>28080</v>
      </c>
      <c r="I386" s="63" t="s">
        <v>22</v>
      </c>
      <c r="J386" s="195"/>
      <c r="K386" s="34">
        <v>260819007</v>
      </c>
      <c r="L386" s="34">
        <v>41</v>
      </c>
      <c r="M386" s="34">
        <f>L386-D386</f>
        <v>37</v>
      </c>
      <c r="N386" s="19">
        <v>46241</v>
      </c>
      <c r="O386" s="21">
        <f t="shared" si="24"/>
        <v>46605</v>
      </c>
    </row>
    <row r="387" spans="1:15" ht="20.149999999999999" hidden="1" customHeight="1" x14ac:dyDescent="0.25">
      <c r="A387" s="33">
        <v>46254</v>
      </c>
      <c r="B387" s="33">
        <v>46255</v>
      </c>
      <c r="C387" s="194" t="s">
        <v>1899</v>
      </c>
      <c r="D387" s="34">
        <v>4</v>
      </c>
      <c r="E387" s="34">
        <f t="shared" si="23"/>
        <v>780</v>
      </c>
      <c r="F387" s="188" t="s">
        <v>110</v>
      </c>
      <c r="G387" s="193" t="s">
        <v>1889</v>
      </c>
      <c r="H387" s="35">
        <f>H386-E387</f>
        <v>27300</v>
      </c>
      <c r="I387" s="63" t="s">
        <v>22</v>
      </c>
      <c r="J387" s="195"/>
      <c r="K387" s="34">
        <v>260819007</v>
      </c>
      <c r="L387" s="34">
        <v>42</v>
      </c>
      <c r="M387" s="34">
        <f>L387-D387</f>
        <v>38</v>
      </c>
      <c r="N387" s="19">
        <v>46244</v>
      </c>
      <c r="O387" s="21">
        <f t="shared" si="24"/>
        <v>46608</v>
      </c>
    </row>
    <row r="388" spans="1:15" ht="20.149999999999999" hidden="1" customHeight="1" x14ac:dyDescent="0.25">
      <c r="A388" s="29">
        <v>46254</v>
      </c>
      <c r="B388" s="29">
        <v>46255</v>
      </c>
      <c r="C388" s="30" t="s">
        <v>1900</v>
      </c>
      <c r="D388" s="30">
        <v>1</v>
      </c>
      <c r="E388" s="30">
        <f t="shared" si="23"/>
        <v>195</v>
      </c>
      <c r="F388" s="156" t="s">
        <v>618</v>
      </c>
      <c r="G388" s="37" t="s">
        <v>1910</v>
      </c>
      <c r="H388" s="32">
        <f>H384-E388</f>
        <v>6045</v>
      </c>
      <c r="I388" s="32"/>
      <c r="J388" s="32"/>
      <c r="K388" s="30">
        <v>260819008</v>
      </c>
      <c r="L388" s="30"/>
      <c r="M388" s="30">
        <f>M384-D388</f>
        <v>0</v>
      </c>
      <c r="N388" s="19">
        <v>46202</v>
      </c>
      <c r="O388" s="21">
        <f t="shared" si="24"/>
        <v>46566</v>
      </c>
    </row>
    <row r="389" spans="1:15" ht="20.149999999999999" hidden="1" customHeight="1" x14ac:dyDescent="0.25">
      <c r="A389" s="29">
        <v>46254</v>
      </c>
      <c r="B389" s="29">
        <v>46255</v>
      </c>
      <c r="C389" s="30" t="s">
        <v>1901</v>
      </c>
      <c r="D389" s="30">
        <v>15</v>
      </c>
      <c r="E389" s="30">
        <f t="shared" si="23"/>
        <v>2925</v>
      </c>
      <c r="F389" s="156" t="s">
        <v>618</v>
      </c>
      <c r="G389" s="37" t="s">
        <v>1890</v>
      </c>
      <c r="H389" s="32">
        <f>H388-E389</f>
        <v>3120</v>
      </c>
      <c r="I389" s="32"/>
      <c r="J389" s="32"/>
      <c r="K389" s="30">
        <v>260819008</v>
      </c>
      <c r="L389" s="30"/>
      <c r="M389" s="30">
        <f>M301-D389</f>
        <v>22</v>
      </c>
      <c r="N389" s="19">
        <v>46204</v>
      </c>
      <c r="O389" s="21">
        <f t="shared" si="24"/>
        <v>46568</v>
      </c>
    </row>
    <row r="390" spans="1:15" ht="20.149999999999999" hidden="1" customHeight="1" x14ac:dyDescent="0.25">
      <c r="A390" s="26">
        <v>46254</v>
      </c>
      <c r="B390" s="26">
        <v>46255</v>
      </c>
      <c r="C390" s="27" t="s">
        <v>1603</v>
      </c>
      <c r="D390" s="27">
        <v>12</v>
      </c>
      <c r="E390" s="27">
        <f t="shared" si="23"/>
        <v>2340</v>
      </c>
      <c r="F390" s="27" t="s">
        <v>860</v>
      </c>
      <c r="G390" s="27" t="s">
        <v>1911</v>
      </c>
      <c r="H390" s="28">
        <f>H381-E390</f>
        <v>30640</v>
      </c>
      <c r="I390" s="28"/>
      <c r="J390" s="28"/>
      <c r="K390" s="27">
        <v>260819009</v>
      </c>
      <c r="L390" s="27"/>
      <c r="M390" s="27">
        <f>M389-D390</f>
        <v>10</v>
      </c>
      <c r="N390" s="19">
        <v>46204</v>
      </c>
      <c r="O390" s="21">
        <f t="shared" si="24"/>
        <v>46568</v>
      </c>
    </row>
    <row r="391" spans="1:15" ht="20.149999999999999" hidden="1" customHeight="1" x14ac:dyDescent="0.2">
      <c r="A391" s="40">
        <v>46254</v>
      </c>
      <c r="B391" s="40">
        <v>46255</v>
      </c>
      <c r="C391" s="41" t="s">
        <v>684</v>
      </c>
      <c r="D391" s="41">
        <v>4</v>
      </c>
      <c r="E391" s="41">
        <f t="shared" si="23"/>
        <v>780</v>
      </c>
      <c r="F391" s="60" t="s">
        <v>31</v>
      </c>
      <c r="G391" s="60" t="s">
        <v>1914</v>
      </c>
      <c r="H391" s="42">
        <f>H351-E391</f>
        <v>88300</v>
      </c>
      <c r="I391" s="42"/>
      <c r="J391" s="42"/>
      <c r="K391" s="41">
        <v>260819010</v>
      </c>
      <c r="L391" s="41"/>
      <c r="M391" s="41">
        <f>M134-D391</f>
        <v>0</v>
      </c>
      <c r="N391" s="19">
        <v>46104</v>
      </c>
      <c r="O391" s="21">
        <f t="shared" si="24"/>
        <v>46468</v>
      </c>
    </row>
    <row r="392" spans="1:15" ht="20.149999999999999" hidden="1" customHeight="1" x14ac:dyDescent="0.2">
      <c r="A392" s="40">
        <v>46254</v>
      </c>
      <c r="B392" s="40">
        <v>46255</v>
      </c>
      <c r="C392" s="41" t="s">
        <v>1902</v>
      </c>
      <c r="D392" s="41">
        <v>4</v>
      </c>
      <c r="E392" s="41">
        <f t="shared" si="23"/>
        <v>780</v>
      </c>
      <c r="F392" s="60" t="s">
        <v>31</v>
      </c>
      <c r="G392" s="60" t="s">
        <v>1891</v>
      </c>
      <c r="H392" s="42">
        <f>H391-E392</f>
        <v>87520</v>
      </c>
      <c r="I392" s="42"/>
      <c r="J392" s="42"/>
      <c r="K392" s="41">
        <v>260819010</v>
      </c>
      <c r="L392" s="41"/>
      <c r="M392" s="41">
        <f>M143-D392</f>
        <v>0</v>
      </c>
      <c r="N392" s="19">
        <v>46106</v>
      </c>
      <c r="O392" s="21">
        <f t="shared" si="24"/>
        <v>46470</v>
      </c>
    </row>
    <row r="393" spans="1:15" ht="20.149999999999999" hidden="1" customHeight="1" x14ac:dyDescent="0.2">
      <c r="A393" s="40">
        <v>46254</v>
      </c>
      <c r="B393" s="40">
        <v>46255</v>
      </c>
      <c r="C393" s="41" t="s">
        <v>1903</v>
      </c>
      <c r="D393" s="41">
        <v>4</v>
      </c>
      <c r="E393" s="41">
        <f t="shared" si="23"/>
        <v>780</v>
      </c>
      <c r="F393" s="60" t="s">
        <v>31</v>
      </c>
      <c r="G393" s="60" t="s">
        <v>790</v>
      </c>
      <c r="H393" s="42">
        <f>H392-E393</f>
        <v>86740</v>
      </c>
      <c r="I393" s="42"/>
      <c r="J393" s="42"/>
      <c r="K393" s="41">
        <v>260819010</v>
      </c>
      <c r="L393" s="41"/>
      <c r="M393" s="41">
        <f>M148-D393</f>
        <v>0</v>
      </c>
      <c r="N393" s="19">
        <v>46108</v>
      </c>
      <c r="O393" s="21">
        <f t="shared" si="24"/>
        <v>46472</v>
      </c>
    </row>
    <row r="394" spans="1:15" ht="20.149999999999999" hidden="1" customHeight="1" x14ac:dyDescent="0.2">
      <c r="A394" s="40">
        <v>46254</v>
      </c>
      <c r="B394" s="40">
        <v>46255</v>
      </c>
      <c r="C394" s="41" t="s">
        <v>1904</v>
      </c>
      <c r="D394" s="41">
        <v>4</v>
      </c>
      <c r="E394" s="41">
        <f t="shared" si="23"/>
        <v>780</v>
      </c>
      <c r="F394" s="60" t="s">
        <v>31</v>
      </c>
      <c r="G394" s="60" t="s">
        <v>790</v>
      </c>
      <c r="H394" s="42">
        <f>H393-E394</f>
        <v>85960</v>
      </c>
      <c r="I394" s="42"/>
      <c r="J394" s="42"/>
      <c r="K394" s="41">
        <v>260819010</v>
      </c>
      <c r="L394" s="41"/>
      <c r="M394" s="41">
        <f>M152-D394</f>
        <v>0</v>
      </c>
      <c r="N394" s="19">
        <v>46111</v>
      </c>
      <c r="O394" s="21">
        <f t="shared" si="24"/>
        <v>46475</v>
      </c>
    </row>
    <row r="395" spans="1:15" ht="20.149999999999999" hidden="1" customHeight="1" x14ac:dyDescent="0.25">
      <c r="A395" s="22">
        <v>46255</v>
      </c>
      <c r="B395" s="22">
        <v>46258</v>
      </c>
      <c r="C395" s="23" t="s">
        <v>1603</v>
      </c>
      <c r="D395" s="23">
        <v>6</v>
      </c>
      <c r="E395" s="23">
        <f t="shared" si="23"/>
        <v>1170</v>
      </c>
      <c r="F395" s="154" t="s">
        <v>618</v>
      </c>
      <c r="G395" s="38" t="s">
        <v>1927</v>
      </c>
      <c r="H395" s="25">
        <f>H389-E395</f>
        <v>1950</v>
      </c>
      <c r="I395" s="25"/>
      <c r="J395" s="25"/>
      <c r="K395" s="23">
        <v>260820009</v>
      </c>
      <c r="L395" s="23"/>
      <c r="M395" s="23">
        <f>M390-D395</f>
        <v>4</v>
      </c>
      <c r="N395" s="19">
        <v>46204</v>
      </c>
      <c r="O395" s="21">
        <f t="shared" si="24"/>
        <v>46568</v>
      </c>
    </row>
    <row r="396" spans="1:15" ht="20.149999999999999" hidden="1" customHeight="1" x14ac:dyDescent="0.25">
      <c r="A396" s="22">
        <v>46255</v>
      </c>
      <c r="B396" s="22">
        <v>46258</v>
      </c>
      <c r="C396" s="23" t="s">
        <v>1921</v>
      </c>
      <c r="D396" s="23">
        <v>10</v>
      </c>
      <c r="E396" s="23">
        <f t="shared" si="23"/>
        <v>1950</v>
      </c>
      <c r="F396" s="154" t="s">
        <v>618</v>
      </c>
      <c r="G396" s="38" t="s">
        <v>1917</v>
      </c>
      <c r="H396" s="25">
        <f>H395-E396</f>
        <v>0</v>
      </c>
      <c r="I396" s="25"/>
      <c r="J396" s="25"/>
      <c r="K396" s="23">
        <v>260820009</v>
      </c>
      <c r="L396" s="23"/>
      <c r="M396" s="23">
        <f>M302-D396</f>
        <v>20</v>
      </c>
      <c r="N396" s="19">
        <v>46205</v>
      </c>
      <c r="O396" s="21">
        <f t="shared" si="24"/>
        <v>46569</v>
      </c>
    </row>
    <row r="397" spans="1:15" ht="20.149999999999999" hidden="1" customHeight="1" x14ac:dyDescent="0.25">
      <c r="A397" s="29">
        <v>46258</v>
      </c>
      <c r="B397" s="29">
        <v>46259</v>
      </c>
      <c r="C397" s="30" t="s">
        <v>1940</v>
      </c>
      <c r="D397" s="30">
        <v>4</v>
      </c>
      <c r="E397" s="30">
        <f t="shared" si="23"/>
        <v>780</v>
      </c>
      <c r="F397" s="189" t="s">
        <v>110</v>
      </c>
      <c r="G397" s="37" t="s">
        <v>1947</v>
      </c>
      <c r="H397" s="32">
        <f>H378-E397</f>
        <v>11700</v>
      </c>
      <c r="I397" s="32"/>
      <c r="J397" s="32"/>
      <c r="K397" s="30">
        <v>260821006</v>
      </c>
      <c r="L397" s="30"/>
      <c r="M397" s="30">
        <f>M395-D397</f>
        <v>0</v>
      </c>
      <c r="N397" s="19">
        <v>46204</v>
      </c>
      <c r="O397" s="21">
        <f t="shared" si="24"/>
        <v>46568</v>
      </c>
    </row>
    <row r="398" spans="1:15" ht="20.149999999999999" hidden="1" customHeight="1" x14ac:dyDescent="0.25">
      <c r="A398" s="29">
        <v>46258</v>
      </c>
      <c r="B398" s="29">
        <v>46259</v>
      </c>
      <c r="C398" s="30" t="s">
        <v>1941</v>
      </c>
      <c r="D398" s="30">
        <v>4</v>
      </c>
      <c r="E398" s="30">
        <f t="shared" si="23"/>
        <v>780</v>
      </c>
      <c r="F398" s="189" t="s">
        <v>110</v>
      </c>
      <c r="G398" s="197" t="s">
        <v>1948</v>
      </c>
      <c r="H398" s="32">
        <f>H387-E398</f>
        <v>26520</v>
      </c>
      <c r="I398" s="70" t="s">
        <v>22</v>
      </c>
      <c r="J398" s="32"/>
      <c r="K398" s="30" t="s">
        <v>1944</v>
      </c>
      <c r="L398" s="30">
        <v>41</v>
      </c>
      <c r="M398" s="30">
        <f>L398-D398</f>
        <v>37</v>
      </c>
      <c r="N398" s="19">
        <v>46246</v>
      </c>
      <c r="O398" s="21">
        <f t="shared" si="24"/>
        <v>46610</v>
      </c>
    </row>
    <row r="399" spans="1:15" ht="20.149999999999999" hidden="1" customHeight="1" x14ac:dyDescent="0.25">
      <c r="A399" s="29">
        <v>46258</v>
      </c>
      <c r="B399" s="29">
        <v>46259</v>
      </c>
      <c r="C399" s="30" t="s">
        <v>1942</v>
      </c>
      <c r="D399" s="30">
        <v>4</v>
      </c>
      <c r="E399" s="30">
        <f t="shared" si="23"/>
        <v>780</v>
      </c>
      <c r="F399" s="189" t="s">
        <v>110</v>
      </c>
      <c r="G399" s="197" t="s">
        <v>1936</v>
      </c>
      <c r="H399" s="32">
        <f>H398-E399</f>
        <v>25740</v>
      </c>
      <c r="I399" s="70" t="s">
        <v>22</v>
      </c>
      <c r="J399" s="32"/>
      <c r="K399" s="30" t="s">
        <v>1944</v>
      </c>
      <c r="L399" s="30">
        <v>41</v>
      </c>
      <c r="M399" s="30">
        <f>L399-D399</f>
        <v>37</v>
      </c>
      <c r="N399" s="19">
        <v>46248</v>
      </c>
      <c r="O399" s="21">
        <f t="shared" si="24"/>
        <v>46612</v>
      </c>
    </row>
    <row r="400" spans="1:15" ht="20.149999999999999" hidden="1" customHeight="1" x14ac:dyDescent="0.25">
      <c r="A400" s="33">
        <v>46258</v>
      </c>
      <c r="B400" s="33">
        <v>46259</v>
      </c>
      <c r="C400" s="34" t="s">
        <v>1943</v>
      </c>
      <c r="D400" s="34">
        <v>12</v>
      </c>
      <c r="E400" s="34">
        <f t="shared" si="23"/>
        <v>2340</v>
      </c>
      <c r="F400" s="34" t="s">
        <v>860</v>
      </c>
      <c r="G400" s="34" t="s">
        <v>1949</v>
      </c>
      <c r="H400" s="35">
        <f>H390-E400</f>
        <v>28300</v>
      </c>
      <c r="I400" s="35"/>
      <c r="J400" s="35"/>
      <c r="K400" s="34">
        <v>260821007</v>
      </c>
      <c r="L400" s="34"/>
      <c r="M400" s="34">
        <f>M396-D400</f>
        <v>8</v>
      </c>
      <c r="N400" s="19">
        <v>46205</v>
      </c>
      <c r="O400" s="21">
        <f t="shared" si="24"/>
        <v>46569</v>
      </c>
    </row>
    <row r="401" spans="1:15" ht="20.149999999999999" hidden="1" customHeight="1" x14ac:dyDescent="0.25">
      <c r="A401" s="40">
        <v>46259</v>
      </c>
      <c r="B401" s="40">
        <v>46260</v>
      </c>
      <c r="C401" s="41" t="s">
        <v>1604</v>
      </c>
      <c r="D401" s="41">
        <v>4</v>
      </c>
      <c r="E401" s="41">
        <f t="shared" si="23"/>
        <v>780</v>
      </c>
      <c r="F401" s="152" t="s">
        <v>618</v>
      </c>
      <c r="G401" s="146" t="s">
        <v>1952</v>
      </c>
      <c r="H401" s="42">
        <f>20520-E401</f>
        <v>19740</v>
      </c>
      <c r="I401" s="42"/>
      <c r="J401" s="42"/>
      <c r="K401" s="41">
        <v>260824004</v>
      </c>
      <c r="L401" s="41"/>
      <c r="M401" s="41">
        <f>M400-D401</f>
        <v>4</v>
      </c>
      <c r="N401" s="19">
        <v>46205</v>
      </c>
      <c r="O401" s="21">
        <f t="shared" si="24"/>
        <v>46569</v>
      </c>
    </row>
    <row r="402" spans="1:15" ht="20.149999999999999" hidden="1" customHeight="1" x14ac:dyDescent="0.25">
      <c r="A402" s="40">
        <v>46259</v>
      </c>
      <c r="B402" s="40">
        <v>46260</v>
      </c>
      <c r="C402" s="41" t="s">
        <v>1622</v>
      </c>
      <c r="D402" s="41">
        <v>8</v>
      </c>
      <c r="E402" s="41">
        <f t="shared" si="23"/>
        <v>1560</v>
      </c>
      <c r="F402" s="152" t="s">
        <v>618</v>
      </c>
      <c r="G402" s="146" t="s">
        <v>1952</v>
      </c>
      <c r="H402" s="42">
        <f>H401-E402</f>
        <v>18180</v>
      </c>
      <c r="I402" s="42"/>
      <c r="J402" s="42"/>
      <c r="K402" s="41">
        <v>260824004</v>
      </c>
      <c r="L402" s="41"/>
      <c r="M402" s="41">
        <f>M308-D402</f>
        <v>30</v>
      </c>
      <c r="N402" s="19">
        <v>46206</v>
      </c>
      <c r="O402" s="21">
        <f t="shared" si="24"/>
        <v>46570</v>
      </c>
    </row>
    <row r="403" spans="1:15" ht="20.149999999999999" hidden="1" customHeight="1" x14ac:dyDescent="0.2">
      <c r="A403" s="29">
        <v>46260</v>
      </c>
      <c r="B403" s="29">
        <v>46261</v>
      </c>
      <c r="C403" s="30" t="s">
        <v>1966</v>
      </c>
      <c r="D403" s="30">
        <v>4</v>
      </c>
      <c r="E403" s="30">
        <f t="shared" si="23"/>
        <v>780</v>
      </c>
      <c r="F403" s="37" t="s">
        <v>31</v>
      </c>
      <c r="G403" s="37" t="s">
        <v>1969</v>
      </c>
      <c r="H403" s="32">
        <f>H394-E403</f>
        <v>85180</v>
      </c>
      <c r="I403" s="32"/>
      <c r="J403" s="32"/>
      <c r="K403" s="30" t="s">
        <v>1970</v>
      </c>
      <c r="L403" s="30"/>
      <c r="M403" s="30">
        <f>M164-D403</f>
        <v>0</v>
      </c>
      <c r="N403" s="19">
        <v>46113</v>
      </c>
      <c r="O403" s="21">
        <f t="shared" si="24"/>
        <v>46477</v>
      </c>
    </row>
    <row r="404" spans="1:15" ht="20.149999999999999" hidden="1" customHeight="1" x14ac:dyDescent="0.25">
      <c r="A404" s="26">
        <v>46261</v>
      </c>
      <c r="B404" s="26">
        <v>46262</v>
      </c>
      <c r="C404" s="27" t="s">
        <v>1977</v>
      </c>
      <c r="D404" s="27">
        <v>4</v>
      </c>
      <c r="E404" s="27">
        <f t="shared" si="23"/>
        <v>780</v>
      </c>
      <c r="F404" s="191" t="s">
        <v>110</v>
      </c>
      <c r="G404" s="36" t="s">
        <v>1668</v>
      </c>
      <c r="H404" s="28">
        <f>H397-E404</f>
        <v>10920</v>
      </c>
      <c r="I404" s="28"/>
      <c r="J404" s="28"/>
      <c r="K404" s="27">
        <v>260826005</v>
      </c>
      <c r="L404" s="27"/>
      <c r="M404" s="27">
        <f>M401-D404</f>
        <v>0</v>
      </c>
      <c r="N404" s="19">
        <v>46205</v>
      </c>
      <c r="O404" s="21">
        <f t="shared" si="24"/>
        <v>46569</v>
      </c>
    </row>
    <row r="405" spans="1:15" ht="20.149999999999999" hidden="1" customHeight="1" x14ac:dyDescent="0.25">
      <c r="A405" s="26">
        <v>46261</v>
      </c>
      <c r="B405" s="26">
        <v>46262</v>
      </c>
      <c r="C405" s="27" t="s">
        <v>1622</v>
      </c>
      <c r="D405" s="27">
        <v>8</v>
      </c>
      <c r="E405" s="27">
        <f t="shared" si="23"/>
        <v>1560</v>
      </c>
      <c r="F405" s="191" t="s">
        <v>110</v>
      </c>
      <c r="G405" s="36" t="s">
        <v>1972</v>
      </c>
      <c r="H405" s="28">
        <f>H404-E405</f>
        <v>9360</v>
      </c>
      <c r="I405" s="28"/>
      <c r="J405" s="28"/>
      <c r="K405" s="27">
        <v>260826005</v>
      </c>
      <c r="L405" s="27"/>
      <c r="M405" s="27">
        <f>M402-D405</f>
        <v>22</v>
      </c>
      <c r="N405" s="19">
        <v>46206</v>
      </c>
      <c r="O405" s="21">
        <f t="shared" si="24"/>
        <v>46570</v>
      </c>
    </row>
    <row r="406" spans="1:15" ht="20.149999999999999" hidden="1" customHeight="1" x14ac:dyDescent="0.25">
      <c r="A406" s="22">
        <v>46261</v>
      </c>
      <c r="B406" s="22">
        <v>46262</v>
      </c>
      <c r="C406" s="23" t="s">
        <v>1978</v>
      </c>
      <c r="D406" s="23">
        <v>10</v>
      </c>
      <c r="E406" s="23">
        <f t="shared" si="23"/>
        <v>1950</v>
      </c>
      <c r="F406" s="154" t="s">
        <v>618</v>
      </c>
      <c r="G406" s="38" t="s">
        <v>1980</v>
      </c>
      <c r="H406" s="25">
        <f>H402-E406</f>
        <v>16230</v>
      </c>
      <c r="I406" s="25"/>
      <c r="J406" s="25"/>
      <c r="K406" s="23">
        <v>260826006</v>
      </c>
      <c r="L406" s="23"/>
      <c r="M406" s="23">
        <f>M405-D406</f>
        <v>12</v>
      </c>
      <c r="N406" s="19">
        <v>46206</v>
      </c>
      <c r="O406" s="21">
        <f t="shared" si="24"/>
        <v>46570</v>
      </c>
    </row>
    <row r="407" spans="1:15" ht="20.149999999999999" hidden="1" customHeight="1" x14ac:dyDescent="0.25">
      <c r="A407" s="22">
        <v>46261</v>
      </c>
      <c r="B407" s="22">
        <v>46262</v>
      </c>
      <c r="C407" s="23" t="s">
        <v>1623</v>
      </c>
      <c r="D407" s="23">
        <v>6</v>
      </c>
      <c r="E407" s="23">
        <f t="shared" si="23"/>
        <v>1170</v>
      </c>
      <c r="F407" s="154" t="s">
        <v>618</v>
      </c>
      <c r="G407" s="38" t="s">
        <v>1973</v>
      </c>
      <c r="H407" s="25">
        <f>H406-E407</f>
        <v>15060</v>
      </c>
      <c r="I407" s="25"/>
      <c r="J407" s="25"/>
      <c r="K407" s="23">
        <v>260826006</v>
      </c>
      <c r="L407" s="23"/>
      <c r="M407" s="23">
        <f>M309-D407</f>
        <v>31</v>
      </c>
      <c r="N407" s="19">
        <v>46209</v>
      </c>
      <c r="O407" s="21">
        <f t="shared" si="24"/>
        <v>46573</v>
      </c>
    </row>
    <row r="408" spans="1:15" ht="20.149999999999999" hidden="1" customHeight="1" x14ac:dyDescent="0.25">
      <c r="A408" s="40">
        <v>46261</v>
      </c>
      <c r="B408" s="40">
        <v>46262</v>
      </c>
      <c r="C408" s="41" t="s">
        <v>1622</v>
      </c>
      <c r="D408" s="41">
        <v>12</v>
      </c>
      <c r="E408" s="41">
        <f t="shared" si="23"/>
        <v>2340</v>
      </c>
      <c r="F408" s="41" t="s">
        <v>860</v>
      </c>
      <c r="G408" s="41" t="s">
        <v>1981</v>
      </c>
      <c r="H408" s="42">
        <f>H400-E408</f>
        <v>25960</v>
      </c>
      <c r="I408" s="42"/>
      <c r="J408" s="42"/>
      <c r="K408" s="41">
        <v>260826007</v>
      </c>
      <c r="L408" s="41"/>
      <c r="M408" s="41">
        <f>M406-D408</f>
        <v>0</v>
      </c>
      <c r="N408" s="19">
        <v>46206</v>
      </c>
      <c r="O408" s="21">
        <f t="shared" si="24"/>
        <v>46570</v>
      </c>
    </row>
    <row r="409" spans="1:15" ht="20.149999999999999" hidden="1" customHeight="1" x14ac:dyDescent="0.25">
      <c r="A409" s="33">
        <v>46262</v>
      </c>
      <c r="B409" s="33">
        <v>46265</v>
      </c>
      <c r="C409" s="34" t="s">
        <v>1623</v>
      </c>
      <c r="D409" s="34">
        <v>11</v>
      </c>
      <c r="E409" s="34">
        <f t="shared" si="23"/>
        <v>2145</v>
      </c>
      <c r="F409" s="155" t="s">
        <v>618</v>
      </c>
      <c r="G409" s="39" t="s">
        <v>1991</v>
      </c>
      <c r="H409" s="35">
        <f>H407-E409</f>
        <v>12915</v>
      </c>
      <c r="I409" s="35"/>
      <c r="J409" s="198" t="s">
        <v>1983</v>
      </c>
      <c r="K409" s="34">
        <v>260827007</v>
      </c>
      <c r="L409" s="34">
        <f>M407-8</f>
        <v>23</v>
      </c>
      <c r="M409" s="34">
        <f>L409-D409</f>
        <v>12</v>
      </c>
      <c r="N409" s="19">
        <v>46209</v>
      </c>
      <c r="O409" s="21">
        <f t="shared" si="24"/>
        <v>46573</v>
      </c>
    </row>
    <row r="410" spans="1:15" ht="20.149999999999999" hidden="1" customHeight="1" x14ac:dyDescent="0.25">
      <c r="A410" s="33">
        <v>46262</v>
      </c>
      <c r="B410" s="33">
        <v>46265</v>
      </c>
      <c r="C410" s="34" t="s">
        <v>1652</v>
      </c>
      <c r="D410" s="34">
        <v>5</v>
      </c>
      <c r="E410" s="34">
        <f t="shared" si="23"/>
        <v>975</v>
      </c>
      <c r="F410" s="155" t="s">
        <v>618</v>
      </c>
      <c r="G410" s="39" t="s">
        <v>1982</v>
      </c>
      <c r="H410" s="35">
        <f>H409-E410</f>
        <v>11940</v>
      </c>
      <c r="I410" s="35"/>
      <c r="J410" s="35"/>
      <c r="K410" s="34">
        <v>260827007</v>
      </c>
      <c r="L410" s="34"/>
      <c r="M410" s="34">
        <f>M315-D410</f>
        <v>32</v>
      </c>
      <c r="N410" s="19">
        <v>46210</v>
      </c>
      <c r="O410" s="21">
        <f t="shared" si="24"/>
        <v>46574</v>
      </c>
    </row>
    <row r="411" spans="1:15" ht="20.149999999999999" hidden="1" customHeight="1" x14ac:dyDescent="0.25">
      <c r="A411" s="29">
        <v>46265</v>
      </c>
      <c r="B411" s="29">
        <v>46266</v>
      </c>
      <c r="C411" s="30" t="s">
        <v>2002</v>
      </c>
      <c r="D411" s="30">
        <v>4</v>
      </c>
      <c r="E411" s="30">
        <f t="shared" si="23"/>
        <v>780</v>
      </c>
      <c r="F411" s="189" t="s">
        <v>110</v>
      </c>
      <c r="G411" s="197" t="s">
        <v>2008</v>
      </c>
      <c r="H411" s="32">
        <f>H399-E411</f>
        <v>24960</v>
      </c>
      <c r="I411" s="70" t="s">
        <v>22</v>
      </c>
      <c r="J411" s="199"/>
      <c r="K411" s="30">
        <v>260828009</v>
      </c>
      <c r="L411" s="30">
        <v>41</v>
      </c>
      <c r="M411" s="30">
        <f>L411-D411</f>
        <v>37</v>
      </c>
      <c r="N411" s="19">
        <v>46251</v>
      </c>
      <c r="O411" s="21">
        <f t="shared" si="24"/>
        <v>46615</v>
      </c>
    </row>
    <row r="412" spans="1:15" ht="20.149999999999999" hidden="1" customHeight="1" x14ac:dyDescent="0.25">
      <c r="A412" s="29">
        <v>46265</v>
      </c>
      <c r="B412" s="29">
        <v>46266</v>
      </c>
      <c r="C412" s="30" t="s">
        <v>2003</v>
      </c>
      <c r="D412" s="30">
        <v>4</v>
      </c>
      <c r="E412" s="30">
        <f t="shared" si="23"/>
        <v>780</v>
      </c>
      <c r="F412" s="189" t="s">
        <v>110</v>
      </c>
      <c r="G412" s="197" t="s">
        <v>1876</v>
      </c>
      <c r="H412" s="32">
        <f>H411-E412</f>
        <v>24180</v>
      </c>
      <c r="I412" s="70" t="s">
        <v>22</v>
      </c>
      <c r="J412" s="199"/>
      <c r="K412" s="30">
        <v>260828009</v>
      </c>
      <c r="L412" s="30">
        <v>41</v>
      </c>
      <c r="M412" s="30">
        <f>L412-D412</f>
        <v>37</v>
      </c>
      <c r="N412" s="19">
        <v>46253</v>
      </c>
      <c r="O412" s="21">
        <f t="shared" si="24"/>
        <v>46617</v>
      </c>
    </row>
    <row r="413" spans="1:15" ht="20.149999999999999" hidden="1" customHeight="1" x14ac:dyDescent="0.25">
      <c r="A413" s="29">
        <v>46265</v>
      </c>
      <c r="B413" s="29">
        <v>46266</v>
      </c>
      <c r="C413" s="30" t="s">
        <v>1996</v>
      </c>
      <c r="D413" s="30">
        <v>4</v>
      </c>
      <c r="E413" s="30">
        <f t="shared" si="23"/>
        <v>780</v>
      </c>
      <c r="F413" s="189" t="s">
        <v>110</v>
      </c>
      <c r="G413" s="197" t="s">
        <v>1876</v>
      </c>
      <c r="H413" s="32">
        <f>H412-E413</f>
        <v>23400</v>
      </c>
      <c r="I413" s="70" t="s">
        <v>22</v>
      </c>
      <c r="J413" s="199"/>
      <c r="K413" s="30">
        <v>260828009</v>
      </c>
      <c r="L413" s="30">
        <v>42</v>
      </c>
      <c r="M413" s="30">
        <f>L413-D413</f>
        <v>38</v>
      </c>
      <c r="N413" s="19">
        <v>46255</v>
      </c>
      <c r="O413" s="21">
        <f t="shared" si="24"/>
        <v>46619</v>
      </c>
    </row>
    <row r="414" spans="1:15" ht="20.149999999999999" hidden="1" customHeight="1" x14ac:dyDescent="0.25">
      <c r="A414" s="26">
        <v>46265</v>
      </c>
      <c r="B414" s="26">
        <v>46266</v>
      </c>
      <c r="C414" s="27" t="s">
        <v>1623</v>
      </c>
      <c r="D414" s="27">
        <v>12</v>
      </c>
      <c r="E414" s="27">
        <f t="shared" si="23"/>
        <v>2340</v>
      </c>
      <c r="F414" s="27" t="s">
        <v>860</v>
      </c>
      <c r="G414" s="27" t="s">
        <v>1811</v>
      </c>
      <c r="H414" s="28">
        <f>H408-E414</f>
        <v>23620</v>
      </c>
      <c r="I414" s="28"/>
      <c r="J414" s="28"/>
      <c r="K414" s="27">
        <v>260828010</v>
      </c>
      <c r="L414" s="27"/>
      <c r="M414" s="27">
        <f>M409-D414</f>
        <v>0</v>
      </c>
      <c r="N414" s="19">
        <v>46209</v>
      </c>
      <c r="O414" s="21">
        <f t="shared" si="24"/>
        <v>46573</v>
      </c>
    </row>
    <row r="415" spans="1:15" ht="20.149999999999999" hidden="1" customHeight="1" x14ac:dyDescent="0.25">
      <c r="A415" s="22">
        <v>46266</v>
      </c>
      <c r="B415" s="22">
        <v>46267</v>
      </c>
      <c r="C415" s="23" t="s">
        <v>2016</v>
      </c>
      <c r="D415" s="23">
        <v>16</v>
      </c>
      <c r="E415" s="23">
        <f t="shared" si="23"/>
        <v>3120</v>
      </c>
      <c r="F415" s="154" t="s">
        <v>618</v>
      </c>
      <c r="G415" s="38" t="s">
        <v>2019</v>
      </c>
      <c r="H415" s="25">
        <f>H410-E415</f>
        <v>8820</v>
      </c>
      <c r="I415" s="25"/>
      <c r="J415" s="25"/>
      <c r="K415" s="23">
        <v>260831006</v>
      </c>
      <c r="L415" s="23"/>
      <c r="M415" s="23">
        <f>M410-D415</f>
        <v>16</v>
      </c>
      <c r="N415" s="19">
        <v>46210</v>
      </c>
      <c r="O415" s="21">
        <f t="shared" si="24"/>
        <v>46574</v>
      </c>
    </row>
    <row r="416" spans="1:15" ht="20.149999999999999" hidden="1" customHeight="1" x14ac:dyDescent="0.25">
      <c r="A416" s="33">
        <v>46268</v>
      </c>
      <c r="B416" s="33">
        <v>46269</v>
      </c>
      <c r="C416" s="34" t="s">
        <v>2030</v>
      </c>
      <c r="D416" s="34">
        <v>4</v>
      </c>
      <c r="E416" s="34">
        <f t="shared" si="23"/>
        <v>780</v>
      </c>
      <c r="F416" s="188" t="s">
        <v>110</v>
      </c>
      <c r="G416" s="39" t="s">
        <v>2038</v>
      </c>
      <c r="H416" s="35">
        <f>H405-E416</f>
        <v>8580</v>
      </c>
      <c r="I416" s="35"/>
      <c r="J416" s="35"/>
      <c r="K416" s="34">
        <v>260902008</v>
      </c>
      <c r="L416" s="34"/>
      <c r="M416" s="34">
        <f>M415-D416</f>
        <v>12</v>
      </c>
      <c r="N416" s="19">
        <v>46210</v>
      </c>
      <c r="O416" s="21">
        <f t="shared" si="24"/>
        <v>46574</v>
      </c>
    </row>
    <row r="417" spans="1:15" ht="20.149999999999999" hidden="1" customHeight="1" x14ac:dyDescent="0.25">
      <c r="A417" s="33">
        <v>46268</v>
      </c>
      <c r="B417" s="33">
        <v>46269</v>
      </c>
      <c r="C417" s="34" t="s">
        <v>2031</v>
      </c>
      <c r="D417" s="34">
        <v>8</v>
      </c>
      <c r="E417" s="34">
        <f t="shared" si="23"/>
        <v>1560</v>
      </c>
      <c r="F417" s="188" t="s">
        <v>110</v>
      </c>
      <c r="G417" s="39" t="s">
        <v>1972</v>
      </c>
      <c r="H417" s="35">
        <f>H416-E417</f>
        <v>7020</v>
      </c>
      <c r="I417" s="35"/>
      <c r="J417" s="35"/>
      <c r="K417" s="34">
        <v>260902008</v>
      </c>
      <c r="L417" s="34"/>
      <c r="M417" s="34">
        <f>M316-D417</f>
        <v>30</v>
      </c>
      <c r="N417" s="19">
        <v>46211</v>
      </c>
      <c r="O417" s="21">
        <f t="shared" si="24"/>
        <v>46575</v>
      </c>
    </row>
    <row r="418" spans="1:15" ht="20.149999999999999" hidden="1" customHeight="1" x14ac:dyDescent="0.25">
      <c r="A418" s="40">
        <v>46268</v>
      </c>
      <c r="B418" s="40">
        <v>46269</v>
      </c>
      <c r="C418" s="41" t="s">
        <v>2032</v>
      </c>
      <c r="D418" s="41">
        <v>16</v>
      </c>
      <c r="E418" s="41">
        <f t="shared" si="23"/>
        <v>3120</v>
      </c>
      <c r="F418" s="152" t="s">
        <v>618</v>
      </c>
      <c r="G418" s="60" t="s">
        <v>2039</v>
      </c>
      <c r="H418" s="42">
        <f>H415-E418</f>
        <v>5700</v>
      </c>
      <c r="I418" s="42"/>
      <c r="J418" s="42"/>
      <c r="K418" s="41">
        <v>260902009</v>
      </c>
      <c r="L418" s="41"/>
      <c r="M418" s="41">
        <f>M417-D418</f>
        <v>14</v>
      </c>
      <c r="N418" s="19">
        <v>46211</v>
      </c>
      <c r="O418" s="21">
        <f t="shared" si="24"/>
        <v>46575</v>
      </c>
    </row>
    <row r="419" spans="1:15" ht="20.149999999999999" hidden="1" customHeight="1" x14ac:dyDescent="0.25">
      <c r="A419" s="29">
        <v>46268</v>
      </c>
      <c r="B419" s="29">
        <v>46269</v>
      </c>
      <c r="C419" s="30" t="s">
        <v>2033</v>
      </c>
      <c r="D419" s="30">
        <v>12</v>
      </c>
      <c r="E419" s="30">
        <f t="shared" si="23"/>
        <v>2340</v>
      </c>
      <c r="F419" s="30" t="s">
        <v>860</v>
      </c>
      <c r="G419" s="30" t="s">
        <v>2040</v>
      </c>
      <c r="H419" s="32">
        <f>H414-E419</f>
        <v>21280</v>
      </c>
      <c r="I419" s="32"/>
      <c r="J419" s="32"/>
      <c r="K419" s="30">
        <v>260902010</v>
      </c>
      <c r="L419" s="30"/>
      <c r="M419" s="30">
        <f>M416-D419</f>
        <v>0</v>
      </c>
      <c r="N419" s="19">
        <v>46210</v>
      </c>
      <c r="O419" s="21">
        <f t="shared" si="24"/>
        <v>46574</v>
      </c>
    </row>
    <row r="420" spans="1:15" ht="20.149999999999999" hidden="1" customHeight="1" x14ac:dyDescent="0.25">
      <c r="A420" s="26">
        <v>46269</v>
      </c>
      <c r="B420" s="26">
        <v>46272</v>
      </c>
      <c r="C420" s="27" t="s">
        <v>2044</v>
      </c>
      <c r="D420" s="27">
        <v>2</v>
      </c>
      <c r="E420" s="27">
        <f t="shared" si="23"/>
        <v>390</v>
      </c>
      <c r="F420" s="153" t="s">
        <v>618</v>
      </c>
      <c r="G420" s="36" t="s">
        <v>1952</v>
      </c>
      <c r="H420" s="28">
        <f>H418-E420</f>
        <v>5310</v>
      </c>
      <c r="I420" s="28"/>
      <c r="J420" s="28"/>
      <c r="K420" s="27">
        <v>260903004</v>
      </c>
      <c r="L420" s="27"/>
      <c r="M420" s="27">
        <f>M418-D420</f>
        <v>12</v>
      </c>
      <c r="N420" s="19">
        <v>46211</v>
      </c>
      <c r="O420" s="21">
        <f t="shared" si="24"/>
        <v>46575</v>
      </c>
    </row>
    <row r="421" spans="1:15" ht="20.149999999999999" hidden="1" customHeight="1" x14ac:dyDescent="0.25">
      <c r="A421" s="26">
        <v>46269</v>
      </c>
      <c r="B421" s="26">
        <v>46272</v>
      </c>
      <c r="C421" s="27" t="s">
        <v>1655</v>
      </c>
      <c r="D421" s="27">
        <v>10</v>
      </c>
      <c r="E421" s="27">
        <f t="shared" si="23"/>
        <v>1950</v>
      </c>
      <c r="F421" s="153" t="s">
        <v>618</v>
      </c>
      <c r="G421" s="36" t="s">
        <v>2042</v>
      </c>
      <c r="H421" s="28">
        <f>H420-E421</f>
        <v>3360</v>
      </c>
      <c r="I421" s="28"/>
      <c r="J421" s="28"/>
      <c r="K421" s="27">
        <v>260903004</v>
      </c>
      <c r="L421" s="27"/>
      <c r="M421" s="27">
        <f>M317-D421</f>
        <v>27</v>
      </c>
      <c r="N421" s="19">
        <v>46212</v>
      </c>
      <c r="O421" s="21">
        <f t="shared" si="24"/>
        <v>46576</v>
      </c>
    </row>
    <row r="422" spans="1:15" ht="20.149999999999999" hidden="1" customHeight="1" x14ac:dyDescent="0.25">
      <c r="A422" s="22">
        <v>46272</v>
      </c>
      <c r="B422" s="22">
        <v>46273</v>
      </c>
      <c r="C422" s="23" t="s">
        <v>2059</v>
      </c>
      <c r="D422" s="23">
        <v>4</v>
      </c>
      <c r="E422" s="23">
        <f t="shared" si="23"/>
        <v>780</v>
      </c>
      <c r="F422" s="186" t="s">
        <v>110</v>
      </c>
      <c r="G422" s="38" t="s">
        <v>1668</v>
      </c>
      <c r="H422" s="25">
        <f>H417-E422</f>
        <v>6240</v>
      </c>
      <c r="I422" s="25"/>
      <c r="J422" s="25"/>
      <c r="K422" s="23">
        <v>260904009</v>
      </c>
      <c r="L422" s="23"/>
      <c r="M422" s="23">
        <f>M421-D422</f>
        <v>23</v>
      </c>
      <c r="N422" s="19">
        <v>46212</v>
      </c>
      <c r="O422" s="21">
        <f t="shared" si="24"/>
        <v>46576</v>
      </c>
    </row>
    <row r="423" spans="1:15" ht="20.149999999999999" hidden="1" customHeight="1" x14ac:dyDescent="0.25">
      <c r="A423" s="22">
        <v>46272</v>
      </c>
      <c r="B423" s="22">
        <v>46273</v>
      </c>
      <c r="C423" s="23" t="s">
        <v>2053</v>
      </c>
      <c r="D423" s="23">
        <v>4</v>
      </c>
      <c r="E423" s="23">
        <f t="shared" si="23"/>
        <v>780</v>
      </c>
      <c r="F423" s="186" t="s">
        <v>110</v>
      </c>
      <c r="G423" s="200" t="s">
        <v>2066</v>
      </c>
      <c r="H423" s="25">
        <f>H413-E423</f>
        <v>22620</v>
      </c>
      <c r="I423" s="43" t="s">
        <v>22</v>
      </c>
      <c r="J423" s="201"/>
      <c r="K423" s="23">
        <v>260904010</v>
      </c>
      <c r="L423" s="23">
        <v>41</v>
      </c>
      <c r="M423" s="23">
        <f>L423-D423</f>
        <v>37</v>
      </c>
      <c r="N423" s="19">
        <v>46260</v>
      </c>
      <c r="O423" s="21">
        <f t="shared" si="24"/>
        <v>46624</v>
      </c>
    </row>
    <row r="424" spans="1:15" ht="20.149999999999999" hidden="1" customHeight="1" x14ac:dyDescent="0.25">
      <c r="A424" s="22">
        <v>46272</v>
      </c>
      <c r="B424" s="22">
        <v>46273</v>
      </c>
      <c r="C424" s="23" t="s">
        <v>2054</v>
      </c>
      <c r="D424" s="23">
        <v>4</v>
      </c>
      <c r="E424" s="23">
        <f t="shared" si="23"/>
        <v>780</v>
      </c>
      <c r="F424" s="186" t="s">
        <v>110</v>
      </c>
      <c r="G424" s="200" t="s">
        <v>296</v>
      </c>
      <c r="H424" s="25">
        <f>H423-E424</f>
        <v>21840</v>
      </c>
      <c r="I424" s="43" t="s">
        <v>22</v>
      </c>
      <c r="J424" s="202"/>
      <c r="K424" s="23">
        <v>260904010</v>
      </c>
      <c r="L424" s="23">
        <v>41</v>
      </c>
      <c r="M424" s="23">
        <f>L424-D424</f>
        <v>37</v>
      </c>
      <c r="N424" s="19">
        <v>46265</v>
      </c>
      <c r="O424" s="21">
        <f t="shared" si="24"/>
        <v>46629</v>
      </c>
    </row>
    <row r="425" spans="1:15" ht="20.149999999999999" hidden="1" customHeight="1" x14ac:dyDescent="0.25">
      <c r="A425" s="33">
        <v>46272</v>
      </c>
      <c r="B425" s="33">
        <v>46273</v>
      </c>
      <c r="C425" s="34" t="s">
        <v>1653</v>
      </c>
      <c r="D425" s="34">
        <v>12</v>
      </c>
      <c r="E425" s="34">
        <f t="shared" si="23"/>
        <v>2340</v>
      </c>
      <c r="F425" s="34" t="s">
        <v>860</v>
      </c>
      <c r="G425" s="34" t="s">
        <v>2067</v>
      </c>
      <c r="H425" s="35">
        <f>H419-E425</f>
        <v>18940</v>
      </c>
      <c r="I425" s="35"/>
      <c r="J425" s="35"/>
      <c r="K425" s="34">
        <v>260904011</v>
      </c>
      <c r="L425" s="34"/>
      <c r="M425" s="34"/>
      <c r="N425" s="19">
        <v>46211</v>
      </c>
      <c r="O425" s="21">
        <f t="shared" si="24"/>
        <v>46575</v>
      </c>
    </row>
    <row r="426" spans="1:15" ht="20.149999999999999" hidden="1" customHeight="1" x14ac:dyDescent="0.25">
      <c r="A426" s="40">
        <v>46273</v>
      </c>
      <c r="B426" s="40">
        <v>46274</v>
      </c>
      <c r="C426" s="41" t="s">
        <v>1655</v>
      </c>
      <c r="D426" s="41">
        <v>15</v>
      </c>
      <c r="E426" s="41">
        <f t="shared" si="23"/>
        <v>2925</v>
      </c>
      <c r="F426" s="152" t="s">
        <v>618</v>
      </c>
      <c r="G426" s="60" t="s">
        <v>2074</v>
      </c>
      <c r="H426" s="42">
        <f>H421-E426</f>
        <v>435</v>
      </c>
      <c r="I426" s="42"/>
      <c r="J426" s="42"/>
      <c r="K426" s="41">
        <v>260907006</v>
      </c>
      <c r="L426" s="41"/>
      <c r="M426" s="41">
        <f>M422-D426</f>
        <v>8</v>
      </c>
      <c r="N426" s="19">
        <v>46212</v>
      </c>
      <c r="O426" s="21">
        <f t="shared" si="24"/>
        <v>46576</v>
      </c>
    </row>
    <row r="427" spans="1:15" ht="20.149999999999999" hidden="1" customHeight="1" x14ac:dyDescent="0.25">
      <c r="A427" s="40">
        <v>46273</v>
      </c>
      <c r="B427" s="40">
        <v>46274</v>
      </c>
      <c r="C427" s="41" t="s">
        <v>2072</v>
      </c>
      <c r="D427" s="41">
        <v>1</v>
      </c>
      <c r="E427" s="41">
        <f t="shared" si="23"/>
        <v>195</v>
      </c>
      <c r="F427" s="152" t="s">
        <v>618</v>
      </c>
      <c r="G427" s="60" t="s">
        <v>2068</v>
      </c>
      <c r="H427" s="42">
        <f>H426-E427</f>
        <v>240</v>
      </c>
      <c r="I427" s="42"/>
      <c r="J427" s="42"/>
      <c r="K427" s="41">
        <v>260907006</v>
      </c>
      <c r="L427" s="41"/>
      <c r="M427" s="41">
        <f>M326-D427</f>
        <v>37</v>
      </c>
      <c r="N427" s="19">
        <v>46213</v>
      </c>
      <c r="O427" s="21">
        <f t="shared" si="24"/>
        <v>46577</v>
      </c>
    </row>
    <row r="428" spans="1:15" ht="20.149999999999999" hidden="1" customHeight="1" x14ac:dyDescent="0.25">
      <c r="A428" s="29">
        <v>46274</v>
      </c>
      <c r="B428" s="29">
        <v>46274</v>
      </c>
      <c r="C428" s="30" t="s">
        <v>2086</v>
      </c>
      <c r="D428" s="30">
        <v>8</v>
      </c>
      <c r="E428" s="30">
        <f t="shared" si="23"/>
        <v>1560</v>
      </c>
      <c r="F428" s="37" t="s">
        <v>26</v>
      </c>
      <c r="G428" s="197" t="s">
        <v>796</v>
      </c>
      <c r="H428" s="32">
        <f>3120-E428</f>
        <v>1560</v>
      </c>
      <c r="I428" s="203"/>
      <c r="J428" s="180" t="s">
        <v>2085</v>
      </c>
      <c r="K428" s="30">
        <v>260908005</v>
      </c>
      <c r="L428" s="30">
        <v>41</v>
      </c>
      <c r="M428" s="30">
        <f>L428-D428</f>
        <v>33</v>
      </c>
      <c r="N428" s="19">
        <v>46270</v>
      </c>
      <c r="O428" s="21">
        <f t="shared" si="24"/>
        <v>46634</v>
      </c>
    </row>
    <row r="429" spans="1:15" ht="20.149999999999999" hidden="1" customHeight="1" x14ac:dyDescent="0.25">
      <c r="A429" s="26">
        <v>46275</v>
      </c>
      <c r="B429" s="26">
        <v>46276</v>
      </c>
      <c r="C429" s="27" t="s">
        <v>1685</v>
      </c>
      <c r="D429" s="27">
        <v>12</v>
      </c>
      <c r="E429" s="27">
        <f t="shared" si="23"/>
        <v>2340</v>
      </c>
      <c r="F429" s="191" t="s">
        <v>110</v>
      </c>
      <c r="G429" s="36" t="s">
        <v>2100</v>
      </c>
      <c r="H429" s="28">
        <f>H422-E429</f>
        <v>3900</v>
      </c>
      <c r="I429" s="28"/>
      <c r="J429" s="28"/>
      <c r="K429" s="27">
        <v>260909007</v>
      </c>
      <c r="L429" s="27"/>
      <c r="M429" s="27">
        <f>M427-D429</f>
        <v>25</v>
      </c>
      <c r="N429" s="19">
        <v>46213</v>
      </c>
      <c r="O429" s="21">
        <f t="shared" si="24"/>
        <v>46577</v>
      </c>
    </row>
    <row r="430" spans="1:15" ht="20.149999999999999" hidden="1" customHeight="1" x14ac:dyDescent="0.25">
      <c r="A430" s="33">
        <v>46275</v>
      </c>
      <c r="B430" s="33">
        <v>46276</v>
      </c>
      <c r="C430" s="34" t="s">
        <v>2096</v>
      </c>
      <c r="D430" s="34">
        <v>12</v>
      </c>
      <c r="E430" s="34">
        <f t="shared" si="23"/>
        <v>2340</v>
      </c>
      <c r="F430" s="155" t="s">
        <v>618</v>
      </c>
      <c r="G430" s="145" t="s">
        <v>2101</v>
      </c>
      <c r="H430" s="35">
        <f>29640-E430</f>
        <v>27300</v>
      </c>
      <c r="I430" s="35"/>
      <c r="J430" s="35"/>
      <c r="K430" s="34">
        <v>260909008</v>
      </c>
      <c r="L430" s="34"/>
      <c r="M430" s="34">
        <f>M429-D430</f>
        <v>13</v>
      </c>
      <c r="N430" s="19">
        <v>46213</v>
      </c>
      <c r="O430" s="21">
        <f t="shared" si="24"/>
        <v>46577</v>
      </c>
    </row>
    <row r="431" spans="1:15" ht="20.149999999999999" hidden="1" customHeight="1" x14ac:dyDescent="0.25">
      <c r="A431" s="22">
        <v>46275</v>
      </c>
      <c r="B431" s="22">
        <v>46276</v>
      </c>
      <c r="C431" s="23" t="s">
        <v>2097</v>
      </c>
      <c r="D431" s="23">
        <v>8</v>
      </c>
      <c r="E431" s="23">
        <f t="shared" si="23"/>
        <v>1560</v>
      </c>
      <c r="F431" s="23" t="s">
        <v>860</v>
      </c>
      <c r="G431" s="23" t="s">
        <v>2102</v>
      </c>
      <c r="H431" s="25">
        <f>H425-E431</f>
        <v>17380</v>
      </c>
      <c r="I431" s="25"/>
      <c r="J431" s="25"/>
      <c r="K431" s="23">
        <v>260909009</v>
      </c>
      <c r="L431" s="23"/>
      <c r="M431" s="23">
        <f>M426-D431</f>
        <v>0</v>
      </c>
      <c r="N431" s="19">
        <v>46212</v>
      </c>
      <c r="O431" s="21">
        <f t="shared" si="24"/>
        <v>46576</v>
      </c>
    </row>
    <row r="432" spans="1:15" ht="20.149999999999999" hidden="1" customHeight="1" x14ac:dyDescent="0.25">
      <c r="A432" s="29">
        <v>46276</v>
      </c>
      <c r="B432" s="29">
        <v>46279</v>
      </c>
      <c r="C432" s="30" t="s">
        <v>1685</v>
      </c>
      <c r="D432" s="30">
        <v>5</v>
      </c>
      <c r="E432" s="30">
        <f t="shared" si="23"/>
        <v>975</v>
      </c>
      <c r="F432" s="156" t="s">
        <v>618</v>
      </c>
      <c r="G432" s="37" t="s">
        <v>2117</v>
      </c>
      <c r="H432" s="32">
        <f>H430-E432</f>
        <v>26325</v>
      </c>
      <c r="I432" s="32"/>
      <c r="J432" s="32"/>
      <c r="K432" s="30">
        <v>260910005</v>
      </c>
      <c r="L432" s="30"/>
      <c r="M432" s="30">
        <f>M430-D432</f>
        <v>8</v>
      </c>
      <c r="N432" s="19">
        <v>46213</v>
      </c>
      <c r="O432" s="21">
        <f t="shared" si="24"/>
        <v>46577</v>
      </c>
    </row>
    <row r="433" spans="1:15" ht="20.149999999999999" hidden="1" customHeight="1" x14ac:dyDescent="0.25">
      <c r="A433" s="29">
        <v>46276</v>
      </c>
      <c r="B433" s="29">
        <v>46279</v>
      </c>
      <c r="C433" s="30" t="s">
        <v>2109</v>
      </c>
      <c r="D433" s="30">
        <v>11</v>
      </c>
      <c r="E433" s="30">
        <f t="shared" si="23"/>
        <v>2145</v>
      </c>
      <c r="F433" s="156" t="s">
        <v>618</v>
      </c>
      <c r="G433" s="37" t="s">
        <v>2105</v>
      </c>
      <c r="H433" s="32">
        <f>H432-E433</f>
        <v>24180</v>
      </c>
      <c r="I433" s="32"/>
      <c r="J433" s="32"/>
      <c r="K433" s="30">
        <v>260910005</v>
      </c>
      <c r="L433" s="30"/>
      <c r="M433" s="30">
        <f>M333-D433</f>
        <v>26</v>
      </c>
      <c r="N433" s="19">
        <v>46216</v>
      </c>
      <c r="O433" s="21">
        <f t="shared" si="24"/>
        <v>46580</v>
      </c>
    </row>
    <row r="434" spans="1:15" ht="20.149999999999999" hidden="1" customHeight="1" x14ac:dyDescent="0.25">
      <c r="A434" s="40">
        <v>46279</v>
      </c>
      <c r="B434" s="40">
        <v>46280</v>
      </c>
      <c r="C434" s="41" t="s">
        <v>2129</v>
      </c>
      <c r="D434" s="41">
        <v>12</v>
      </c>
      <c r="E434" s="41">
        <f t="shared" si="23"/>
        <v>2340</v>
      </c>
      <c r="F434" s="205" t="s">
        <v>110</v>
      </c>
      <c r="G434" s="60" t="s">
        <v>2134</v>
      </c>
      <c r="H434" s="42">
        <f>H429-E434</f>
        <v>1560</v>
      </c>
      <c r="I434" s="42"/>
      <c r="J434" s="42"/>
      <c r="K434" s="41">
        <v>260911017</v>
      </c>
      <c r="L434" s="41"/>
      <c r="M434" s="41">
        <f>M433-D434</f>
        <v>14</v>
      </c>
      <c r="N434" s="19">
        <v>46216</v>
      </c>
      <c r="O434" s="21">
        <f t="shared" si="24"/>
        <v>46580</v>
      </c>
    </row>
    <row r="435" spans="1:15" ht="20.149999999999999" hidden="1" customHeight="1" x14ac:dyDescent="0.25">
      <c r="A435" s="26">
        <v>46279</v>
      </c>
      <c r="B435" s="26">
        <v>46280</v>
      </c>
      <c r="C435" s="27" t="s">
        <v>1685</v>
      </c>
      <c r="D435" s="27">
        <v>8</v>
      </c>
      <c r="E435" s="27">
        <f t="shared" si="23"/>
        <v>1560</v>
      </c>
      <c r="F435" s="27" t="s">
        <v>860</v>
      </c>
      <c r="G435" s="27" t="s">
        <v>2135</v>
      </c>
      <c r="H435" s="28">
        <f>H431-E435</f>
        <v>15820</v>
      </c>
      <c r="I435" s="28"/>
      <c r="J435" s="28"/>
      <c r="K435" s="27">
        <v>260911018</v>
      </c>
      <c r="L435" s="27"/>
      <c r="M435" s="27">
        <f>M432-D435</f>
        <v>0</v>
      </c>
      <c r="N435" s="19">
        <v>46213</v>
      </c>
      <c r="O435" s="21">
        <f t="shared" si="24"/>
        <v>46577</v>
      </c>
    </row>
    <row r="436" spans="1:15" ht="20.149999999999999" hidden="1" customHeight="1" x14ac:dyDescent="0.25">
      <c r="A436" s="26">
        <v>46279</v>
      </c>
      <c r="B436" s="26">
        <v>46280</v>
      </c>
      <c r="C436" s="27" t="s">
        <v>1703</v>
      </c>
      <c r="D436" s="27">
        <v>4</v>
      </c>
      <c r="E436" s="27">
        <f t="shared" si="23"/>
        <v>780</v>
      </c>
      <c r="F436" s="27" t="s">
        <v>860</v>
      </c>
      <c r="G436" s="27" t="s">
        <v>2121</v>
      </c>
      <c r="H436" s="28">
        <f>H435-E436</f>
        <v>15040</v>
      </c>
      <c r="I436" s="28"/>
      <c r="J436" s="28"/>
      <c r="K436" s="27">
        <v>260911018</v>
      </c>
      <c r="L436" s="27"/>
      <c r="M436" s="27">
        <f>M434-D436</f>
        <v>10</v>
      </c>
      <c r="N436" s="19">
        <v>46216</v>
      </c>
      <c r="O436" s="21">
        <f t="shared" si="24"/>
        <v>46580</v>
      </c>
    </row>
    <row r="437" spans="1:15" ht="20.149999999999999" hidden="1" customHeight="1" x14ac:dyDescent="0.25">
      <c r="A437" s="22">
        <v>46280</v>
      </c>
      <c r="B437" s="22">
        <v>46281</v>
      </c>
      <c r="C437" s="23" t="s">
        <v>1703</v>
      </c>
      <c r="D437" s="23">
        <v>10</v>
      </c>
      <c r="E437" s="23">
        <f t="shared" si="23"/>
        <v>1950</v>
      </c>
      <c r="F437" s="154" t="s">
        <v>618</v>
      </c>
      <c r="G437" s="38" t="s">
        <v>2146</v>
      </c>
      <c r="H437" s="25">
        <f>H433-E437</f>
        <v>22230</v>
      </c>
      <c r="I437" s="25"/>
      <c r="J437" s="25"/>
      <c r="K437" s="23">
        <v>260914006</v>
      </c>
      <c r="L437" s="23"/>
      <c r="M437" s="23">
        <f>M436-D437</f>
        <v>0</v>
      </c>
      <c r="N437" s="19">
        <v>46216</v>
      </c>
      <c r="O437" s="21">
        <f t="shared" si="24"/>
        <v>46580</v>
      </c>
    </row>
    <row r="438" spans="1:15" ht="20.149999999999999" hidden="1" customHeight="1" x14ac:dyDescent="0.25">
      <c r="A438" s="22">
        <v>46280</v>
      </c>
      <c r="B438" s="22">
        <v>46281</v>
      </c>
      <c r="C438" s="23" t="s">
        <v>2144</v>
      </c>
      <c r="D438" s="23">
        <v>6</v>
      </c>
      <c r="E438" s="23">
        <f t="shared" si="23"/>
        <v>1170</v>
      </c>
      <c r="F438" s="154" t="s">
        <v>618</v>
      </c>
      <c r="G438" s="38" t="s">
        <v>2139</v>
      </c>
      <c r="H438" s="25">
        <f>H437-E438</f>
        <v>21060</v>
      </c>
      <c r="I438" s="25"/>
      <c r="J438" s="25"/>
      <c r="K438" s="23">
        <v>260914006</v>
      </c>
      <c r="L438" s="23"/>
      <c r="M438" s="23">
        <f>M334-D438</f>
        <v>31</v>
      </c>
      <c r="N438" s="19">
        <v>46217</v>
      </c>
      <c r="O438" s="21">
        <f t="shared" si="24"/>
        <v>46581</v>
      </c>
    </row>
    <row r="439" spans="1:15" ht="20.149999999999999" hidden="1" customHeight="1" x14ac:dyDescent="0.25">
      <c r="A439" s="33">
        <v>46282</v>
      </c>
      <c r="B439" s="33">
        <v>46283</v>
      </c>
      <c r="C439" s="34" t="s">
        <v>2159</v>
      </c>
      <c r="D439" s="34">
        <v>8</v>
      </c>
      <c r="E439" s="34">
        <f t="shared" si="23"/>
        <v>1560</v>
      </c>
      <c r="F439" s="188" t="s">
        <v>110</v>
      </c>
      <c r="G439" s="39" t="s">
        <v>2165</v>
      </c>
      <c r="H439" s="35">
        <f>H434-E439</f>
        <v>0</v>
      </c>
      <c r="I439" s="35"/>
      <c r="J439" s="35"/>
      <c r="K439" s="34">
        <v>260916007</v>
      </c>
      <c r="L439" s="34"/>
      <c r="M439" s="34">
        <f>M438-D439</f>
        <v>23</v>
      </c>
      <c r="N439" s="19">
        <v>46217</v>
      </c>
      <c r="O439" s="21">
        <f t="shared" si="24"/>
        <v>46581</v>
      </c>
    </row>
    <row r="440" spans="1:15" ht="20.149999999999999" hidden="1" customHeight="1" x14ac:dyDescent="0.25">
      <c r="A440" s="33">
        <v>46282</v>
      </c>
      <c r="B440" s="33">
        <v>46283</v>
      </c>
      <c r="C440" s="34" t="s">
        <v>2160</v>
      </c>
      <c r="D440" s="34">
        <v>4</v>
      </c>
      <c r="E440" s="34">
        <f t="shared" si="23"/>
        <v>780</v>
      </c>
      <c r="F440" s="188" t="s">
        <v>110</v>
      </c>
      <c r="G440" s="193" t="s">
        <v>296</v>
      </c>
      <c r="H440" s="35">
        <f>H424-E440</f>
        <v>21060</v>
      </c>
      <c r="I440" s="63" t="s">
        <v>22</v>
      </c>
      <c r="J440" s="195"/>
      <c r="K440" s="34" t="s">
        <v>2162</v>
      </c>
      <c r="L440" s="34"/>
      <c r="M440" s="34">
        <f>M428-D440</f>
        <v>29</v>
      </c>
      <c r="N440" s="19">
        <v>46270</v>
      </c>
      <c r="O440" s="21">
        <f t="shared" si="24"/>
        <v>46634</v>
      </c>
    </row>
    <row r="441" spans="1:15" ht="20.149999999999999" hidden="1" customHeight="1" x14ac:dyDescent="0.25">
      <c r="A441" s="40">
        <v>46282</v>
      </c>
      <c r="B441" s="40">
        <v>46283</v>
      </c>
      <c r="C441" s="41" t="s">
        <v>1710</v>
      </c>
      <c r="D441" s="41">
        <v>16</v>
      </c>
      <c r="E441" s="41">
        <f t="shared" si="23"/>
        <v>3120</v>
      </c>
      <c r="F441" s="152" t="s">
        <v>618</v>
      </c>
      <c r="G441" s="60" t="s">
        <v>2101</v>
      </c>
      <c r="H441" s="42">
        <f>H438-E441</f>
        <v>17940</v>
      </c>
      <c r="I441" s="42"/>
      <c r="J441" s="42"/>
      <c r="K441" s="41">
        <v>260916008</v>
      </c>
      <c r="L441" s="41"/>
      <c r="M441" s="41">
        <f>M439-D441</f>
        <v>7</v>
      </c>
      <c r="N441" s="19">
        <v>46217</v>
      </c>
      <c r="O441" s="21">
        <f t="shared" si="24"/>
        <v>46581</v>
      </c>
    </row>
    <row r="442" spans="1:15" ht="20.149999999999999" hidden="1" customHeight="1" x14ac:dyDescent="0.25">
      <c r="A442" s="29">
        <v>46282</v>
      </c>
      <c r="B442" s="29">
        <v>46283</v>
      </c>
      <c r="C442" s="30" t="s">
        <v>2161</v>
      </c>
      <c r="D442" s="30">
        <v>7</v>
      </c>
      <c r="E442" s="30">
        <f t="shared" si="23"/>
        <v>1365</v>
      </c>
      <c r="F442" s="30" t="s">
        <v>860</v>
      </c>
      <c r="G442" s="30" t="s">
        <v>1811</v>
      </c>
      <c r="H442" s="32">
        <f>H436-E442</f>
        <v>13675</v>
      </c>
      <c r="I442" s="32"/>
      <c r="J442" s="32"/>
      <c r="K442" s="30">
        <v>260916009</v>
      </c>
      <c r="L442" s="30"/>
      <c r="M442" s="30">
        <f>M441-D442</f>
        <v>0</v>
      </c>
      <c r="N442" s="19">
        <v>46217</v>
      </c>
      <c r="O442" s="21">
        <f t="shared" si="24"/>
        <v>46581</v>
      </c>
    </row>
    <row r="443" spans="1:15" ht="20.149999999999999" hidden="1" customHeight="1" x14ac:dyDescent="0.25">
      <c r="A443" s="29">
        <v>46282</v>
      </c>
      <c r="B443" s="29">
        <v>46283</v>
      </c>
      <c r="C443" s="30" t="s">
        <v>1738</v>
      </c>
      <c r="D443" s="30">
        <v>5</v>
      </c>
      <c r="E443" s="30">
        <f t="shared" ref="E443:E470" si="25">D443*195</f>
        <v>975</v>
      </c>
      <c r="F443" s="30" t="s">
        <v>860</v>
      </c>
      <c r="G443" s="30" t="s">
        <v>2155</v>
      </c>
      <c r="H443" s="32">
        <f>H442-E443</f>
        <v>12700</v>
      </c>
      <c r="I443" s="32"/>
      <c r="J443" s="32"/>
      <c r="K443" s="30">
        <v>260916009</v>
      </c>
      <c r="L443" s="30"/>
      <c r="M443" s="30">
        <f>M340-D443</f>
        <v>33</v>
      </c>
      <c r="N443" s="19">
        <v>46218</v>
      </c>
      <c r="O443" s="21">
        <f t="shared" si="24"/>
        <v>46582</v>
      </c>
    </row>
    <row r="444" spans="1:15" ht="20.149999999999999" hidden="1" customHeight="1" x14ac:dyDescent="0.25">
      <c r="A444" s="26">
        <v>46283</v>
      </c>
      <c r="B444" s="26">
        <v>46286</v>
      </c>
      <c r="C444" s="27" t="s">
        <v>2168</v>
      </c>
      <c r="D444" s="27">
        <v>16</v>
      </c>
      <c r="E444" s="27">
        <f t="shared" si="25"/>
        <v>3120</v>
      </c>
      <c r="F444" s="153" t="s">
        <v>618</v>
      </c>
      <c r="G444" s="36" t="s">
        <v>2170</v>
      </c>
      <c r="H444" s="28">
        <f>H441-E444</f>
        <v>14820</v>
      </c>
      <c r="I444" s="28"/>
      <c r="J444" s="28"/>
      <c r="K444" s="27">
        <v>260917008</v>
      </c>
      <c r="L444" s="27"/>
      <c r="M444" s="27">
        <f>M443-D444</f>
        <v>17</v>
      </c>
      <c r="N444" s="19">
        <v>46218</v>
      </c>
      <c r="O444" s="21">
        <f t="shared" si="24"/>
        <v>46582</v>
      </c>
    </row>
    <row r="445" spans="1:15" ht="20.149999999999999" hidden="1" customHeight="1" x14ac:dyDescent="0.25">
      <c r="A445" s="22">
        <v>46286</v>
      </c>
      <c r="B445" s="22">
        <v>46287</v>
      </c>
      <c r="C445" s="23" t="s">
        <v>1738</v>
      </c>
      <c r="D445" s="23">
        <v>4</v>
      </c>
      <c r="E445" s="23">
        <f t="shared" si="25"/>
        <v>780</v>
      </c>
      <c r="F445" s="186" t="s">
        <v>110</v>
      </c>
      <c r="G445" s="148" t="s">
        <v>2188</v>
      </c>
      <c r="H445" s="25">
        <f>7820-E445</f>
        <v>7040</v>
      </c>
      <c r="I445" s="25"/>
      <c r="J445" s="25"/>
      <c r="K445" s="23">
        <v>260918006</v>
      </c>
      <c r="L445" s="23"/>
      <c r="M445" s="23">
        <f>M444-D445</f>
        <v>13</v>
      </c>
      <c r="N445" s="19">
        <v>46218</v>
      </c>
      <c r="O445" s="21">
        <f t="shared" si="24"/>
        <v>46582</v>
      </c>
    </row>
    <row r="446" spans="1:15" ht="20.149999999999999" hidden="1" customHeight="1" x14ac:dyDescent="0.25">
      <c r="A446" s="22">
        <v>46286</v>
      </c>
      <c r="B446" s="22">
        <v>46287</v>
      </c>
      <c r="C446" s="23" t="s">
        <v>2181</v>
      </c>
      <c r="D446" s="23">
        <v>4</v>
      </c>
      <c r="E446" s="23">
        <f t="shared" si="25"/>
        <v>780</v>
      </c>
      <c r="F446" s="186" t="s">
        <v>110</v>
      </c>
      <c r="G446" s="200" t="s">
        <v>2189</v>
      </c>
      <c r="H446" s="25">
        <f>H440-E446</f>
        <v>20280</v>
      </c>
      <c r="I446" s="43" t="s">
        <v>22</v>
      </c>
      <c r="J446" s="206"/>
      <c r="K446" s="23" t="s">
        <v>2187</v>
      </c>
      <c r="L446" s="23">
        <v>28</v>
      </c>
      <c r="M446" s="23">
        <f>L446-D446</f>
        <v>24</v>
      </c>
      <c r="N446" s="19">
        <v>46273</v>
      </c>
      <c r="O446" s="21">
        <f t="shared" ref="O446:O470" si="26">DATE(YEAR(N446)+1,MONTH(N446),DAY(N446))-1</f>
        <v>46637</v>
      </c>
    </row>
    <row r="447" spans="1:15" ht="20.149999999999999" hidden="1" customHeight="1" x14ac:dyDescent="0.25">
      <c r="A447" s="22">
        <v>46286</v>
      </c>
      <c r="B447" s="22">
        <v>46287</v>
      </c>
      <c r="C447" s="23" t="s">
        <v>2176</v>
      </c>
      <c r="D447" s="23">
        <v>4</v>
      </c>
      <c r="E447" s="23">
        <f t="shared" si="25"/>
        <v>780</v>
      </c>
      <c r="F447" s="186" t="s">
        <v>110</v>
      </c>
      <c r="G447" s="200" t="s">
        <v>296</v>
      </c>
      <c r="H447" s="25">
        <f>H446-E447</f>
        <v>19500</v>
      </c>
      <c r="I447" s="43" t="s">
        <v>22</v>
      </c>
      <c r="J447" s="206"/>
      <c r="K447" s="23" t="s">
        <v>2187</v>
      </c>
      <c r="L447" s="23">
        <v>42</v>
      </c>
      <c r="M447" s="23">
        <f>L447-D447</f>
        <v>38</v>
      </c>
      <c r="N447" s="19">
        <v>46275</v>
      </c>
      <c r="O447" s="21">
        <f t="shared" si="26"/>
        <v>46639</v>
      </c>
    </row>
    <row r="448" spans="1:15" ht="20.149999999999999" hidden="1" customHeight="1" x14ac:dyDescent="0.25">
      <c r="A448" s="33">
        <v>46286</v>
      </c>
      <c r="B448" s="33">
        <v>46287</v>
      </c>
      <c r="C448" s="34" t="s">
        <v>2182</v>
      </c>
      <c r="D448" s="34">
        <v>8</v>
      </c>
      <c r="E448" s="34">
        <f t="shared" si="25"/>
        <v>1560</v>
      </c>
      <c r="F448" s="34" t="s">
        <v>860</v>
      </c>
      <c r="G448" s="34" t="s">
        <v>1811</v>
      </c>
      <c r="H448" s="35">
        <f>H443-E448</f>
        <v>11140</v>
      </c>
      <c r="I448" s="35"/>
      <c r="J448" s="35"/>
      <c r="K448" s="34">
        <v>260918007</v>
      </c>
      <c r="L448" s="34"/>
      <c r="M448" s="34">
        <f>M445-D448</f>
        <v>5</v>
      </c>
      <c r="N448" s="19">
        <v>46218</v>
      </c>
      <c r="O448" s="21">
        <f t="shared" si="26"/>
        <v>46582</v>
      </c>
    </row>
    <row r="449" spans="1:15" ht="20.149999999999999" hidden="1" customHeight="1" x14ac:dyDescent="0.25">
      <c r="A449" s="40">
        <v>46287</v>
      </c>
      <c r="B449" s="40">
        <v>46288</v>
      </c>
      <c r="C449" s="41" t="s">
        <v>2194</v>
      </c>
      <c r="D449" s="41">
        <v>5</v>
      </c>
      <c r="E449" s="41">
        <f t="shared" si="25"/>
        <v>975</v>
      </c>
      <c r="F449" s="152" t="s">
        <v>618</v>
      </c>
      <c r="G449" s="60" t="s">
        <v>2200</v>
      </c>
      <c r="H449" s="42">
        <f>H444-E449</f>
        <v>13845</v>
      </c>
      <c r="I449" s="42"/>
      <c r="J449" s="42"/>
      <c r="K449" s="41">
        <v>260921006</v>
      </c>
      <c r="L449" s="41"/>
      <c r="M449" s="41">
        <f>M448-D449</f>
        <v>0</v>
      </c>
      <c r="N449" s="19">
        <v>46218</v>
      </c>
      <c r="O449" s="21">
        <f t="shared" si="26"/>
        <v>46582</v>
      </c>
    </row>
    <row r="450" spans="1:15" ht="20.149999999999999" hidden="1" customHeight="1" x14ac:dyDescent="0.25">
      <c r="A450" s="40">
        <v>46287</v>
      </c>
      <c r="B450" s="40">
        <v>46288</v>
      </c>
      <c r="C450" s="41" t="s">
        <v>2195</v>
      </c>
      <c r="D450" s="41">
        <v>7</v>
      </c>
      <c r="E450" s="41">
        <f t="shared" si="25"/>
        <v>1365</v>
      </c>
      <c r="F450" s="152" t="s">
        <v>618</v>
      </c>
      <c r="G450" s="60" t="s">
        <v>2192</v>
      </c>
      <c r="H450" s="42">
        <f>H449-E450</f>
        <v>12480</v>
      </c>
      <c r="I450" s="42"/>
      <c r="J450" s="42"/>
      <c r="K450" s="41">
        <v>260921006</v>
      </c>
      <c r="L450" s="41"/>
      <c r="M450" s="41">
        <f>M341-D450</f>
        <v>30</v>
      </c>
      <c r="N450" s="19">
        <v>46219</v>
      </c>
      <c r="O450" s="21">
        <f t="shared" si="26"/>
        <v>46583</v>
      </c>
    </row>
    <row r="451" spans="1:15" ht="20.149999999999999" hidden="1" customHeight="1" x14ac:dyDescent="0.25">
      <c r="A451" s="29">
        <v>46288</v>
      </c>
      <c r="B451" s="29">
        <v>46289</v>
      </c>
      <c r="C451" s="30" t="s">
        <v>2209</v>
      </c>
      <c r="D451" s="30">
        <v>12</v>
      </c>
      <c r="E451" s="30">
        <f t="shared" si="25"/>
        <v>2340</v>
      </c>
      <c r="F451" s="189" t="s">
        <v>110</v>
      </c>
      <c r="G451" s="37" t="s">
        <v>2188</v>
      </c>
      <c r="H451" s="32">
        <f>H445-E451</f>
        <v>4700</v>
      </c>
      <c r="I451" s="32"/>
      <c r="J451" s="32"/>
      <c r="K451" s="30">
        <v>260922008</v>
      </c>
      <c r="L451" s="30"/>
      <c r="M451" s="30">
        <f>M450-D451</f>
        <v>18</v>
      </c>
      <c r="N451" s="19">
        <v>46219</v>
      </c>
      <c r="O451" s="21">
        <f t="shared" si="26"/>
        <v>46583</v>
      </c>
    </row>
    <row r="452" spans="1:15" ht="20.149999999999999" hidden="1" customHeight="1" x14ac:dyDescent="0.25">
      <c r="A452" s="26">
        <v>46288</v>
      </c>
      <c r="B452" s="26">
        <v>46289</v>
      </c>
      <c r="C452" s="27" t="s">
        <v>1739</v>
      </c>
      <c r="D452" s="27">
        <v>12</v>
      </c>
      <c r="E452" s="27">
        <f t="shared" si="25"/>
        <v>2340</v>
      </c>
      <c r="F452" s="27" t="s">
        <v>860</v>
      </c>
      <c r="G452" s="27" t="s">
        <v>2215</v>
      </c>
      <c r="H452" s="28">
        <f>H448-E452</f>
        <v>8800</v>
      </c>
      <c r="I452" s="28"/>
      <c r="J452" s="28"/>
      <c r="K452" s="27">
        <v>260922009</v>
      </c>
      <c r="L452" s="27"/>
      <c r="M452" s="27">
        <f>M451-D452</f>
        <v>6</v>
      </c>
      <c r="N452" s="19">
        <v>46219</v>
      </c>
      <c r="O452" s="21">
        <f t="shared" si="26"/>
        <v>46583</v>
      </c>
    </row>
    <row r="453" spans="1:15" ht="20.149999999999999" hidden="1" customHeight="1" x14ac:dyDescent="0.25">
      <c r="A453" s="22">
        <v>46289</v>
      </c>
      <c r="B453" s="143">
        <v>46290</v>
      </c>
      <c r="C453" s="23" t="s">
        <v>2224</v>
      </c>
      <c r="D453" s="23">
        <v>6</v>
      </c>
      <c r="E453" s="23">
        <f t="shared" si="25"/>
        <v>1170</v>
      </c>
      <c r="F453" s="154" t="s">
        <v>618</v>
      </c>
      <c r="G453" s="38" t="s">
        <v>2101</v>
      </c>
      <c r="H453" s="25">
        <f>H450-E453</f>
        <v>11310</v>
      </c>
      <c r="I453" s="25"/>
      <c r="J453" s="25"/>
      <c r="K453" s="23">
        <v>260923015</v>
      </c>
      <c r="L453" s="23"/>
      <c r="M453" s="23">
        <f>M452-D453</f>
        <v>0</v>
      </c>
      <c r="N453" s="19">
        <v>46219</v>
      </c>
      <c r="O453" s="21">
        <f t="shared" si="26"/>
        <v>46583</v>
      </c>
    </row>
    <row r="454" spans="1:15" ht="20.149999999999999" hidden="1" customHeight="1" x14ac:dyDescent="0.25">
      <c r="A454" s="22">
        <v>46289</v>
      </c>
      <c r="B454" s="143">
        <v>46290</v>
      </c>
      <c r="C454" s="23" t="s">
        <v>1731</v>
      </c>
      <c r="D454" s="23">
        <v>10</v>
      </c>
      <c r="E454" s="23">
        <f t="shared" si="25"/>
        <v>1950</v>
      </c>
      <c r="F454" s="154" t="s">
        <v>618</v>
      </c>
      <c r="G454" s="38" t="s">
        <v>2216</v>
      </c>
      <c r="H454" s="25">
        <f>H453-E454</f>
        <v>9360</v>
      </c>
      <c r="I454" s="25"/>
      <c r="J454" s="25"/>
      <c r="K454" s="23">
        <v>260923015</v>
      </c>
      <c r="L454" s="23"/>
      <c r="M454" s="23">
        <f>M342-D454</f>
        <v>28</v>
      </c>
      <c r="N454" s="19">
        <v>46220</v>
      </c>
      <c r="O454" s="21">
        <f t="shared" si="26"/>
        <v>46584</v>
      </c>
    </row>
    <row r="455" spans="1:15" ht="20.149999999999999" hidden="1" customHeight="1" x14ac:dyDescent="0.25">
      <c r="A455" s="33">
        <v>46289</v>
      </c>
      <c r="B455" s="159">
        <v>46293</v>
      </c>
      <c r="C455" s="34" t="s">
        <v>1731</v>
      </c>
      <c r="D455" s="34">
        <v>4</v>
      </c>
      <c r="E455" s="34">
        <f t="shared" si="25"/>
        <v>780</v>
      </c>
      <c r="F455" s="155" t="s">
        <v>618</v>
      </c>
      <c r="G455" s="39" t="s">
        <v>2235</v>
      </c>
      <c r="H455" s="35">
        <f>H454-E455</f>
        <v>8580</v>
      </c>
      <c r="I455" s="35"/>
      <c r="J455" s="35"/>
      <c r="K455" s="34">
        <v>260923016</v>
      </c>
      <c r="L455" s="34"/>
      <c r="M455" s="34">
        <f>M454-D455</f>
        <v>24</v>
      </c>
      <c r="N455" s="19">
        <v>46220</v>
      </c>
      <c r="O455" s="21">
        <f t="shared" si="26"/>
        <v>46584</v>
      </c>
    </row>
    <row r="456" spans="1:15" ht="20.149999999999999" hidden="1" customHeight="1" x14ac:dyDescent="0.25">
      <c r="A456" s="33">
        <v>46289</v>
      </c>
      <c r="B456" s="159">
        <v>46293</v>
      </c>
      <c r="C456" s="34" t="s">
        <v>2225</v>
      </c>
      <c r="D456" s="34">
        <v>12</v>
      </c>
      <c r="E456" s="34">
        <f t="shared" si="25"/>
        <v>2340</v>
      </c>
      <c r="F456" s="155" t="s">
        <v>618</v>
      </c>
      <c r="G456" s="39" t="s">
        <v>2217</v>
      </c>
      <c r="H456" s="35">
        <f>H455-E456</f>
        <v>6240</v>
      </c>
      <c r="I456" s="35"/>
      <c r="J456" s="35"/>
      <c r="K456" s="34">
        <v>260923016</v>
      </c>
      <c r="L456" s="34"/>
      <c r="M456" s="34">
        <f>M343-D456</f>
        <v>25</v>
      </c>
      <c r="N456" s="19">
        <v>46223</v>
      </c>
      <c r="O456" s="21">
        <f t="shared" si="26"/>
        <v>46587</v>
      </c>
    </row>
    <row r="457" spans="1:15" ht="20.149999999999999" hidden="1" customHeight="1" x14ac:dyDescent="0.25">
      <c r="A457" s="40">
        <v>46289</v>
      </c>
      <c r="B457" s="40">
        <v>46294</v>
      </c>
      <c r="C457" s="41" t="s">
        <v>1731</v>
      </c>
      <c r="D457" s="41">
        <v>12</v>
      </c>
      <c r="E457" s="41">
        <f t="shared" si="25"/>
        <v>2340</v>
      </c>
      <c r="F457" s="205" t="s">
        <v>110</v>
      </c>
      <c r="G457" s="60" t="s">
        <v>2236</v>
      </c>
      <c r="H457" s="42">
        <f>H451-E457</f>
        <v>2360</v>
      </c>
      <c r="I457" s="42"/>
      <c r="J457" s="42"/>
      <c r="K457" s="41">
        <v>260923017</v>
      </c>
      <c r="L457" s="41"/>
      <c r="M457" s="41">
        <f>M455-D457</f>
        <v>12</v>
      </c>
      <c r="N457" s="19">
        <v>46220</v>
      </c>
      <c r="O457" s="21">
        <f t="shared" si="26"/>
        <v>46584</v>
      </c>
    </row>
    <row r="458" spans="1:15" ht="20.149999999999999" hidden="1" customHeight="1" x14ac:dyDescent="0.25">
      <c r="A458" s="29">
        <v>46289</v>
      </c>
      <c r="B458" s="29">
        <v>46294</v>
      </c>
      <c r="C458" s="30" t="s">
        <v>1731</v>
      </c>
      <c r="D458" s="30">
        <v>12</v>
      </c>
      <c r="E458" s="30">
        <f t="shared" si="25"/>
        <v>2340</v>
      </c>
      <c r="F458" s="30" t="s">
        <v>860</v>
      </c>
      <c r="G458" s="30" t="s">
        <v>2237</v>
      </c>
      <c r="H458" s="32">
        <f>H452-E458</f>
        <v>6460</v>
      </c>
      <c r="I458" s="32"/>
      <c r="J458" s="32"/>
      <c r="K458" s="30">
        <v>260923018</v>
      </c>
      <c r="L458" s="30"/>
      <c r="M458" s="30">
        <f>M457-D458</f>
        <v>0</v>
      </c>
      <c r="N458" s="19">
        <v>46220</v>
      </c>
      <c r="O458" s="21">
        <f t="shared" si="26"/>
        <v>46584</v>
      </c>
    </row>
    <row r="459" spans="1:15" ht="20.149999999999999" hidden="1" customHeight="1" x14ac:dyDescent="0.25">
      <c r="A459" s="26">
        <v>46294</v>
      </c>
      <c r="B459" s="26">
        <v>46295</v>
      </c>
      <c r="C459" s="27" t="s">
        <v>2241</v>
      </c>
      <c r="D459" s="27">
        <v>9</v>
      </c>
      <c r="E459" s="27">
        <f t="shared" si="25"/>
        <v>1755</v>
      </c>
      <c r="F459" s="153" t="s">
        <v>618</v>
      </c>
      <c r="G459" s="36" t="s">
        <v>2101</v>
      </c>
      <c r="H459" s="28">
        <f>H456-E459</f>
        <v>4485</v>
      </c>
      <c r="I459" s="28"/>
      <c r="J459" s="28"/>
      <c r="K459" s="27">
        <v>260924007</v>
      </c>
      <c r="L459" s="27"/>
      <c r="M459" s="27">
        <f>M456-D459</f>
        <v>16</v>
      </c>
      <c r="N459" s="19">
        <v>46223</v>
      </c>
      <c r="O459" s="21">
        <f t="shared" si="26"/>
        <v>46587</v>
      </c>
    </row>
    <row r="460" spans="1:15" ht="20.149999999999999" hidden="1" customHeight="1" x14ac:dyDescent="0.25">
      <c r="A460" s="26">
        <v>46294</v>
      </c>
      <c r="B460" s="26">
        <v>46295</v>
      </c>
      <c r="C460" s="27" t="s">
        <v>2242</v>
      </c>
      <c r="D460" s="27">
        <v>7</v>
      </c>
      <c r="E460" s="27">
        <f t="shared" si="25"/>
        <v>1365</v>
      </c>
      <c r="F460" s="153" t="s">
        <v>618</v>
      </c>
      <c r="G460" s="36" t="s">
        <v>2238</v>
      </c>
      <c r="H460" s="28">
        <f>H459-E460</f>
        <v>3120</v>
      </c>
      <c r="I460" s="28"/>
      <c r="J460" s="28"/>
      <c r="K460" s="27">
        <v>260924007</v>
      </c>
      <c r="L460" s="27"/>
      <c r="M460" s="27">
        <f>M352-D460</f>
        <v>30</v>
      </c>
      <c r="N460" s="19">
        <v>46224</v>
      </c>
      <c r="O460" s="21">
        <f t="shared" si="26"/>
        <v>46588</v>
      </c>
    </row>
    <row r="461" spans="1:15" ht="20.149999999999999" hidden="1" customHeight="1" x14ac:dyDescent="0.25">
      <c r="A461" s="143">
        <v>46293</v>
      </c>
      <c r="B461" s="22">
        <v>46294</v>
      </c>
      <c r="C461" s="23" t="s">
        <v>2245</v>
      </c>
      <c r="D461" s="23">
        <v>8</v>
      </c>
      <c r="E461" s="23">
        <f t="shared" si="25"/>
        <v>1560</v>
      </c>
      <c r="F461" s="154" t="s">
        <v>2244</v>
      </c>
      <c r="G461" s="200" t="s">
        <v>2246</v>
      </c>
      <c r="H461" s="25">
        <f>10920-E461</f>
        <v>9360</v>
      </c>
      <c r="I461" s="25"/>
      <c r="J461" s="207" t="s">
        <v>2085</v>
      </c>
      <c r="K461" s="23">
        <v>260924008</v>
      </c>
      <c r="L461" s="23">
        <v>41</v>
      </c>
      <c r="M461" s="23">
        <f>L461-D461</f>
        <v>33</v>
      </c>
      <c r="N461" s="19">
        <v>46283</v>
      </c>
      <c r="O461" s="21">
        <f t="shared" si="26"/>
        <v>46647</v>
      </c>
    </row>
    <row r="462" spans="1:15" ht="20.149999999999999" hidden="1" customHeight="1" x14ac:dyDescent="0.25">
      <c r="A462" s="33">
        <v>46296</v>
      </c>
      <c r="B462" s="33">
        <v>46297</v>
      </c>
      <c r="C462" s="34" t="s">
        <v>2263</v>
      </c>
      <c r="D462" s="34">
        <v>8</v>
      </c>
      <c r="E462" s="34">
        <f t="shared" si="25"/>
        <v>1560</v>
      </c>
      <c r="F462" s="188" t="s">
        <v>110</v>
      </c>
      <c r="G462" s="39" t="s">
        <v>2271</v>
      </c>
      <c r="H462" s="35">
        <f>H457-E462</f>
        <v>800</v>
      </c>
      <c r="I462" s="35"/>
      <c r="J462" s="35"/>
      <c r="K462" s="34">
        <v>260930009</v>
      </c>
      <c r="L462" s="34"/>
      <c r="M462" s="34">
        <f>M459-D462</f>
        <v>8</v>
      </c>
      <c r="N462" s="19">
        <v>46223</v>
      </c>
      <c r="O462" s="21">
        <f t="shared" si="26"/>
        <v>46587</v>
      </c>
    </row>
    <row r="463" spans="1:15" ht="20.149999999999999" hidden="1" customHeight="1" x14ac:dyDescent="0.25">
      <c r="A463" s="33">
        <v>46296</v>
      </c>
      <c r="B463" s="33">
        <v>46297</v>
      </c>
      <c r="C463" s="34" t="s">
        <v>1770</v>
      </c>
      <c r="D463" s="34">
        <v>4</v>
      </c>
      <c r="E463" s="34">
        <f t="shared" si="25"/>
        <v>780</v>
      </c>
      <c r="F463" s="188" t="s">
        <v>110</v>
      </c>
      <c r="G463" s="39" t="s">
        <v>2188</v>
      </c>
      <c r="H463" s="35">
        <f>H462-E463</f>
        <v>20</v>
      </c>
      <c r="I463" s="35"/>
      <c r="J463" s="35"/>
      <c r="K463" s="34">
        <v>260930009</v>
      </c>
      <c r="L463" s="34"/>
      <c r="M463" s="34">
        <f>M460-D463</f>
        <v>26</v>
      </c>
      <c r="N463" s="19">
        <v>46224</v>
      </c>
      <c r="O463" s="21">
        <f t="shared" si="26"/>
        <v>46588</v>
      </c>
    </row>
    <row r="464" spans="1:15" ht="20.149999999999999" hidden="1" customHeight="1" x14ac:dyDescent="0.25">
      <c r="A464" s="40">
        <v>46296</v>
      </c>
      <c r="B464" s="40">
        <v>46297</v>
      </c>
      <c r="C464" s="41" t="s">
        <v>1770</v>
      </c>
      <c r="D464" s="41">
        <v>16</v>
      </c>
      <c r="E464" s="41">
        <f t="shared" si="25"/>
        <v>3120</v>
      </c>
      <c r="F464" s="152" t="s">
        <v>618</v>
      </c>
      <c r="G464" s="60" t="s">
        <v>2101</v>
      </c>
      <c r="H464" s="42">
        <f>H460-E464</f>
        <v>0</v>
      </c>
      <c r="I464" s="42"/>
      <c r="J464" s="42"/>
      <c r="K464" s="41">
        <v>260930010</v>
      </c>
      <c r="L464" s="41"/>
      <c r="M464" s="41">
        <f>M463-D464</f>
        <v>10</v>
      </c>
      <c r="N464" s="19">
        <v>46224</v>
      </c>
      <c r="O464" s="21">
        <f t="shared" si="26"/>
        <v>46588</v>
      </c>
    </row>
    <row r="465" spans="1:15" ht="20.149999999999999" hidden="1" customHeight="1" x14ac:dyDescent="0.25">
      <c r="A465" s="26">
        <v>46296</v>
      </c>
      <c r="B465" s="26">
        <v>46297</v>
      </c>
      <c r="C465" s="27" t="s">
        <v>2263</v>
      </c>
      <c r="D465" s="27">
        <v>8</v>
      </c>
      <c r="E465" s="27">
        <f t="shared" si="25"/>
        <v>1560</v>
      </c>
      <c r="F465" s="27" t="s">
        <v>860</v>
      </c>
      <c r="G465" s="27" t="s">
        <v>1811</v>
      </c>
      <c r="H465" s="28">
        <f>H458-E465</f>
        <v>4900</v>
      </c>
      <c r="I465" s="28"/>
      <c r="J465" s="28"/>
      <c r="K465" s="27">
        <v>260930011</v>
      </c>
      <c r="L465" s="27"/>
      <c r="M465" s="27">
        <f>M462-D465</f>
        <v>0</v>
      </c>
      <c r="N465" s="19">
        <v>46223</v>
      </c>
      <c r="O465" s="21">
        <f t="shared" si="26"/>
        <v>46587</v>
      </c>
    </row>
    <row r="466" spans="1:15" ht="20.149999999999999" hidden="1" customHeight="1" x14ac:dyDescent="0.25">
      <c r="A466" s="26">
        <v>46296</v>
      </c>
      <c r="B466" s="26">
        <v>46297</v>
      </c>
      <c r="C466" s="27" t="s">
        <v>1770</v>
      </c>
      <c r="D466" s="27">
        <v>8</v>
      </c>
      <c r="E466" s="27">
        <f t="shared" si="25"/>
        <v>1560</v>
      </c>
      <c r="F466" s="27" t="s">
        <v>860</v>
      </c>
      <c r="G466" s="27" t="s">
        <v>2258</v>
      </c>
      <c r="H466" s="28">
        <f>H465-E466</f>
        <v>3340</v>
      </c>
      <c r="I466" s="28"/>
      <c r="J466" s="28"/>
      <c r="K466" s="27">
        <v>260930011</v>
      </c>
      <c r="L466" s="27"/>
      <c r="M466" s="27">
        <f>M464-D466</f>
        <v>2</v>
      </c>
      <c r="N466" s="19">
        <v>46224</v>
      </c>
      <c r="O466" s="21">
        <f t="shared" si="26"/>
        <v>46588</v>
      </c>
    </row>
    <row r="467" spans="1:15" ht="20.149999999999999" hidden="1" customHeight="1" x14ac:dyDescent="0.25">
      <c r="A467" s="29">
        <v>46297</v>
      </c>
      <c r="B467" s="29">
        <v>46300</v>
      </c>
      <c r="C467" s="30" t="s">
        <v>1770</v>
      </c>
      <c r="D467" s="30">
        <v>2</v>
      </c>
      <c r="E467" s="30">
        <f t="shared" si="25"/>
        <v>390</v>
      </c>
      <c r="F467" s="156" t="s">
        <v>618</v>
      </c>
      <c r="G467" s="161" t="s">
        <v>2272</v>
      </c>
      <c r="H467" s="32">
        <f>6480-E467</f>
        <v>6090</v>
      </c>
      <c r="I467" s="32"/>
      <c r="J467" s="32"/>
      <c r="K467" s="30">
        <v>261001004</v>
      </c>
      <c r="L467" s="30"/>
      <c r="M467" s="30">
        <f>M466-D467</f>
        <v>0</v>
      </c>
      <c r="N467" s="19">
        <v>46224</v>
      </c>
      <c r="O467" s="21">
        <f t="shared" si="26"/>
        <v>46588</v>
      </c>
    </row>
    <row r="468" spans="1:15" ht="20.149999999999999" hidden="1" customHeight="1" x14ac:dyDescent="0.25">
      <c r="A468" s="29">
        <v>46297</v>
      </c>
      <c r="B468" s="29">
        <v>46300</v>
      </c>
      <c r="C468" s="30" t="s">
        <v>2277</v>
      </c>
      <c r="D468" s="30">
        <v>14</v>
      </c>
      <c r="E468" s="30">
        <f t="shared" si="25"/>
        <v>2730</v>
      </c>
      <c r="F468" s="156" t="s">
        <v>618</v>
      </c>
      <c r="G468" s="161" t="s">
        <v>2275</v>
      </c>
      <c r="H468" s="32">
        <f>H467-E468</f>
        <v>3360</v>
      </c>
      <c r="I468" s="32"/>
      <c r="J468" s="32"/>
      <c r="K468" s="30">
        <v>261001004</v>
      </c>
      <c r="L468" s="30"/>
      <c r="M468" s="30">
        <f>M353-D468</f>
        <v>24</v>
      </c>
      <c r="N468" s="19">
        <v>46225</v>
      </c>
      <c r="O468" s="21">
        <f t="shared" si="26"/>
        <v>46589</v>
      </c>
    </row>
    <row r="469" spans="1:15" ht="20.149999999999999" customHeight="1" x14ac:dyDescent="0.25">
      <c r="A469" s="22">
        <v>46300</v>
      </c>
      <c r="B469" s="22">
        <v>46301</v>
      </c>
      <c r="C469" s="23" t="s">
        <v>2287</v>
      </c>
      <c r="D469" s="23">
        <v>12</v>
      </c>
      <c r="E469" s="23">
        <f t="shared" si="25"/>
        <v>2340</v>
      </c>
      <c r="F469" s="186" t="s">
        <v>110</v>
      </c>
      <c r="G469" s="148" t="s">
        <v>2295</v>
      </c>
      <c r="H469" s="25">
        <f>26240-E469</f>
        <v>23900</v>
      </c>
      <c r="I469" s="25"/>
      <c r="J469" s="25"/>
      <c r="K469" s="23">
        <v>261002006</v>
      </c>
      <c r="L469" s="23"/>
      <c r="M469" s="23">
        <f>M468-D469</f>
        <v>12</v>
      </c>
      <c r="N469" s="19">
        <f>IF($C469="","",DATE(2000+LEFT($C469,2), HEX2DEC(MID($C469,3,1)), MID($C469,4,2)))</f>
        <v>46225</v>
      </c>
      <c r="O469" s="21">
        <f t="shared" si="26"/>
        <v>46589</v>
      </c>
    </row>
    <row r="470" spans="1:15" ht="20.149999999999999" customHeight="1" x14ac:dyDescent="0.25">
      <c r="A470" s="33">
        <v>46300</v>
      </c>
      <c r="B470" s="33">
        <v>46301</v>
      </c>
      <c r="C470" s="34" t="s">
        <v>2288</v>
      </c>
      <c r="D470" s="34">
        <v>12</v>
      </c>
      <c r="E470" s="34">
        <f t="shared" si="25"/>
        <v>2340</v>
      </c>
      <c r="F470" s="34" t="s">
        <v>860</v>
      </c>
      <c r="G470" s="34" t="s">
        <v>2296</v>
      </c>
      <c r="H470" s="35">
        <f>H466-E470</f>
        <v>1000</v>
      </c>
      <c r="I470" s="35"/>
      <c r="J470" s="35"/>
      <c r="K470" s="34">
        <v>261002007</v>
      </c>
      <c r="L470" s="34"/>
      <c r="M470" s="34">
        <f>M469-D470</f>
        <v>0</v>
      </c>
      <c r="N470" s="19">
        <f>IF($C470="","",DATE(2000+LEFT($C470,2), HEX2DEC(MID($C470,3,1)), MID($C470,4,2)))</f>
        <v>46225</v>
      </c>
      <c r="O470" s="21">
        <f t="shared" si="26"/>
        <v>46589</v>
      </c>
    </row>
  </sheetData>
  <autoFilter ref="A2:Q470">
    <filterColumn colId="0">
      <filters>
        <dateGroupItem year="2026" month="10" day="5" dateTimeGrouping="day"/>
      </filters>
    </filterColumn>
  </autoFilter>
  <mergeCells count="1">
    <mergeCell ref="J1:K1"/>
  </mergeCells>
  <phoneticPr fontId="3" type="noConversion"/>
  <pageMargins left="0.25" right="0.25" top="0.75" bottom="0.75" header="0.3" footer="0.3"/>
  <pageSetup paperSize="9" scale="8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O22"/>
  <sheetViews>
    <sheetView zoomScaleNormal="100" workbookViewId="0">
      <pane ySplit="2" topLeftCell="A3" activePane="bottomLeft" state="frozen"/>
      <selection pane="bottomLeft" activeCell="G22" sqref="G22"/>
    </sheetView>
  </sheetViews>
  <sheetFormatPr defaultColWidth="9" defaultRowHeight="20.149999999999999" customHeight="1" x14ac:dyDescent="0.2"/>
  <cols>
    <col min="1" max="2" width="7.125" style="44" customWidth="1"/>
    <col min="3" max="3" width="14.125" style="45" customWidth="1"/>
    <col min="4" max="4" width="6.5" style="45" customWidth="1"/>
    <col min="5" max="5" width="9.25" style="45" customWidth="1"/>
    <col min="6" max="6" width="9.625" style="45" customWidth="1"/>
    <col min="7" max="7" width="22.5" style="50" bestFit="1" customWidth="1"/>
    <col min="8" max="327" width="9" style="50"/>
    <col min="328" max="16384" width="9" style="7"/>
  </cols>
  <sheetData>
    <row r="1" spans="1:327" ht="24.05" customHeight="1" x14ac:dyDescent="0.2">
      <c r="A1" s="47"/>
      <c r="B1" s="48" t="s">
        <v>49</v>
      </c>
      <c r="C1" s="49"/>
      <c r="D1" s="49"/>
      <c r="E1" s="49"/>
      <c r="F1" s="49"/>
      <c r="G1" s="49"/>
    </row>
    <row r="2" spans="1:327" s="18" customFormat="1" ht="20.149999999999999" customHeight="1" x14ac:dyDescent="0.25">
      <c r="A2" s="51" t="s">
        <v>3</v>
      </c>
      <c r="B2" s="52" t="s">
        <v>4</v>
      </c>
      <c r="C2" s="53" t="s">
        <v>5</v>
      </c>
      <c r="D2" s="54" t="s">
        <v>6</v>
      </c>
      <c r="E2" s="55" t="s">
        <v>7</v>
      </c>
      <c r="F2" s="54" t="s">
        <v>224</v>
      </c>
      <c r="G2" s="54" t="s">
        <v>229</v>
      </c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59"/>
      <c r="EI2" s="59"/>
      <c r="EJ2" s="59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59"/>
      <c r="EX2" s="59"/>
      <c r="EY2" s="59"/>
      <c r="EZ2" s="59"/>
      <c r="FA2" s="59"/>
      <c r="FB2" s="59"/>
      <c r="FC2" s="59"/>
      <c r="FD2" s="59"/>
      <c r="FE2" s="59"/>
      <c r="FF2" s="59"/>
      <c r="FG2" s="59"/>
      <c r="FH2" s="59"/>
      <c r="FI2" s="59"/>
      <c r="FJ2" s="59"/>
      <c r="FK2" s="59"/>
      <c r="FL2" s="59"/>
      <c r="FM2" s="59"/>
      <c r="FN2" s="59"/>
      <c r="FO2" s="59"/>
      <c r="FP2" s="59"/>
      <c r="FQ2" s="59"/>
      <c r="FR2" s="59"/>
      <c r="FS2" s="59"/>
      <c r="FT2" s="59"/>
      <c r="FU2" s="59"/>
      <c r="FV2" s="59"/>
      <c r="FW2" s="59"/>
      <c r="FX2" s="59"/>
      <c r="FY2" s="59"/>
      <c r="FZ2" s="59"/>
      <c r="GA2" s="59"/>
      <c r="GB2" s="59"/>
      <c r="GC2" s="59"/>
      <c r="GD2" s="59"/>
      <c r="GE2" s="59"/>
      <c r="GF2" s="59"/>
      <c r="GG2" s="59"/>
      <c r="GH2" s="59"/>
      <c r="GI2" s="59"/>
      <c r="GJ2" s="59"/>
      <c r="GK2" s="59"/>
      <c r="GL2" s="59"/>
      <c r="GM2" s="59"/>
      <c r="GN2" s="59"/>
      <c r="GO2" s="59"/>
      <c r="GP2" s="59"/>
      <c r="GQ2" s="59"/>
      <c r="GR2" s="59"/>
      <c r="GS2" s="59"/>
      <c r="GT2" s="59"/>
      <c r="GU2" s="59"/>
      <c r="GV2" s="59"/>
      <c r="GW2" s="59"/>
      <c r="GX2" s="59"/>
      <c r="GY2" s="59"/>
      <c r="GZ2" s="59"/>
      <c r="HA2" s="59"/>
      <c r="HB2" s="59"/>
      <c r="HC2" s="59"/>
      <c r="HD2" s="59"/>
      <c r="HE2" s="59"/>
      <c r="HF2" s="59"/>
      <c r="HG2" s="59"/>
      <c r="HH2" s="59"/>
      <c r="HI2" s="59"/>
      <c r="HJ2" s="59"/>
      <c r="HK2" s="59"/>
      <c r="HL2" s="59"/>
      <c r="HM2" s="59"/>
      <c r="HN2" s="59"/>
      <c r="HO2" s="59"/>
      <c r="HP2" s="59"/>
      <c r="HQ2" s="59"/>
      <c r="HR2" s="59"/>
      <c r="HS2" s="59"/>
      <c r="HT2" s="59"/>
      <c r="HU2" s="59"/>
      <c r="HV2" s="59"/>
      <c r="HW2" s="59"/>
      <c r="HX2" s="59"/>
      <c r="HY2" s="59"/>
      <c r="HZ2" s="59"/>
      <c r="IA2" s="59"/>
      <c r="IB2" s="59"/>
      <c r="IC2" s="59"/>
      <c r="ID2" s="59"/>
      <c r="IE2" s="59"/>
      <c r="IF2" s="59"/>
      <c r="IG2" s="59"/>
      <c r="IH2" s="59"/>
      <c r="II2" s="59"/>
      <c r="IJ2" s="59"/>
      <c r="IK2" s="59"/>
      <c r="IL2" s="59"/>
      <c r="IM2" s="59"/>
      <c r="IN2" s="59"/>
      <c r="IO2" s="59"/>
      <c r="IP2" s="59"/>
      <c r="IQ2" s="59"/>
      <c r="IR2" s="59"/>
      <c r="IS2" s="59"/>
      <c r="IT2" s="59"/>
      <c r="IU2" s="59"/>
      <c r="IV2" s="59"/>
      <c r="IW2" s="59"/>
      <c r="IX2" s="59"/>
      <c r="IY2" s="59"/>
      <c r="IZ2" s="59"/>
      <c r="JA2" s="59"/>
      <c r="JB2" s="59"/>
      <c r="JC2" s="59"/>
      <c r="JD2" s="59"/>
      <c r="JE2" s="59"/>
      <c r="JF2" s="59"/>
      <c r="JG2" s="59"/>
      <c r="JH2" s="59"/>
      <c r="JI2" s="59"/>
      <c r="JJ2" s="59"/>
      <c r="JK2" s="59"/>
      <c r="JL2" s="59"/>
      <c r="JM2" s="59"/>
      <c r="JN2" s="59"/>
      <c r="JO2" s="59"/>
      <c r="JP2" s="59"/>
      <c r="JQ2" s="59"/>
      <c r="JR2" s="59"/>
      <c r="JS2" s="59"/>
      <c r="JT2" s="59"/>
      <c r="JU2" s="59"/>
      <c r="JV2" s="59"/>
      <c r="JW2" s="59"/>
      <c r="JX2" s="59"/>
      <c r="JY2" s="59"/>
      <c r="JZ2" s="59"/>
      <c r="KA2" s="59"/>
      <c r="KB2" s="59"/>
      <c r="KC2" s="59"/>
      <c r="KD2" s="59"/>
      <c r="KE2" s="59"/>
      <c r="KF2" s="59"/>
      <c r="KG2" s="59"/>
      <c r="KH2" s="59"/>
      <c r="KI2" s="59"/>
      <c r="KJ2" s="59"/>
      <c r="KK2" s="59"/>
      <c r="KL2" s="59"/>
      <c r="KM2" s="59"/>
      <c r="KN2" s="59"/>
      <c r="KO2" s="59"/>
      <c r="KP2" s="59"/>
      <c r="KQ2" s="59"/>
      <c r="KR2" s="59"/>
      <c r="KS2" s="59"/>
      <c r="KT2" s="59"/>
      <c r="KU2" s="59"/>
      <c r="KV2" s="59"/>
      <c r="KW2" s="59"/>
      <c r="KX2" s="59"/>
      <c r="KY2" s="59"/>
      <c r="KZ2" s="59"/>
      <c r="LA2" s="59"/>
      <c r="LB2" s="59"/>
      <c r="LC2" s="59"/>
      <c r="LD2" s="59"/>
      <c r="LE2" s="59"/>
      <c r="LF2" s="59"/>
      <c r="LG2" s="59"/>
      <c r="LH2" s="59"/>
      <c r="LI2" s="59"/>
      <c r="LJ2" s="59"/>
      <c r="LK2" s="59"/>
      <c r="LL2" s="59"/>
      <c r="LM2" s="59"/>
      <c r="LN2" s="59"/>
      <c r="LO2" s="59"/>
    </row>
    <row r="3" spans="1:327" ht="20.149999999999999" customHeight="1" x14ac:dyDescent="0.25">
      <c r="A3" s="26">
        <v>46051</v>
      </c>
      <c r="B3" s="26">
        <v>46052</v>
      </c>
      <c r="C3" s="27" t="s">
        <v>222</v>
      </c>
      <c r="D3" s="27">
        <v>4</v>
      </c>
      <c r="E3" s="27">
        <f t="shared" ref="E3:E18" si="0">D3*195</f>
        <v>780</v>
      </c>
      <c r="F3" s="36" t="s">
        <v>29</v>
      </c>
      <c r="G3" s="50" t="s">
        <v>230</v>
      </c>
    </row>
    <row r="4" spans="1:327" ht="20.149999999999999" customHeight="1" x14ac:dyDescent="0.25">
      <c r="A4" s="26">
        <v>46051</v>
      </c>
      <c r="B4" s="26">
        <v>46052</v>
      </c>
      <c r="C4" s="27" t="s">
        <v>223</v>
      </c>
      <c r="D4" s="27">
        <v>4</v>
      </c>
      <c r="E4" s="27">
        <f t="shared" si="0"/>
        <v>780</v>
      </c>
      <c r="F4" s="36" t="s">
        <v>29</v>
      </c>
      <c r="G4" s="50" t="s">
        <v>230</v>
      </c>
    </row>
    <row r="5" spans="1:327" ht="20.149999999999999" customHeight="1" x14ac:dyDescent="0.25">
      <c r="A5" s="26">
        <v>46051</v>
      </c>
      <c r="B5" s="26">
        <v>46052</v>
      </c>
      <c r="C5" s="27" t="s">
        <v>112</v>
      </c>
      <c r="D5" s="27">
        <v>8</v>
      </c>
      <c r="E5" s="27">
        <f t="shared" si="0"/>
        <v>1560</v>
      </c>
      <c r="F5" s="36" t="s">
        <v>29</v>
      </c>
      <c r="G5" s="50" t="s">
        <v>230</v>
      </c>
    </row>
    <row r="6" spans="1:327" ht="20.149999999999999" customHeight="1" x14ac:dyDescent="0.2">
      <c r="A6" s="33">
        <v>46051</v>
      </c>
      <c r="B6" s="33">
        <v>46052</v>
      </c>
      <c r="C6" s="34" t="s">
        <v>223</v>
      </c>
      <c r="D6" s="34">
        <v>8</v>
      </c>
      <c r="E6" s="34">
        <f t="shared" si="0"/>
        <v>1560</v>
      </c>
      <c r="F6" s="39" t="s">
        <v>26</v>
      </c>
      <c r="G6" s="50" t="s">
        <v>230</v>
      </c>
    </row>
    <row r="7" spans="1:327" ht="20.149999999999999" customHeight="1" x14ac:dyDescent="0.2">
      <c r="A7" s="33">
        <v>46051</v>
      </c>
      <c r="B7" s="33">
        <v>46052</v>
      </c>
      <c r="C7" s="34" t="s">
        <v>112</v>
      </c>
      <c r="D7" s="34">
        <v>8</v>
      </c>
      <c r="E7" s="34">
        <f t="shared" si="0"/>
        <v>1560</v>
      </c>
      <c r="F7" s="39" t="s">
        <v>26</v>
      </c>
      <c r="G7" s="50" t="s">
        <v>230</v>
      </c>
    </row>
    <row r="8" spans="1:327" ht="20.149999999999999" customHeight="1" x14ac:dyDescent="0.25">
      <c r="A8" s="29">
        <v>46052</v>
      </c>
      <c r="B8" s="29">
        <v>46052</v>
      </c>
      <c r="C8" s="30" t="s">
        <v>225</v>
      </c>
      <c r="D8" s="30">
        <v>4</v>
      </c>
      <c r="E8" s="30">
        <f t="shared" si="0"/>
        <v>780</v>
      </c>
      <c r="F8" s="37" t="s">
        <v>84</v>
      </c>
      <c r="G8" s="50" t="s">
        <v>231</v>
      </c>
    </row>
    <row r="9" spans="1:327" ht="20.149999999999999" customHeight="1" x14ac:dyDescent="0.25">
      <c r="A9" s="29">
        <v>46052</v>
      </c>
      <c r="B9" s="29">
        <v>46052</v>
      </c>
      <c r="C9" s="30" t="s">
        <v>226</v>
      </c>
      <c r="D9" s="30">
        <v>8</v>
      </c>
      <c r="E9" s="30">
        <f t="shared" si="0"/>
        <v>1560</v>
      </c>
      <c r="F9" s="37" t="s">
        <v>84</v>
      </c>
      <c r="G9" s="50" t="s">
        <v>231</v>
      </c>
    </row>
    <row r="10" spans="1:327" ht="20.149999999999999" customHeight="1" x14ac:dyDescent="0.25">
      <c r="A10" s="22">
        <v>46052</v>
      </c>
      <c r="B10" s="22">
        <v>46055</v>
      </c>
      <c r="C10" s="23" t="s">
        <v>37</v>
      </c>
      <c r="D10" s="23">
        <v>2</v>
      </c>
      <c r="E10" s="23">
        <f t="shared" si="0"/>
        <v>390</v>
      </c>
      <c r="F10" s="38" t="s">
        <v>27</v>
      </c>
      <c r="G10" s="50" t="s">
        <v>228</v>
      </c>
    </row>
    <row r="11" spans="1:327" ht="20.149999999999999" customHeight="1" x14ac:dyDescent="0.25">
      <c r="A11" s="22">
        <v>46052</v>
      </c>
      <c r="B11" s="22">
        <v>46055</v>
      </c>
      <c r="C11" s="23" t="s">
        <v>39</v>
      </c>
      <c r="D11" s="23">
        <v>2</v>
      </c>
      <c r="E11" s="23">
        <f t="shared" si="0"/>
        <v>390</v>
      </c>
      <c r="F11" s="38" t="s">
        <v>27</v>
      </c>
      <c r="G11" s="50" t="s">
        <v>228</v>
      </c>
    </row>
    <row r="12" spans="1:327" ht="20.149999999999999" customHeight="1" x14ac:dyDescent="0.25">
      <c r="A12" s="22">
        <v>46052</v>
      </c>
      <c r="B12" s="22">
        <v>46055</v>
      </c>
      <c r="C12" s="23" t="s">
        <v>112</v>
      </c>
      <c r="D12" s="23">
        <v>5</v>
      </c>
      <c r="E12" s="23">
        <f t="shared" si="0"/>
        <v>975</v>
      </c>
      <c r="F12" s="38" t="s">
        <v>27</v>
      </c>
      <c r="G12" s="50" t="s">
        <v>228</v>
      </c>
    </row>
    <row r="13" spans="1:327" ht="20.149999999999999" customHeight="1" x14ac:dyDescent="0.25">
      <c r="A13" s="22">
        <v>46052</v>
      </c>
      <c r="B13" s="22">
        <v>46055</v>
      </c>
      <c r="C13" s="23" t="s">
        <v>221</v>
      </c>
      <c r="D13" s="23">
        <v>3</v>
      </c>
      <c r="E13" s="23">
        <f t="shared" si="0"/>
        <v>585</v>
      </c>
      <c r="F13" s="38" t="s">
        <v>27</v>
      </c>
      <c r="G13" s="50" t="s">
        <v>228</v>
      </c>
    </row>
    <row r="14" spans="1:327" ht="20.149999999999999" customHeight="1" x14ac:dyDescent="0.2">
      <c r="A14" s="108">
        <v>46055</v>
      </c>
      <c r="B14" s="108">
        <v>46056</v>
      </c>
      <c r="C14" s="109" t="s">
        <v>223</v>
      </c>
      <c r="D14" s="109">
        <v>3</v>
      </c>
      <c r="E14" s="109">
        <f t="shared" si="0"/>
        <v>585</v>
      </c>
      <c r="F14" s="110" t="s">
        <v>30</v>
      </c>
      <c r="G14" s="50" t="s">
        <v>243</v>
      </c>
    </row>
    <row r="15" spans="1:327" ht="20.149999999999999" customHeight="1" x14ac:dyDescent="0.2">
      <c r="A15" s="108">
        <v>46055</v>
      </c>
      <c r="B15" s="108">
        <v>46056</v>
      </c>
      <c r="C15" s="109" t="s">
        <v>227</v>
      </c>
      <c r="D15" s="109">
        <v>1</v>
      </c>
      <c r="E15" s="109">
        <f t="shared" si="0"/>
        <v>195</v>
      </c>
      <c r="F15" s="110" t="s">
        <v>30</v>
      </c>
      <c r="G15" s="50" t="s">
        <v>243</v>
      </c>
    </row>
    <row r="16" spans="1:327" ht="20.149999999999999" customHeight="1" x14ac:dyDescent="0.2">
      <c r="A16" s="71">
        <v>46055</v>
      </c>
      <c r="B16" s="71">
        <v>46056</v>
      </c>
      <c r="C16" s="72" t="s">
        <v>222</v>
      </c>
      <c r="D16" s="72">
        <v>4</v>
      </c>
      <c r="E16" s="72">
        <f t="shared" si="0"/>
        <v>780</v>
      </c>
      <c r="F16" s="73" t="s">
        <v>31</v>
      </c>
      <c r="G16" s="50" t="s">
        <v>243</v>
      </c>
    </row>
    <row r="17" spans="1:8" ht="20.149999999999999" customHeight="1" x14ac:dyDescent="0.2">
      <c r="A17" s="71">
        <v>46055</v>
      </c>
      <c r="B17" s="71">
        <v>46056</v>
      </c>
      <c r="C17" s="72" t="s">
        <v>112</v>
      </c>
      <c r="D17" s="72">
        <v>4</v>
      </c>
      <c r="E17" s="72">
        <f t="shared" si="0"/>
        <v>780</v>
      </c>
      <c r="F17" s="73" t="s">
        <v>31</v>
      </c>
      <c r="G17" s="50" t="s">
        <v>243</v>
      </c>
    </row>
    <row r="18" spans="1:8" ht="20.149999999999999" customHeight="1" x14ac:dyDescent="0.25">
      <c r="A18" s="26">
        <v>46056</v>
      </c>
      <c r="B18" s="26">
        <v>46056</v>
      </c>
      <c r="C18" s="27" t="s">
        <v>112</v>
      </c>
      <c r="D18" s="27">
        <v>4</v>
      </c>
      <c r="E18" s="27">
        <f t="shared" si="0"/>
        <v>780</v>
      </c>
      <c r="F18" s="36" t="s">
        <v>113</v>
      </c>
      <c r="G18" s="50" t="s">
        <v>256</v>
      </c>
    </row>
    <row r="19" spans="1:8" ht="20.149999999999999" customHeight="1" x14ac:dyDescent="0.25">
      <c r="A19" s="33">
        <v>46059</v>
      </c>
      <c r="B19" s="33">
        <v>46062</v>
      </c>
      <c r="C19" s="34" t="s">
        <v>282</v>
      </c>
      <c r="D19" s="34">
        <v>12</v>
      </c>
      <c r="E19" s="34">
        <f>D19*195</f>
        <v>2340</v>
      </c>
      <c r="F19" s="39" t="s">
        <v>283</v>
      </c>
      <c r="G19" s="50" t="s">
        <v>306</v>
      </c>
    </row>
    <row r="20" spans="1:8" ht="20.149999999999999" customHeight="1" x14ac:dyDescent="0.25">
      <c r="A20" s="33">
        <v>46059</v>
      </c>
      <c r="B20" s="33">
        <v>46062</v>
      </c>
      <c r="C20" s="34" t="s">
        <v>285</v>
      </c>
      <c r="D20" s="34">
        <v>4</v>
      </c>
      <c r="E20" s="34">
        <f>D20*195</f>
        <v>780</v>
      </c>
      <c r="F20" s="39" t="s">
        <v>283</v>
      </c>
      <c r="G20" s="50" t="s">
        <v>306</v>
      </c>
    </row>
    <row r="21" spans="1:8" ht="20.149999999999999" customHeight="1" x14ac:dyDescent="0.25">
      <c r="A21" s="29">
        <v>46059</v>
      </c>
      <c r="B21" s="29">
        <v>46062</v>
      </c>
      <c r="C21" s="30" t="s">
        <v>46</v>
      </c>
      <c r="D21" s="30">
        <v>4</v>
      </c>
      <c r="E21" s="30">
        <f>D21*195</f>
        <v>780</v>
      </c>
      <c r="F21" s="37" t="s">
        <v>284</v>
      </c>
      <c r="G21" s="50" t="s">
        <v>306</v>
      </c>
    </row>
    <row r="22" spans="1:8" ht="20.149999999999999" customHeight="1" x14ac:dyDescent="0.25">
      <c r="A22" s="26">
        <v>46031</v>
      </c>
      <c r="B22" s="26">
        <v>46034</v>
      </c>
      <c r="C22" s="27" t="s">
        <v>46</v>
      </c>
      <c r="D22" s="27">
        <v>8</v>
      </c>
      <c r="E22" s="27">
        <f>D22*195</f>
        <v>1560</v>
      </c>
      <c r="F22" s="153" t="s">
        <v>618</v>
      </c>
      <c r="G22" s="50" t="s">
        <v>1728</v>
      </c>
      <c r="H22" s="190"/>
    </row>
  </sheetData>
  <autoFilter ref="A2:F21"/>
  <phoneticPr fontId="3" type="noConversion"/>
  <pageMargins left="0.25" right="0.25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4</vt:i4>
      </vt:variant>
    </vt:vector>
  </HeadingPairs>
  <TitlesOfParts>
    <vt:vector size="8" baseType="lpstr">
      <vt:lpstr>2026 NSE-1106</vt:lpstr>
      <vt:lpstr>NSE-1106A 200L</vt:lpstr>
      <vt:lpstr>NSE-1106A 200L (T02)</vt:lpstr>
      <vt:lpstr>NSE-1106A 200L退貨</vt:lpstr>
      <vt:lpstr>'2026 NSE-1106'!Print_Area</vt:lpstr>
      <vt:lpstr>'NSE-1106A 200L'!Print_Area</vt:lpstr>
      <vt:lpstr>'NSE-1106A 200L (T02)'!Print_Area</vt:lpstr>
      <vt:lpstr>'NSE-1106A 200L退貨'!Print_Area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賴妍蓁</dc:creator>
  <cp:lastModifiedBy>C732-PC</cp:lastModifiedBy>
  <cp:lastPrinted>2026-08-26T02:14:18Z</cp:lastPrinted>
  <dcterms:created xsi:type="dcterms:W3CDTF">2025-01-02T00:12:32Z</dcterms:created>
  <dcterms:modified xsi:type="dcterms:W3CDTF">2026-10-02T07:27:02Z</dcterms:modified>
</cp:coreProperties>
</file>