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000" tabRatio="600" firstSheet="0" activeTab="1" autoFilterDateGrouping="1"/>
  </bookViews>
  <sheets>
    <sheet xmlns:r="http://schemas.openxmlformats.org/officeDocument/2006/relationships" name="barcode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'barcode'!$A$1:$O$17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sz val="12"/>
      <scheme val="minor"/>
    </font>
    <font>
      <name val="新細明體"/>
      <charset val="136"/>
      <family val="1"/>
      <b val="1"/>
      <color rgb="FFFF0000"/>
      <sz val="12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20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24"/>
    </font>
    <font>
      <name val="新細明體"/>
      <charset val="136"/>
      <family val="2"/>
      <color theme="10"/>
      <sz val="12"/>
      <u val="single"/>
      <scheme val="minor"/>
    </font>
    <font>
      <name val="Free 3 of 9"/>
      <family val="3"/>
      <color theme="1"/>
      <sz val="36"/>
    </font>
    <font>
      <name val="新細明體"/>
      <charset val="136"/>
      <family val="1"/>
      <color theme="1"/>
      <sz val="20"/>
      <scheme val="major"/>
    </font>
    <font>
      <name val="Segoe UI"/>
      <family val="2"/>
      <color rgb="FF262626"/>
      <sz val="8"/>
    </font>
    <font>
      <name val="Segoe UI"/>
      <family val="2"/>
      <color rgb="FF262626"/>
      <sz val="7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1" fillId="0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1" fillId="0" borderId="0" applyAlignment="1" pivotButton="0" quotePrefix="0" xfId="1">
      <alignment vertical="center"/>
    </xf>
    <xf numFmtId="0" fontId="12" fillId="0" borderId="4" applyAlignment="1" pivotButton="0" quotePrefix="0" xfId="0">
      <alignment horizontal="center"/>
    </xf>
    <xf numFmtId="0" fontId="13" fillId="0" borderId="5" applyAlignment="1" pivotButton="0" quotePrefix="0" xfId="0">
      <alignment horizontal="center" vertical="top"/>
    </xf>
    <xf numFmtId="0" fontId="8" fillId="0" borderId="0" applyAlignment="1" applyProtection="1" pivotButton="0" quotePrefix="0" xfId="0">
      <alignment vertical="top" wrapText="1"/>
      <protection locked="0" hidden="0"/>
    </xf>
    <xf numFmtId="0" fontId="14" fillId="0" borderId="0" applyAlignment="1" pivotButton="0" quotePrefix="0" xfId="0">
      <alignment vertical="center"/>
    </xf>
    <xf numFmtId="0" fontId="5" fillId="0" borderId="0" applyAlignment="1" applyProtection="1" pivotButton="0" quotePrefix="0" xfId="0">
      <alignment vertical="center"/>
      <protection locked="0" hidden="0"/>
    </xf>
    <xf numFmtId="49" fontId="13" fillId="0" borderId="5" applyAlignment="1" pivotButton="0" quotePrefix="0" xfId="0">
      <alignment horizontal="center" vertical="top"/>
    </xf>
    <xf numFmtId="0" fontId="15" fillId="0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8" fillId="0" borderId="1" applyAlignment="1" applyProtection="1" pivotButton="0" quotePrefix="0" xfId="0">
      <alignment horizontal="center" vertical="top" wrapText="1"/>
      <protection locked="0" hidden="0"/>
    </xf>
    <xf numFmtId="0" fontId="8" fillId="0" borderId="0" applyAlignment="1" applyProtection="1" pivotButton="0" quotePrefix="0" xfId="0">
      <alignment horizontal="center" vertical="top" wrapText="1"/>
      <protection locked="0" hidden="0"/>
    </xf>
    <xf numFmtId="0" fontId="10" fillId="0" borderId="0" applyAlignment="1" pivotButton="0" quotePrefix="0" xfId="0">
      <alignment horizontal="right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0" fillId="0" borderId="5" pivotButton="0" quotePrefix="0" xfId="0"/>
    <xf numFmtId="0" fontId="0" fillId="0" borderId="1" applyProtection="1" pivotButton="0" quotePrefix="0" xfId="0">
      <protection locked="0" hidden="0"/>
    </xf>
    <xf numFmtId="49" fontId="2" fillId="0" borderId="8" applyAlignment="1" pivotButton="0" quotePrefix="0" xfId="0">
      <alignment horizontal="center" vertical="center"/>
    </xf>
    <xf numFmtId="0" fontId="2" fillId="0" borderId="8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" pivotButton="0" quotePrefix="0" xfId="0"/>
    <xf numFmtId="0" fontId="0" fillId="0" borderId="3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4</col>
      <colOff>2696625</colOff>
      <row>1</row>
      <rowOff>0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5520973" cy="88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99784</colOff>
      <row>4</row>
      <rowOff>117708</rowOff>
    </from>
    <to>
      <col>14</col>
      <colOff>2874581</colOff>
      <row>9</row>
      <rowOff>689428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333998" y="2839137"/>
          <a:ext cx="8244869" cy="410957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5</col>
      <colOff>0</colOff>
      <row>1</row>
      <rowOff>0</rowOff>
    </from>
    <ext cx="1743075" cy="16478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r.calm9.com/tw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Q19"/>
  <sheetViews>
    <sheetView zoomScale="70" zoomScaleNormal="70" zoomScaleSheetLayoutView="55" workbookViewId="0">
      <selection activeCell="E18" sqref="E18"/>
    </sheetView>
  </sheetViews>
  <sheetFormatPr baseColWidth="8" defaultRowHeight="16.2"/>
  <cols>
    <col width="6.6640625" customWidth="1" style="28" min="1" max="1"/>
    <col width="13" customWidth="1" style="28" min="2" max="2"/>
    <col width="20.109375" customWidth="1" style="28" min="3" max="3"/>
    <col hidden="1" width="16.88671875" customWidth="1" style="28" min="4" max="4"/>
    <col width="42.21875" customWidth="1" style="28" min="5" max="5"/>
    <col width="48.88671875" customWidth="1" style="28" min="15" max="15"/>
    <col width="24.44140625" customWidth="1" style="28" min="17" max="17"/>
  </cols>
  <sheetData>
    <row r="1" ht="69.90000000000001" customHeight="1" s="28">
      <c r="A1" s="14" t="inlineStr">
        <is>
          <t>TSMC chemical lorry barcode 三合一單</t>
        </is>
      </c>
    </row>
    <row r="2" ht="33.75" customHeight="1" s="28">
      <c r="B2" s="1" t="inlineStr">
        <is>
          <t>【地磅用】</t>
        </is>
      </c>
      <c r="C2" s="20" t="inlineStr">
        <is>
          <t>tsmc lorry material barcode</t>
        </is>
      </c>
      <c r="D2" s="29" t="n"/>
      <c r="E2" s="29" t="n"/>
    </row>
    <row r="3" ht="55.5" customHeight="1" s="28">
      <c r="B3" s="30" t="inlineStr">
        <is>
          <t>料號</t>
        </is>
      </c>
      <c r="C3" s="31" t="inlineStr">
        <is>
          <t>4L12C53161</t>
        </is>
      </c>
      <c r="D3" s="32">
        <f>"*"&amp;$C$3&amp;"*"</f>
        <v/>
      </c>
      <c r="E3" s="3">
        <f>$D$3</f>
        <v/>
      </c>
      <c r="F3" s="12" t="n"/>
      <c r="G3" s="33" t="n"/>
      <c r="H3" s="33" t="n"/>
      <c r="I3" s="5" t="n"/>
      <c r="J3" s="5" t="n"/>
      <c r="K3" s="5" t="n"/>
      <c r="L3" s="5" t="n"/>
      <c r="M3" s="5" t="n"/>
      <c r="N3" s="5" t="n"/>
      <c r="O3" s="5" t="n"/>
    </row>
    <row r="4" ht="55.5" customHeight="1" s="28">
      <c r="B4" s="34" t="n"/>
      <c r="C4" s="34" t="n"/>
      <c r="D4" s="34" t="n"/>
      <c r="E4" s="4">
        <f>$C$3</f>
        <v/>
      </c>
      <c r="F4" s="35" t="n"/>
      <c r="G4" s="33" t="n"/>
      <c r="H4" s="33" t="n"/>
      <c r="I4" s="5" t="n"/>
      <c r="J4" s="5" t="n"/>
      <c r="K4" s="5" t="n"/>
      <c r="L4" s="5" t="n"/>
      <c r="M4" s="5" t="n"/>
      <c r="N4" s="5" t="n"/>
      <c r="O4" s="5" t="n"/>
    </row>
    <row r="5" ht="55.5" customHeight="1" s="28">
      <c r="B5" s="30" t="inlineStr">
        <is>
          <t>槽號</t>
        </is>
      </c>
      <c r="C5" s="36" t="inlineStr">
        <is>
          <t>5E29</t>
        </is>
      </c>
      <c r="D5" s="32">
        <f>"*"&amp;$C$5&amp;"*"</f>
        <v/>
      </c>
      <c r="E5" s="3">
        <f>$D$5</f>
        <v/>
      </c>
      <c r="F5" s="12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</row>
    <row r="6" ht="55.5" customHeight="1" s="28">
      <c r="B6" s="34" t="n"/>
      <c r="C6" s="34" t="n"/>
      <c r="D6" s="34" t="n"/>
      <c r="E6" s="8">
        <f>$C$5</f>
        <v/>
      </c>
      <c r="F6" s="35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</row>
    <row r="7" ht="55.5" customHeight="1" s="28">
      <c r="B7" s="30" t="inlineStr">
        <is>
          <t>批號</t>
        </is>
      </c>
      <c r="C7" s="37" t="inlineStr">
        <is>
          <t>626814E29J1</t>
        </is>
      </c>
      <c r="D7" s="32">
        <f>"*"&amp;$C$7&amp;"*"</f>
        <v/>
      </c>
      <c r="E7" s="3">
        <f>$D$7</f>
        <v/>
      </c>
      <c r="F7" s="35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</row>
    <row r="8" ht="55.5" customHeight="1" s="28">
      <c r="B8" s="34" t="n"/>
      <c r="C8" s="38" t="n"/>
      <c r="D8" s="34" t="n"/>
      <c r="E8" s="4">
        <f>$C$7</f>
        <v/>
      </c>
      <c r="F8" s="35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</row>
    <row r="9" ht="55.5" customHeight="1" s="28">
      <c r="B9" s="30" t="inlineStr">
        <is>
          <t>供應商</t>
        </is>
      </c>
      <c r="C9" s="31" t="n">
        <v>375970680</v>
      </c>
      <c r="D9" s="32">
        <f>"*"&amp;$C$9&amp;"*"</f>
        <v/>
      </c>
      <c r="E9" s="3">
        <f>$D$9</f>
        <v/>
      </c>
      <c r="F9" s="35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</row>
    <row r="10" ht="55.5" customHeight="1" s="28">
      <c r="B10" s="34" t="n"/>
      <c r="C10" s="34" t="n"/>
      <c r="D10" s="34" t="n"/>
      <c r="E10" s="4">
        <f>$C$9</f>
        <v/>
      </c>
      <c r="F10" s="35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Q10" s="6" t="n"/>
    </row>
    <row r="11" ht="55.5" customHeight="1" s="28">
      <c r="B11" s="30" t="inlineStr">
        <is>
          <t>送達地點</t>
        </is>
      </c>
      <c r="C11" s="31" t="inlineStr">
        <is>
          <t>E1550155A</t>
        </is>
      </c>
      <c r="D11" s="32">
        <f>"*"&amp;$C$11&amp;"*"</f>
        <v/>
      </c>
      <c r="E11" s="3">
        <f>$D$11</f>
        <v/>
      </c>
      <c r="F11" s="26" t="inlineStr">
        <is>
          <t xml:space="preserve">CoA 是否符合出貨規格 (SPEC) : ____ (Y/N)
Chemical lorry/Gas trailer CoA上傳資訊裡的BatchID 是否與 出貨單相符: _____(Y/N)
填表人 (supplier) :____________ ; 確認者 (supplier) : ____________
</t>
        </is>
      </c>
    </row>
    <row r="12" ht="55.5" customHeight="1" s="28">
      <c r="B12" s="34" t="n"/>
      <c r="C12" s="34" t="n"/>
      <c r="D12" s="34" t="n"/>
      <c r="E12" s="4">
        <f>$C$11</f>
        <v/>
      </c>
      <c r="F12" s="39" t="n"/>
    </row>
    <row r="13" ht="35.25" customHeight="1" s="28">
      <c r="B13" s="1" t="inlineStr">
        <is>
          <t>【TGCM用】</t>
        </is>
      </c>
      <c r="C13" s="21" t="n"/>
      <c r="D13" s="40" t="n"/>
      <c r="E13" s="40" t="n"/>
    </row>
    <row r="14" ht="50.25" customHeight="1" s="28">
      <c r="B14" s="30" t="inlineStr">
        <is>
          <t>批號</t>
        </is>
      </c>
      <c r="C14" s="31">
        <f>RIGHT(C7,13)</f>
        <v/>
      </c>
      <c r="D14" s="32">
        <f>"*"&amp;$C$14&amp;"*"</f>
        <v/>
      </c>
      <c r="E14" s="3">
        <f>$D$14</f>
        <v/>
      </c>
      <c r="I14" s="19" t="inlineStr">
        <is>
          <t>B90-INV-01-01</t>
        </is>
      </c>
    </row>
    <row r="15" ht="28.2" customHeight="1" s="28">
      <c r="B15" s="34" t="n"/>
      <c r="C15" s="34" t="n"/>
      <c r="D15" s="34" t="n"/>
      <c r="E15" s="4">
        <f>$C$14</f>
        <v/>
      </c>
    </row>
    <row r="16">
      <c r="F16" s="0" t="inlineStr">
        <is>
          <t>||</t>
        </is>
      </c>
    </row>
    <row r="18">
      <c r="B18" s="0" t="inlineStr">
        <is>
          <t>QR code</t>
        </is>
      </c>
      <c r="E18" s="7">
        <f>F16&amp;C3&amp;F16&amp;C5&amp;F16&amp;C7&amp;F16&amp;C9&amp;F16&amp;C11</f>
        <v/>
      </c>
    </row>
    <row r="19">
      <c r="E19" s="2" t="inlineStr">
        <is>
          <t>https://qr.calm9.com/tw/</t>
        </is>
      </c>
      <c r="L19" s="9" t="n"/>
    </row>
  </sheetData>
  <mergeCells count="25">
    <mergeCell ref="I14:O14"/>
    <mergeCell ref="B3:B4"/>
    <mergeCell ref="B11:B12"/>
    <mergeCell ref="D11:D12"/>
    <mergeCell ref="B14:B15"/>
    <mergeCell ref="C2:E2"/>
    <mergeCell ref="C9:C10"/>
    <mergeCell ref="D7:D8"/>
    <mergeCell ref="D3:D4"/>
    <mergeCell ref="C11:C12"/>
    <mergeCell ref="F3:H4"/>
    <mergeCell ref="F5:O10"/>
    <mergeCell ref="B9:B10"/>
    <mergeCell ref="D9:D10"/>
    <mergeCell ref="C13:E13"/>
    <mergeCell ref="C7:C8"/>
    <mergeCell ref="B5:B6"/>
    <mergeCell ref="D14:D15"/>
    <mergeCell ref="D5:D6"/>
    <mergeCell ref="F11:O12"/>
    <mergeCell ref="C3:C4"/>
    <mergeCell ref="B7:B8"/>
    <mergeCell ref="A1:O1"/>
    <mergeCell ref="C14:C15"/>
    <mergeCell ref="C5:C6"/>
  </mergeCells>
  <hyperlinks>
    <hyperlink xmlns:r="http://schemas.openxmlformats.org/officeDocument/2006/relationships" ref="E19" r:id="rId1"/>
  </hyperlinks>
  <pageMargins left="0.03937007874015748" right="0.3149606299212598" top="0.3937007874015748" bottom="0.1968503937007874" header="0.3149606299212598" footer="0.3149606299212598"/>
  <pageSetup orientation="landscape" paperSize="9" scale="69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D7"/>
  <sheetViews>
    <sheetView tabSelected="1" workbookViewId="0">
      <selection activeCell="A1" sqref="A1:D7"/>
    </sheetView>
  </sheetViews>
  <sheetFormatPr baseColWidth="8" defaultRowHeight="16.2"/>
  <sheetData>
    <row r="1">
      <c r="A1" s="0" t="inlineStr">
        <is>
          <t>項次</t>
        </is>
      </c>
      <c r="B1" s="0" t="inlineStr">
        <is>
          <t>槽號</t>
        </is>
      </c>
      <c r="C1" s="0" t="inlineStr">
        <is>
          <t>批號</t>
        </is>
      </c>
      <c r="D1" s="0" t="inlineStr">
        <is>
          <t>地點</t>
        </is>
      </c>
    </row>
    <row r="2">
      <c r="A2" s="0" t="n">
        <v>1</v>
      </c>
      <c r="B2" s="0" t="inlineStr">
        <is>
          <t>E29</t>
        </is>
      </c>
      <c r="C2" s="0" t="inlineStr">
        <is>
          <t>26814E29J1</t>
        </is>
      </c>
      <c r="D2" s="0" t="inlineStr">
        <is>
          <t>15P5</t>
        </is>
      </c>
    </row>
    <row r="3">
      <c r="A3" s="0" t="n">
        <v>2</v>
      </c>
      <c r="B3" s="0" t="inlineStr">
        <is>
          <t>E44</t>
        </is>
      </c>
      <c r="C3" s="0" t="inlineStr">
        <is>
          <t>26814E44J1</t>
        </is>
      </c>
      <c r="D3" s="0" t="inlineStr">
        <is>
          <t>15P5</t>
        </is>
      </c>
    </row>
    <row r="4">
      <c r="A4" s="0" t="n">
        <v>3</v>
      </c>
      <c r="B4" s="0" t="inlineStr">
        <is>
          <t>E318</t>
        </is>
      </c>
      <c r="C4" s="0" t="inlineStr">
        <is>
          <t>26814E3181</t>
        </is>
      </c>
      <c r="D4" s="0" t="inlineStr">
        <is>
          <t>15P6</t>
        </is>
      </c>
    </row>
    <row r="5">
      <c r="A5" s="0" t="n">
        <v>4</v>
      </c>
      <c r="B5" s="0" t="inlineStr">
        <is>
          <t>E319</t>
        </is>
      </c>
      <c r="C5" s="0" t="inlineStr">
        <is>
          <t>26813E3191</t>
        </is>
      </c>
      <c r="D5" s="0" t="inlineStr">
        <is>
          <t>15P6</t>
        </is>
      </c>
    </row>
    <row r="6">
      <c r="A6" s="0" t="n">
        <v>5</v>
      </c>
      <c r="B6" s="0" t="inlineStr">
        <is>
          <t>E315</t>
        </is>
      </c>
      <c r="C6" s="0" t="inlineStr">
        <is>
          <t>26813E3151</t>
        </is>
      </c>
      <c r="D6" s="0" t="inlineStr">
        <is>
          <t>15P5</t>
        </is>
      </c>
    </row>
    <row r="7">
      <c r="A7" s="0" t="n">
        <v>6</v>
      </c>
      <c r="B7" s="0" t="inlineStr">
        <is>
          <t>E320</t>
        </is>
      </c>
      <c r="C7" s="0" t="inlineStr">
        <is>
          <t>26814E3201</t>
        </is>
      </c>
      <c r="D7" s="0" t="inlineStr">
        <is>
          <t>18P1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工作表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2015-08-10T09:01:44Z</dcterms:created>
  <dcterms:modified xmlns:dcterms="http://purl.org/dc/terms/" xmlns:xsi="http://www.w3.org/2001/XMLSchema-instance" xsi:type="dcterms:W3CDTF">2026-08-15T03:58:21Z</dcterms:modified>
  <cp:lastModifiedBy>C606</cp:lastModifiedBy>
  <cp:lastPrinted>2025-09-01T03:08:01Z</cp:lastPrinted>
</cp:coreProperties>
</file>