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OOGLE ANGET\"/>
    </mc:Choice>
  </mc:AlternateContent>
  <bookViews>
    <workbookView xWindow="0" yWindow="0" windowWidth="22992" windowHeight="8316"/>
  </bookViews>
  <sheets>
    <sheet name="外籍移工職務需求評估表" sheetId="1" r:id="rId1"/>
    <sheet name="11項作業細項適配矩陣" sheetId="2" r:id="rId2"/>
    <sheet name="工時統計與人力釋放效益" sheetId="3" r:id="rId3"/>
  </sheets>
  <calcPr calcId="162913"/>
</workbook>
</file>

<file path=xl/calcChain.xml><?xml version="1.0" encoding="utf-8"?>
<calcChain xmlns="http://schemas.openxmlformats.org/spreadsheetml/2006/main">
  <c r="F13" i="3" l="1"/>
  <c r="E13" i="3"/>
  <c r="G13" i="3" s="1"/>
  <c r="D13" i="3"/>
  <c r="G12" i="3"/>
  <c r="G11" i="3"/>
  <c r="G10" i="3"/>
  <c r="G9" i="3"/>
  <c r="G8" i="3"/>
  <c r="G7" i="3"/>
  <c r="G6" i="3"/>
  <c r="G5" i="3"/>
  <c r="G4" i="3"/>
  <c r="G3" i="3"/>
  <c r="G2" i="3"/>
  <c r="F6" i="1"/>
</calcChain>
</file>

<file path=xl/sharedStrings.xml><?xml version="1.0" encoding="utf-8"?>
<sst xmlns="http://schemas.openxmlformats.org/spreadsheetml/2006/main" count="162" uniqueCount="129">
  <si>
    <t>項次</t>
  </si>
  <si>
    <t>部門 / 課別</t>
  </si>
  <si>
    <t>評估結果</t>
  </si>
  <si>
    <t>職務名稱</t>
  </si>
  <si>
    <t>工作內容</t>
  </si>
  <si>
    <t>預估需求人數</t>
  </si>
  <si>
    <t>是否需具備專業技能 / 證照</t>
  </si>
  <si>
    <t>其他建議或配套需求</t>
  </si>
  <si>
    <t>包材搬運與出貨包裝作業員</t>
  </si>
  <si>
    <t>1. 條碼對刷防呆機制：依條碼槍聲光判定（短音綠燈OK / 長鳴紅燈通報異常），免中文品名閱讀門檻，無須貼出貨標籤。
2. 現場圖卡管理：製作多語言/圖卡標準（外觀良品/不良品圖例對照、纏膜至少 4 圈規範卡）。
3. 權限管控：嚴禁外勞登入 ERP 系統扣帳與司機單據簽收（100% 由本國籍資材把關）。</t>
  </si>
  <si>
    <t>資材課
(倉儲理貨組)</t>
  </si>
  <si>
    <t>產品出貨備貨與理貨作業員</t>
  </si>
  <si>
    <t>1. 儲位代碼化與條碼化：倉庫儲位全面落實英數字代碼（如 A01-02-03）與條碼標示，外勞看代碼即可精確定位移料，無中文讀寫門檻。
2. 條碼對刷物理防呆：備貨對料強制採用條碼槍，系統比對正確（綠燈）始得移入備貨區；若紅燈或規格不符，嚴禁放行並即時通報本籍領班。
3. 本國籍最終覆核：出貨品項清點與司機裝車交接，100% 由本國籍理貨人員作最後核對簽章，杜絕發錯貨客訴風險。</t>
  </si>
  <si>
    <t>槽車洩料現場輔助作業員</t>
  </si>
  <si>
    <t>1. 槽車進廠靠位引導定位、前後擺放安全輪擋、拉設防護警戒線。
2. 確實夾持靜電接地夾、鋪設集液盒與防溢吸液棉。
3. 協助搬抬重型卸料軟管、安全插銷與法蘭定位。
4. 卸料完畢後拆管、殘液收集、工具管具 5S 清水沖洗與定位歸位。
5. 在指定安全動線上監看卸料過程有無異常噴濺或滴漏。</t>
  </si>
  <si>
    <t>否
(需完成化學品危害通識、靜電防護與緊急應變疏散演練)</t>
  </si>
  <si>
    <t>1. 嚴格實行「雙人指差確認制」：外勞負責輔助搬抬與就位，必須由本國籍主管/領班進行指差確認後方可通報開始作業。
2. 入料防呆鐵律：嚴禁外勞獨立確認入料槽號（如 TK-624）及親自開閉閥門泵浦，槽體閥門落實上鎖掛牌 (LOTO)，外勞不得持有鑰匙。
3. 嚴禁代取樣分析、品檢合格判定與數值判讀。</t>
  </si>
  <si>
    <t>資材課
(帳務出貨組)</t>
  </si>
  <si>
    <t>不建議進用
(維持本國籍 0%)</t>
  </si>
  <si>
    <t>資材系統帳務與出貨核銷管理員</t>
  </si>
  <si>
    <t>1. ERP 系統出貨扣帳、進出庫帳務異動與系統登錄過帳操作。
2. 司機提單核對、出貨單據簽章核銷與廠區放行管理。
3. 條碼對刷異常排查、品檢合格單審查與不良品退貨單開立。
4. 跨部門出貨排程聯絡、庫存數據盤點核對。</t>
  </si>
  <si>
    <t>是
(需具備 ERP 系統操作、中文讀寫、電腦文書與化學品帳務專業)</t>
  </si>
  <si>
    <t>1. 牽涉公司核心 ERP 營運系統與出貨帳務，權限專人專責控管，嚴禁代登代刷。
2. 需高頻率與司機、業務、生管口語及書面溝通，維持 100% 由本國籍人員專職負責。</t>
  </si>
  <si>
    <t>合計預估需求外籍移工人數（適合 3 項職務共計）</t>
  </si>
  <si>
    <t>—</t>
  </si>
  <si>
    <t>作業大類</t>
  </si>
  <si>
    <t>具體作業項目</t>
  </si>
  <si>
    <t>適配等級</t>
  </si>
  <si>
    <t>外勞職責分工</t>
  </si>
  <si>
    <t>本國籍資材把關職責</t>
  </si>
  <si>
    <t>SOP 防呆與現場管理要求</t>
  </si>
  <si>
    <t>出貨包裝</t>
  </si>
  <si>
    <t>空桶/鋼桶/IBC 搬運與木棧板堆疊</t>
  </si>
  <si>
    <t>🟢 可獨立 (95%)</t>
  </si>
  <si>
    <t>實體搬運、排列、木棧板底座定位</t>
  </si>
  <si>
    <t>巡檢外觀完整度與庫存抽核</t>
  </si>
  <si>
    <t>地面劃設棧板角位線、堆疊限高標示線</t>
  </si>
  <si>
    <t>打包帶捆紮、PE 伸縮膜纏繞固棧</t>
  </si>
  <si>
    <t>🟢 可獨立 (90%)</t>
  </si>
  <si>
    <t>操作半自動/手動打包機與拉膜包裹</t>
  </si>
  <si>
    <t>抽驗拉力與固定牢固度</t>
  </si>
  <si>
    <t>目視標準卡：規定至少纏繞 4 圈以上</t>
  </si>
  <si>
    <t>出貨前外觀檢查 (刮痕/凹陷/破孔)</t>
  </si>
  <si>
    <t>🟡 需指導 (75%)</t>
  </si>
  <si>
    <t>初步篩檢嚴重凹陷、髒污與破損</t>
  </si>
  <si>
    <t>不良品複核判定、開立退貨/報廢單</t>
  </si>
  <si>
    <t>製作中越對照良品/不良品標準圖卡</t>
  </si>
  <si>
    <t>貼繳庫單、核對標籤批號與條碼對刷</t>
  </si>
  <si>
    <t>🟡 需指導 (65%)</t>
  </si>
  <si>
    <t>持條碼槍對刷桶身與棧板條碼、張貼繳庫單</t>
  </si>
  <si>
    <t>複核對刷結果、異常處置與簽核繳庫單</t>
  </si>
  <si>
    <t>條碼槍聲光防呆（嗶一聲綠燈OK/長鳴紅燈異常）；免貼出貨標籤</t>
  </si>
  <si>
    <t>系統帳務過帳 (ERP扣帳/單據簽收)</t>
  </si>
  <si>
    <t>🔴 嚴禁 (0%)</t>
  </si>
  <si>
    <t>不得接觸系統操作</t>
  </si>
  <si>
    <t>登入 ERP 扣帳、核對司機提單並簽收放行</t>
  </si>
  <si>
    <t>系統帳號專人控管，嚴禁外籍人員代登代刷</t>
  </si>
  <si>
    <t>倉儲理貨</t>
  </si>
  <si>
    <t>出貨備貨提取與指定儲位尋料移運</t>
  </si>
  <si>
    <t>🟢 可獨立 (85%)</t>
  </si>
  <si>
    <t>依備貨代碼至指定儲位搬移產品至備貨區</t>
  </si>
  <si>
    <t>核發備貨清單、指定儲位與批號</t>
  </si>
  <si>
    <t>儲位全面代碼化與條碼化，依代碼找貨免中文字障礙</t>
  </si>
  <si>
    <t>產品出貨料號、批號條碼對刷核對</t>
  </si>
  <si>
    <t>🟡 需指導 (70%)</t>
  </si>
  <si>
    <t>持條碼槍掃描出貨產品料號與批號條碼</t>
  </si>
  <si>
    <t>條碼槍異常警示排除、複核料物相符性</t>
  </si>
  <si>
    <t>條碼槍短嗶綠燈放行，長鳴紅燈通報本籍領班排查</t>
  </si>
  <si>
    <t>槽車洩料</t>
  </si>
  <si>
    <t>洩料前車輛引導、放置前後輪擋、拉警戒線</t>
  </si>
  <si>
    <t>放置前後安全輪擋、拉起防護警戒繩</t>
  </si>
  <si>
    <t>確認車輛完全熄火並拉上手煞車</t>
  </si>
  <si>
    <t>地面輪擋專屬定位擺放點噴漆標示</t>
  </si>
  <si>
    <t>靜電接地夾夾持、集液盤與吸液棉鋪設</t>
  </si>
  <si>
    <t>夾持靜電接地夾、鋪設集液盒與吸液棉</t>
  </si>
  <si>
    <t>確認靜電監控儀綠燈導通並指差確認</t>
  </si>
  <si>
    <t>靜電儀聲光蜂鳴警示（綠燈通行、紅燈警報）</t>
  </si>
  <si>
    <t>卸料軟管連接、安全插銷與法蘭鎖緊</t>
  </si>
  <si>
    <t>🟡 需覆核 (60%)</t>
  </si>
  <si>
    <t>協助搬抬重型軟管、鎖定安全插銷</t>
  </si>
  <si>
    <t>接管前核對墊片、持扳手確認並指差確認</t>
  </si>
  <si>
    <t>雙人指差確認：本籍確認後始得通報開閥</t>
  </si>
  <si>
    <t>槽體入料閥開關、泵浦啟動操作</t>
  </si>
  <si>
    <t>🔴 嚴禁獨立 (35%)</t>
  </si>
  <si>
    <t>在指定安全動線上監看有無滴漏滲漏</t>
  </si>
  <si>
    <t>核對入料槽號 (如TK-624) 親自開閥啟閉泵浦</t>
  </si>
  <si>
    <t>閥門上鎖掛牌 (LOTO)，外勞無開鎖鑰匙</t>
  </si>
  <si>
    <t>取樣分析、品檢合格判定、比重確認</t>
  </si>
  <si>
    <t>不得代取樣或判讀檢驗數據</t>
  </si>
  <si>
    <t>執行樣品抽取、送驗、比重水阻量測與簽章</t>
  </si>
  <si>
    <t>入料前品檢合格單未簽名嚴禁進料</t>
  </si>
  <si>
    <t>拆管、殘液回抽與管具 5S 清水沖洗</t>
  </si>
  <si>
    <t>🟢 可獨立 (80%)</t>
  </si>
  <si>
    <t>殘液收集、管具歸位、清水沖洗與地坪清潔</t>
  </si>
  <si>
    <t>檢查防滴漏盲蓋是否旋緊</t>
  </si>
  <si>
    <t>洩料管架專用吊掛槽、殘液專用收集桶</t>
  </si>
  <si>
    <t>典型作業項目</t>
  </si>
  <si>
    <t>作業頻率 / 批次</t>
  </si>
  <si>
    <t>每日總工時 (分)</t>
  </si>
  <si>
    <t>外勞分擔工時 (分)</t>
  </si>
  <si>
    <t>本籍資材工時 (分)</t>
  </si>
  <si>
    <t>外勞工時佔比</t>
  </si>
  <si>
    <t>空桶搬運、棧板堆疊排列</t>
  </si>
  <si>
    <t>每日約 8 批</t>
  </si>
  <si>
    <t>打包機打帶、PE膜裹膜固定</t>
  </si>
  <si>
    <t>外觀目視檢查與繳庫單張貼</t>
  </si>
  <si>
    <t>出貨備貨提取與儲位移料集結</t>
  </si>
  <si>
    <t>產品料號批號條碼對刷與核對</t>
  </si>
  <si>
    <t>出貨管理</t>
  </si>
  <si>
    <t>司機提單簽核與 ERP 系統扣帳</t>
  </si>
  <si>
    <t>車輛引導、前後輪擋、靜電夾</t>
  </si>
  <si>
    <t>每日約 3 車次</t>
  </si>
  <si>
    <t>入料槽號確認與品管取樣判定</t>
  </si>
  <si>
    <t>卸料重管連接與安全插銷鎖定</t>
  </si>
  <si>
    <t>洩料過程巡檢與防溢監控</t>
  </si>
  <si>
    <t>拆管、殘液回抽與管具 5S 清潔</t>
  </si>
  <si>
    <t>合計每日工時總量</t>
  </si>
  <si>
    <t>每日資材現場作業總工時換算</t>
  </si>
  <si>
    <t>每日典型工量</t>
  </si>
  <si>
    <t>是
(具堆高機操作證照者尤佳)</t>
    <phoneticPr fontId="9" type="noConversion"/>
  </si>
  <si>
    <t>是
(需熟悉倉位英數字代碼；具堆高機操作證照者尤佳)</t>
    <phoneticPr fontId="9" type="noConversion"/>
  </si>
  <si>
    <t>總計建議引進 7 名移工（包裝 2 人、出貨備貨 2 人、槽車洩料 3 人），本籍資材專職系統帳務與進料品檢</t>
    <phoneticPr fontId="9" type="noConversion"/>
  </si>
  <si>
    <t>資材課
(槽車進出貨)</t>
    <phoneticPr fontId="9" type="noConversion"/>
  </si>
  <si>
    <t>資材課
(出貨包裝組)</t>
    <phoneticPr fontId="9" type="noConversion"/>
  </si>
  <si>
    <t>1. 依據出貨備貨單/撿料清單，至倉庫指定儲位進行產品出貨備貨提取。
2. 搬移產品至備貨集結區，依客戶別、訂單批號進行排列分流。
3. 協助核對出貨產品之包裝規格、外觀標籤批號與數量是否相符。
4. 使用條碼掃描槍進行出貨備貨對刷比對，確認出庫料號與批號正確無誤。
5. 配合堆高機作業，將備齊之產品搬運至出貨月台待裝車區。</t>
    <phoneticPr fontId="9" type="noConversion"/>
  </si>
  <si>
    <t>1. 空桶、鋼桶、IBC 桶等包材搬運、分區與木棧板排列堆疊定位。
2. 半自動/手動打包機打帶固定、PE 伸縮膜纏繞固棧包裝作業。
3. 出貨前外觀初步檢查（凹陷、髒污、刮痕等外觀初篩）。
4. 依指示張貼繳庫單，使用條碼槍對刷桶身與棧板條碼進行核對。
5. 出貨理貨區現場 5S 環境整理與環境整潔維護。</t>
    <phoneticPr fontId="9" type="noConversion"/>
  </si>
  <si>
    <t xml:space="preserve">建議進用
</t>
    <phoneticPr fontId="9" type="noConversion"/>
  </si>
  <si>
    <t>建議進用
(雙人協同 )</t>
    <phoneticPr fontId="9" type="noConversion"/>
  </si>
  <si>
    <t>條件式進用
(需指導對刷)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</si>
</sst>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10" x14ac:knownFonts="1">
    <font>
      <sz val="11"/>
      <color theme="1"/>
      <name val="新細明體"/>
      <family val="2"/>
      <scheme val="minor"/>
    </font>
    <font>
      <b/>
      <sz val="10"/>
      <color rgb="FF0F172A"/>
      <name val="微軟正黑體"/>
      <family val="2"/>
      <charset val="136"/>
    </font>
    <font>
      <b/>
      <sz val="9"/>
      <color rgb="FF166534"/>
      <name val="微軟正黑體"/>
      <family val="2"/>
      <charset val="136"/>
    </font>
    <font>
      <sz val="9"/>
      <color rgb="FF334155"/>
      <name val="微軟正黑體"/>
      <family val="2"/>
      <charset val="136"/>
    </font>
    <font>
      <b/>
      <sz val="9"/>
      <color rgb="FF854D0E"/>
      <name val="微軟正黑體"/>
      <family val="2"/>
      <charset val="136"/>
    </font>
    <font>
      <b/>
      <sz val="9"/>
      <color rgb="FF991B1B"/>
      <name val="微軟正黑體"/>
      <family val="2"/>
      <charset val="136"/>
    </font>
    <font>
      <b/>
      <sz val="10"/>
      <color rgb="FF1E3A8A"/>
      <name val="微軟正黑體"/>
      <family val="2"/>
      <charset val="136"/>
    </font>
    <font>
      <b/>
      <sz val="11"/>
      <color rgb="FF1E3A8A"/>
      <name val="微軟正黑體"/>
      <family val="2"/>
      <charset val="136"/>
    </font>
    <font>
      <b/>
      <sz val="9"/>
      <color rgb="FF1E3A8A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  <fill>
      <patternFill patternType="solid">
        <fgColor rgb="FFF8FAFC"/>
        <bgColor rgb="FFF8FAFC"/>
      </patternFill>
    </fill>
    <fill>
      <patternFill patternType="solid">
        <fgColor rgb="FFFEE2E2"/>
        <bgColor rgb="FFFEE2E2"/>
      </patternFill>
    </fill>
    <fill>
      <patternFill patternType="solid">
        <fgColor rgb="FFE0F2FE"/>
        <bgColor rgb="FFE0F2FE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47556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3A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176" fontId="3" fillId="5" borderId="2" xfId="0" applyNumberFormat="1" applyFont="1" applyFill="1" applyBorder="1" applyAlignment="1">
      <alignment horizontal="righ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right" vertical="center" wrapText="1"/>
    </xf>
    <xf numFmtId="176" fontId="6" fillId="7" borderId="3" xfId="0" applyNumberFormat="1" applyFont="1" applyFill="1" applyBorder="1" applyAlignment="1">
      <alignment horizontal="right" vertical="center" wrapText="1"/>
    </xf>
    <xf numFmtId="0" fontId="6" fillId="7" borderId="3" xfId="0" applyFont="1" applyFill="1" applyBorder="1" applyAlignment="1">
      <alignment horizontal="right" vertical="center"/>
    </xf>
    <xf numFmtId="0" fontId="0" fillId="0" borderId="3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topLeftCell="A2" workbookViewId="0">
      <selection activeCell="H4" sqref="H4"/>
    </sheetView>
  </sheetViews>
  <sheetFormatPr defaultRowHeight="15" x14ac:dyDescent="0.3"/>
  <cols>
    <col min="1" max="1" width="8" customWidth="1"/>
    <col min="2" max="2" width="15" customWidth="1"/>
    <col min="3" max="3" width="18" customWidth="1"/>
    <col min="4" max="4" width="24" customWidth="1"/>
    <col min="5" max="5" width="59.25" bestFit="1" customWidth="1"/>
    <col min="6" max="6" width="14" customWidth="1"/>
    <col min="7" max="7" width="26.875" customWidth="1"/>
    <col min="8" max="8" width="54.875" bestFit="1" customWidth="1"/>
  </cols>
  <sheetData>
    <row r="1" spans="1: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3.95" customHeight="1" x14ac:dyDescent="0.3">
      <c r="A2" s="2">
        <v>1</v>
      </c>
      <c r="B2" s="2" t="s">
        <v>123</v>
      </c>
      <c r="C2" s="3" t="s">
        <v>126</v>
      </c>
      <c r="D2" s="4" t="s">
        <v>8</v>
      </c>
      <c r="E2" s="4" t="s">
        <v>125</v>
      </c>
      <c r="F2" s="2">
        <v>2</v>
      </c>
      <c r="G2" s="2" t="s">
        <v>119</v>
      </c>
      <c r="H2" s="4" t="s">
        <v>9</v>
      </c>
    </row>
    <row r="3" spans="1:8" ht="103.95" customHeight="1" x14ac:dyDescent="0.3">
      <c r="A3" s="2">
        <v>2</v>
      </c>
      <c r="B3" s="2" t="s">
        <v>122</v>
      </c>
      <c r="C3" s="6" t="s">
        <v>127</v>
      </c>
      <c r="D3" s="4" t="s">
        <v>13</v>
      </c>
      <c r="E3" s="4" t="s">
        <v>14</v>
      </c>
      <c r="F3" s="2">
        <v>3</v>
      </c>
      <c r="G3" s="2" t="s">
        <v>15</v>
      </c>
      <c r="H3" s="4" t="s">
        <v>16</v>
      </c>
    </row>
    <row r="4" spans="1:8" ht="103.95" customHeight="1" x14ac:dyDescent="0.3">
      <c r="A4" s="2">
        <v>3</v>
      </c>
      <c r="B4" s="5" t="s">
        <v>10</v>
      </c>
      <c r="C4" s="6" t="s">
        <v>128</v>
      </c>
      <c r="D4" s="7" t="s">
        <v>11</v>
      </c>
      <c r="E4" s="7" t="s">
        <v>124</v>
      </c>
      <c r="F4" s="5">
        <v>2</v>
      </c>
      <c r="G4" s="5" t="s">
        <v>120</v>
      </c>
      <c r="H4" s="7" t="s">
        <v>12</v>
      </c>
    </row>
    <row r="5" spans="1:8" ht="85.95" customHeight="1" x14ac:dyDescent="0.3">
      <c r="A5" s="2">
        <v>4</v>
      </c>
      <c r="B5" s="5" t="s">
        <v>17</v>
      </c>
      <c r="C5" s="8" t="s">
        <v>18</v>
      </c>
      <c r="D5" s="7" t="s">
        <v>19</v>
      </c>
      <c r="E5" s="7" t="s">
        <v>20</v>
      </c>
      <c r="F5" s="5">
        <v>0</v>
      </c>
      <c r="G5" s="5" t="s">
        <v>21</v>
      </c>
      <c r="H5" s="7" t="s">
        <v>22</v>
      </c>
    </row>
    <row r="6" spans="1:8" ht="30" customHeight="1" x14ac:dyDescent="0.3">
      <c r="A6" s="20" t="s">
        <v>23</v>
      </c>
      <c r="B6" s="21"/>
      <c r="C6" s="21"/>
      <c r="D6" s="21"/>
      <c r="E6" s="21"/>
      <c r="F6" s="9">
        <f>SUM(F2:F5)</f>
        <v>7</v>
      </c>
      <c r="G6" s="10" t="s">
        <v>24</v>
      </c>
      <c r="H6" s="11" t="s">
        <v>121</v>
      </c>
    </row>
  </sheetData>
  <mergeCells count="1">
    <mergeCell ref="A6:E6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x14ac:dyDescent="0.3"/>
  <cols>
    <col min="1" max="1" width="14" customWidth="1"/>
    <col min="2" max="2" width="34" customWidth="1"/>
    <col min="3" max="3" width="18" customWidth="1"/>
    <col min="4" max="5" width="36" customWidth="1"/>
    <col min="6" max="6" width="40" customWidth="1"/>
  </cols>
  <sheetData>
    <row r="1" spans="1:6" ht="25.95" customHeight="1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ht="28.05" customHeight="1" x14ac:dyDescent="0.3">
      <c r="A2" s="2" t="s">
        <v>31</v>
      </c>
      <c r="B2" s="4" t="s">
        <v>32</v>
      </c>
      <c r="C2" s="3" t="s">
        <v>33</v>
      </c>
      <c r="D2" s="4" t="s">
        <v>34</v>
      </c>
      <c r="E2" s="4" t="s">
        <v>35</v>
      </c>
      <c r="F2" s="4" t="s">
        <v>36</v>
      </c>
    </row>
    <row r="3" spans="1:6" ht="28.05" customHeight="1" x14ac:dyDescent="0.3">
      <c r="A3" s="5" t="s">
        <v>31</v>
      </c>
      <c r="B3" s="7" t="s">
        <v>37</v>
      </c>
      <c r="C3" s="3" t="s">
        <v>38</v>
      </c>
      <c r="D3" s="7" t="s">
        <v>39</v>
      </c>
      <c r="E3" s="7" t="s">
        <v>40</v>
      </c>
      <c r="F3" s="7" t="s">
        <v>41</v>
      </c>
    </row>
    <row r="4" spans="1:6" ht="28.05" customHeight="1" x14ac:dyDescent="0.3">
      <c r="A4" s="2" t="s">
        <v>31</v>
      </c>
      <c r="B4" s="4" t="s">
        <v>42</v>
      </c>
      <c r="C4" s="6" t="s">
        <v>43</v>
      </c>
      <c r="D4" s="4" t="s">
        <v>44</v>
      </c>
      <c r="E4" s="4" t="s">
        <v>45</v>
      </c>
      <c r="F4" s="4" t="s">
        <v>46</v>
      </c>
    </row>
    <row r="5" spans="1:6" ht="28.05" customHeight="1" x14ac:dyDescent="0.3">
      <c r="A5" s="5" t="s">
        <v>31</v>
      </c>
      <c r="B5" s="7" t="s">
        <v>47</v>
      </c>
      <c r="C5" s="6" t="s">
        <v>48</v>
      </c>
      <c r="D5" s="7" t="s">
        <v>49</v>
      </c>
      <c r="E5" s="7" t="s">
        <v>50</v>
      </c>
      <c r="F5" s="7" t="s">
        <v>51</v>
      </c>
    </row>
    <row r="6" spans="1:6" ht="28.05" customHeight="1" x14ac:dyDescent="0.3">
      <c r="A6" s="2" t="s">
        <v>31</v>
      </c>
      <c r="B6" s="4" t="s">
        <v>52</v>
      </c>
      <c r="C6" s="8" t="s">
        <v>53</v>
      </c>
      <c r="D6" s="4" t="s">
        <v>54</v>
      </c>
      <c r="E6" s="4" t="s">
        <v>55</v>
      </c>
      <c r="F6" s="12" t="s">
        <v>56</v>
      </c>
    </row>
    <row r="7" spans="1:6" ht="28.05" customHeight="1" x14ac:dyDescent="0.3">
      <c r="A7" s="5" t="s">
        <v>57</v>
      </c>
      <c r="B7" s="7" t="s">
        <v>58</v>
      </c>
      <c r="C7" s="3" t="s">
        <v>59</v>
      </c>
      <c r="D7" s="7" t="s">
        <v>60</v>
      </c>
      <c r="E7" s="7" t="s">
        <v>61</v>
      </c>
      <c r="F7" s="7" t="s">
        <v>62</v>
      </c>
    </row>
    <row r="8" spans="1:6" ht="28.05" customHeight="1" x14ac:dyDescent="0.3">
      <c r="A8" s="2" t="s">
        <v>57</v>
      </c>
      <c r="B8" s="4" t="s">
        <v>63</v>
      </c>
      <c r="C8" s="6" t="s">
        <v>64</v>
      </c>
      <c r="D8" s="4" t="s">
        <v>65</v>
      </c>
      <c r="E8" s="4" t="s">
        <v>66</v>
      </c>
      <c r="F8" s="4" t="s">
        <v>67</v>
      </c>
    </row>
    <row r="9" spans="1:6" ht="28.05" customHeight="1" x14ac:dyDescent="0.3">
      <c r="A9" s="5" t="s">
        <v>68</v>
      </c>
      <c r="B9" s="7" t="s">
        <v>69</v>
      </c>
      <c r="C9" s="3" t="s">
        <v>38</v>
      </c>
      <c r="D9" s="7" t="s">
        <v>70</v>
      </c>
      <c r="E9" s="7" t="s">
        <v>71</v>
      </c>
      <c r="F9" s="7" t="s">
        <v>72</v>
      </c>
    </row>
    <row r="10" spans="1:6" ht="28.05" customHeight="1" x14ac:dyDescent="0.3">
      <c r="A10" s="2" t="s">
        <v>68</v>
      </c>
      <c r="B10" s="4" t="s">
        <v>73</v>
      </c>
      <c r="C10" s="3" t="s">
        <v>59</v>
      </c>
      <c r="D10" s="4" t="s">
        <v>74</v>
      </c>
      <c r="E10" s="4" t="s">
        <v>75</v>
      </c>
      <c r="F10" s="4" t="s">
        <v>76</v>
      </c>
    </row>
    <row r="11" spans="1:6" ht="28.05" customHeight="1" x14ac:dyDescent="0.3">
      <c r="A11" s="5" t="s">
        <v>68</v>
      </c>
      <c r="B11" s="7" t="s">
        <v>77</v>
      </c>
      <c r="C11" s="6" t="s">
        <v>78</v>
      </c>
      <c r="D11" s="7" t="s">
        <v>79</v>
      </c>
      <c r="E11" s="7" t="s">
        <v>80</v>
      </c>
      <c r="F11" s="7" t="s">
        <v>81</v>
      </c>
    </row>
    <row r="12" spans="1:6" ht="28.05" customHeight="1" x14ac:dyDescent="0.3">
      <c r="A12" s="2" t="s">
        <v>68</v>
      </c>
      <c r="B12" s="4" t="s">
        <v>82</v>
      </c>
      <c r="C12" s="8" t="s">
        <v>83</v>
      </c>
      <c r="D12" s="4" t="s">
        <v>84</v>
      </c>
      <c r="E12" s="4" t="s">
        <v>85</v>
      </c>
      <c r="F12" s="4" t="s">
        <v>86</v>
      </c>
    </row>
    <row r="13" spans="1:6" ht="28.05" customHeight="1" x14ac:dyDescent="0.3">
      <c r="A13" s="5" t="s">
        <v>68</v>
      </c>
      <c r="B13" s="7" t="s">
        <v>87</v>
      </c>
      <c r="C13" s="8" t="s">
        <v>53</v>
      </c>
      <c r="D13" s="7" t="s">
        <v>88</v>
      </c>
      <c r="E13" s="7" t="s">
        <v>89</v>
      </c>
      <c r="F13" s="12" t="s">
        <v>90</v>
      </c>
    </row>
    <row r="14" spans="1:6" ht="28.05" customHeight="1" x14ac:dyDescent="0.3">
      <c r="A14" s="2" t="s">
        <v>68</v>
      </c>
      <c r="B14" s="4" t="s">
        <v>91</v>
      </c>
      <c r="C14" s="3" t="s">
        <v>92</v>
      </c>
      <c r="D14" s="4" t="s">
        <v>93</v>
      </c>
      <c r="E14" s="4" t="s">
        <v>94</v>
      </c>
      <c r="F14" s="4" t="s">
        <v>95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x14ac:dyDescent="0.3"/>
  <cols>
    <col min="1" max="1" width="14" customWidth="1"/>
    <col min="2" max="2" width="36" customWidth="1"/>
    <col min="3" max="6" width="16" customWidth="1"/>
    <col min="7" max="7" width="15" customWidth="1"/>
  </cols>
  <sheetData>
    <row r="1" spans="1:7" ht="25.95" customHeight="1" x14ac:dyDescent="0.3">
      <c r="A1" s="1" t="s">
        <v>25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</row>
    <row r="2" spans="1:7" ht="24" customHeight="1" x14ac:dyDescent="0.3">
      <c r="A2" s="2" t="s">
        <v>31</v>
      </c>
      <c r="B2" s="4" t="s">
        <v>102</v>
      </c>
      <c r="C2" s="2" t="s">
        <v>103</v>
      </c>
      <c r="D2" s="13">
        <v>140</v>
      </c>
      <c r="E2" s="13">
        <v>130</v>
      </c>
      <c r="F2" s="13">
        <v>10</v>
      </c>
      <c r="G2" s="14">
        <f t="shared" ref="G2:G13" si="0">E2/D2</f>
        <v>0.9285714285714286</v>
      </c>
    </row>
    <row r="3" spans="1:7" ht="24" customHeight="1" x14ac:dyDescent="0.3">
      <c r="A3" s="5" t="s">
        <v>31</v>
      </c>
      <c r="B3" s="7" t="s">
        <v>104</v>
      </c>
      <c r="C3" s="5" t="s">
        <v>103</v>
      </c>
      <c r="D3" s="15">
        <v>120</v>
      </c>
      <c r="E3" s="15">
        <v>110</v>
      </c>
      <c r="F3" s="15">
        <v>10</v>
      </c>
      <c r="G3" s="16">
        <f t="shared" si="0"/>
        <v>0.91666666666666663</v>
      </c>
    </row>
    <row r="4" spans="1:7" ht="24" customHeight="1" x14ac:dyDescent="0.3">
      <c r="A4" s="2" t="s">
        <v>31</v>
      </c>
      <c r="B4" s="4" t="s">
        <v>105</v>
      </c>
      <c r="C4" s="2" t="s">
        <v>103</v>
      </c>
      <c r="D4" s="13">
        <v>60</v>
      </c>
      <c r="E4" s="13">
        <v>45</v>
      </c>
      <c r="F4" s="13">
        <v>15</v>
      </c>
      <c r="G4" s="14">
        <f t="shared" si="0"/>
        <v>0.75</v>
      </c>
    </row>
    <row r="5" spans="1:7" ht="24" customHeight="1" x14ac:dyDescent="0.3">
      <c r="A5" s="5" t="s">
        <v>57</v>
      </c>
      <c r="B5" s="7" t="s">
        <v>106</v>
      </c>
      <c r="C5" s="5" t="s">
        <v>103</v>
      </c>
      <c r="D5" s="15">
        <v>120</v>
      </c>
      <c r="E5" s="15">
        <v>95</v>
      </c>
      <c r="F5" s="15">
        <v>25</v>
      </c>
      <c r="G5" s="16">
        <f t="shared" si="0"/>
        <v>0.79166666666666663</v>
      </c>
    </row>
    <row r="6" spans="1:7" ht="24" customHeight="1" x14ac:dyDescent="0.3">
      <c r="A6" s="2" t="s">
        <v>57</v>
      </c>
      <c r="B6" s="4" t="s">
        <v>107</v>
      </c>
      <c r="C6" s="2" t="s">
        <v>103</v>
      </c>
      <c r="D6" s="13">
        <v>80</v>
      </c>
      <c r="E6" s="13">
        <v>50</v>
      </c>
      <c r="F6" s="13">
        <v>30</v>
      </c>
      <c r="G6" s="14">
        <f t="shared" si="0"/>
        <v>0.625</v>
      </c>
    </row>
    <row r="7" spans="1:7" ht="24" customHeight="1" x14ac:dyDescent="0.3">
      <c r="A7" s="5" t="s">
        <v>108</v>
      </c>
      <c r="B7" s="7" t="s">
        <v>109</v>
      </c>
      <c r="C7" s="5" t="s">
        <v>103</v>
      </c>
      <c r="D7" s="15">
        <v>80</v>
      </c>
      <c r="E7" s="15">
        <v>0</v>
      </c>
      <c r="F7" s="15">
        <v>80</v>
      </c>
      <c r="G7" s="16">
        <f t="shared" si="0"/>
        <v>0</v>
      </c>
    </row>
    <row r="8" spans="1:7" ht="24" customHeight="1" x14ac:dyDescent="0.3">
      <c r="A8" s="2" t="s">
        <v>68</v>
      </c>
      <c r="B8" s="4" t="s">
        <v>110</v>
      </c>
      <c r="C8" s="2" t="s">
        <v>111</v>
      </c>
      <c r="D8" s="13">
        <v>45</v>
      </c>
      <c r="E8" s="13">
        <v>35</v>
      </c>
      <c r="F8" s="13">
        <v>10</v>
      </c>
      <c r="G8" s="14">
        <f t="shared" si="0"/>
        <v>0.77777777777777779</v>
      </c>
    </row>
    <row r="9" spans="1:7" ht="24" customHeight="1" x14ac:dyDescent="0.3">
      <c r="A9" s="5" t="s">
        <v>68</v>
      </c>
      <c r="B9" s="7" t="s">
        <v>112</v>
      </c>
      <c r="C9" s="5" t="s">
        <v>111</v>
      </c>
      <c r="D9" s="15">
        <v>60</v>
      </c>
      <c r="E9" s="15">
        <v>0</v>
      </c>
      <c r="F9" s="15">
        <v>60</v>
      </c>
      <c r="G9" s="16">
        <f t="shared" si="0"/>
        <v>0</v>
      </c>
    </row>
    <row r="10" spans="1:7" ht="24" customHeight="1" x14ac:dyDescent="0.3">
      <c r="A10" s="2" t="s">
        <v>68</v>
      </c>
      <c r="B10" s="4" t="s">
        <v>113</v>
      </c>
      <c r="C10" s="2" t="s">
        <v>111</v>
      </c>
      <c r="D10" s="13">
        <v>45</v>
      </c>
      <c r="E10" s="13">
        <v>25</v>
      </c>
      <c r="F10" s="13">
        <v>20</v>
      </c>
      <c r="G10" s="14">
        <f t="shared" si="0"/>
        <v>0.55555555555555558</v>
      </c>
    </row>
    <row r="11" spans="1:7" ht="24" customHeight="1" x14ac:dyDescent="0.3">
      <c r="A11" s="5" t="s">
        <v>68</v>
      </c>
      <c r="B11" s="7" t="s">
        <v>114</v>
      </c>
      <c r="C11" s="5" t="s">
        <v>111</v>
      </c>
      <c r="D11" s="15">
        <v>120</v>
      </c>
      <c r="E11" s="15">
        <v>40</v>
      </c>
      <c r="F11" s="15">
        <v>80</v>
      </c>
      <c r="G11" s="16">
        <f t="shared" si="0"/>
        <v>0.33333333333333331</v>
      </c>
    </row>
    <row r="12" spans="1:7" ht="24" customHeight="1" x14ac:dyDescent="0.3">
      <c r="A12" s="2" t="s">
        <v>68</v>
      </c>
      <c r="B12" s="4" t="s">
        <v>115</v>
      </c>
      <c r="C12" s="2" t="s">
        <v>111</v>
      </c>
      <c r="D12" s="13">
        <v>50</v>
      </c>
      <c r="E12" s="13">
        <v>40</v>
      </c>
      <c r="F12" s="13">
        <v>10</v>
      </c>
      <c r="G12" s="14">
        <f t="shared" si="0"/>
        <v>0.8</v>
      </c>
    </row>
    <row r="13" spans="1:7" ht="28.05" customHeight="1" x14ac:dyDescent="0.3">
      <c r="A13" s="10" t="s">
        <v>116</v>
      </c>
      <c r="B13" s="17" t="s">
        <v>117</v>
      </c>
      <c r="C13" s="10" t="s">
        <v>118</v>
      </c>
      <c r="D13" s="18">
        <f>SUM(D2:D12)</f>
        <v>920</v>
      </c>
      <c r="E13" s="18">
        <f>SUM(E2:E12)</f>
        <v>570</v>
      </c>
      <c r="F13" s="18">
        <f>SUM(F2:F12)</f>
        <v>350</v>
      </c>
      <c r="G13" s="19">
        <f t="shared" si="0"/>
        <v>0.61956521739130432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外籍移工職務需求評估表</vt:lpstr>
      <vt:lpstr>11項作業細項適配矩陣</vt:lpstr>
      <vt:lpstr>工時統計與人力釋放效益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C606</cp:lastModifiedBy>
  <dcterms:created xsi:type="dcterms:W3CDTF">2026-10-21T07:54:10Z</dcterms:created>
  <dcterms:modified xsi:type="dcterms:W3CDTF">2026-10-21T08:15:24Z</dcterms:modified>
</cp:coreProperties>
</file>